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39665493-831F-4CC7-AECD-042E89F43CEC}" xr6:coauthVersionLast="47" xr6:coauthVersionMax="47" xr10:uidLastSave="{00000000-0000-0000-0000-000000000000}"/>
  <bookViews>
    <workbookView xWindow="-28920" yWindow="321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Sheet1!$A$1:$AL$4593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4584" i="1" l="1"/>
  <c r="W3107" i="1"/>
  <c r="W4591" i="1"/>
  <c r="AK4592" i="1"/>
  <c r="AK4593" i="1"/>
  <c r="AK4572" i="1"/>
  <c r="AK4573" i="1"/>
  <c r="AK4574" i="1"/>
  <c r="AK4575" i="1"/>
  <c r="AK4576" i="1"/>
  <c r="AK4577" i="1"/>
  <c r="AL4577" i="1"/>
  <c r="AK4578" i="1"/>
  <c r="AL4578" i="1"/>
  <c r="AK4579" i="1"/>
  <c r="AL4579" i="1"/>
  <c r="AK4580" i="1"/>
  <c r="AK4581" i="1"/>
  <c r="AL4581" i="1"/>
  <c r="AK4582" i="1"/>
  <c r="AL4582" i="1"/>
  <c r="AK4583" i="1"/>
  <c r="AK4584" i="1"/>
  <c r="AL4584" i="1"/>
  <c r="AK4585" i="1"/>
  <c r="AL4585" i="1"/>
  <c r="AK4586" i="1"/>
  <c r="AK4587" i="1"/>
  <c r="AK4588" i="1"/>
  <c r="AK4589" i="1"/>
  <c r="AL4589" i="1"/>
  <c r="AK4590" i="1"/>
  <c r="AL4590" i="1"/>
  <c r="AK4591" i="1"/>
  <c r="AL4591" i="1"/>
  <c r="X4577" i="1"/>
  <c r="X4578" i="1"/>
  <c r="X4581" i="1"/>
  <c r="X4582" i="1"/>
  <c r="X4584" i="1"/>
  <c r="X4585" i="1"/>
  <c r="X4589" i="1"/>
  <c r="X4590" i="1"/>
  <c r="X4591" i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93" i="1"/>
  <c r="V4593" i="1" s="1"/>
  <c r="U4572" i="1"/>
  <c r="V4572" i="1" s="1"/>
  <c r="AL1094" i="1"/>
  <c r="AK1094" i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X478" i="1"/>
  <c r="W294" i="1"/>
  <c r="AK294" i="1" s="1"/>
  <c r="W697" i="1"/>
  <c r="AK697" i="1" s="1"/>
  <c r="W1428" i="1"/>
  <c r="X1428" i="1" s="1"/>
  <c r="W4204" i="1"/>
  <c r="X4204" i="1" s="1"/>
  <c r="W2772" i="1"/>
  <c r="AK2772" i="1" s="1"/>
  <c r="W1232" i="1"/>
  <c r="AK1232" i="1" s="1"/>
  <c r="W808" i="1"/>
  <c r="AL808" i="1" s="1"/>
  <c r="U828" i="1"/>
  <c r="V828" i="1" s="1"/>
  <c r="W827" i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1" i="1"/>
  <c r="X4241" i="1" s="1"/>
  <c r="W4166" i="1"/>
  <c r="AL4166" i="1" s="1"/>
  <c r="W3924" i="1"/>
  <c r="W3917" i="1"/>
  <c r="X3917" i="1" s="1"/>
  <c r="W3583" i="1"/>
  <c r="W3304" i="1"/>
  <c r="AK3304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W1945" i="1"/>
  <c r="W1946" i="1"/>
  <c r="AL1946" i="1" s="1"/>
  <c r="AL4223" i="1"/>
  <c r="W2214" i="1"/>
  <c r="W2624" i="1"/>
  <c r="W2610" i="1"/>
  <c r="W2551" i="1"/>
  <c r="W1315" i="1"/>
  <c r="W3623" i="1"/>
  <c r="AL3623" i="1" s="1"/>
  <c r="W4546" i="1"/>
  <c r="X4546" i="1" s="1"/>
  <c r="AK4571" i="1"/>
  <c r="AL4571" i="1"/>
  <c r="X4571" i="1"/>
  <c r="U4571" i="1"/>
  <c r="V4571" i="1" s="1"/>
  <c r="AK4546" i="1"/>
  <c r="AL4546" i="1"/>
  <c r="AK4550" i="1"/>
  <c r="AL4550" i="1"/>
  <c r="AK4551" i="1"/>
  <c r="AL4551" i="1"/>
  <c r="AK4555" i="1"/>
  <c r="AL4555" i="1"/>
  <c r="AK4556" i="1"/>
  <c r="AL4556" i="1"/>
  <c r="AK4558" i="1"/>
  <c r="AL4558" i="1"/>
  <c r="AK4566" i="1"/>
  <c r="AL4566" i="1"/>
  <c r="W4561" i="1"/>
  <c r="X4561" i="1" s="1"/>
  <c r="W4568" i="1"/>
  <c r="AK4568" i="1" s="1"/>
  <c r="W4565" i="1"/>
  <c r="AK4565" i="1" s="1"/>
  <c r="W4563" i="1"/>
  <c r="X4563" i="1" s="1"/>
  <c r="W4560" i="1"/>
  <c r="X4560" i="1" s="1"/>
  <c r="W4554" i="1"/>
  <c r="X4554" i="1" s="1"/>
  <c r="W4548" i="1"/>
  <c r="X4548" i="1" s="1"/>
  <c r="W4567" i="1"/>
  <c r="X4567" i="1" s="1"/>
  <c r="W4564" i="1"/>
  <c r="X4564" i="1" s="1"/>
  <c r="W4562" i="1"/>
  <c r="X4562" i="1" s="1"/>
  <c r="W4559" i="1"/>
  <c r="AK4559" i="1" s="1"/>
  <c r="W4553" i="1"/>
  <c r="AK4553" i="1" s="1"/>
  <c r="W4547" i="1"/>
  <c r="X4547" i="1" s="1"/>
  <c r="AK4191" i="1"/>
  <c r="W4552" i="1"/>
  <c r="AK4552" i="1" s="1"/>
  <c r="W4245" i="1"/>
  <c r="X4245" i="1" s="1"/>
  <c r="W3965" i="1"/>
  <c r="AL3965" i="1" s="1"/>
  <c r="AL4544" i="1"/>
  <c r="AK4544" i="1"/>
  <c r="W4544" i="1"/>
  <c r="W3958" i="1"/>
  <c r="W2020" i="1"/>
  <c r="W1976" i="1"/>
  <c r="W1495" i="1"/>
  <c r="AL1495" i="1" s="1"/>
  <c r="W1032" i="1"/>
  <c r="AL4545" i="1"/>
  <c r="AK4545" i="1"/>
  <c r="AL4049" i="1"/>
  <c r="AK4049" i="1"/>
  <c r="W4549" i="1"/>
  <c r="AK4549" i="1" s="1"/>
  <c r="W4411" i="1"/>
  <c r="AK4411" i="1" s="1"/>
  <c r="W3959" i="1"/>
  <c r="AK3959" i="1" s="1"/>
  <c r="W1641" i="1"/>
  <c r="AL1641" i="1" s="1"/>
  <c r="W983" i="1"/>
  <c r="X983" i="1" s="1"/>
  <c r="W564" i="1"/>
  <c r="X564" i="1" s="1"/>
  <c r="W385" i="1"/>
  <c r="X385" i="1" s="1"/>
  <c r="W4557" i="1"/>
  <c r="AL4557" i="1" s="1"/>
  <c r="W4434" i="1"/>
  <c r="AL4434" i="1" s="1"/>
  <c r="W4413" i="1"/>
  <c r="AK4413" i="1" s="1"/>
  <c r="W4242" i="1"/>
  <c r="X4242" i="1" s="1"/>
  <c r="W3918" i="1"/>
  <c r="W3584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9" i="1"/>
  <c r="AK4569" i="1" s="1"/>
  <c r="W4570" i="1"/>
  <c r="AK4570" i="1" s="1"/>
  <c r="X4544" i="1"/>
  <c r="X4545" i="1"/>
  <c r="X4550" i="1"/>
  <c r="X4551" i="1"/>
  <c r="X4555" i="1"/>
  <c r="X4556" i="1"/>
  <c r="X4558" i="1"/>
  <c r="X4566" i="1"/>
  <c r="X4570" i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70" i="1"/>
  <c r="V4570" i="1" s="1"/>
  <c r="U4544" i="1"/>
  <c r="V4544" i="1" s="1"/>
  <c r="AK4543" i="1"/>
  <c r="AL4543" i="1"/>
  <c r="W4542" i="1"/>
  <c r="AK4542" i="1" s="1"/>
  <c r="U4543" i="1"/>
  <c r="V4543" i="1" s="1"/>
  <c r="X4542" i="1"/>
  <c r="X4543" i="1"/>
  <c r="U4542" i="1"/>
  <c r="V4542" i="1" s="1"/>
  <c r="W261" i="1"/>
  <c r="AL261" i="1" s="1"/>
  <c r="W4532" i="1"/>
  <c r="AK4532" i="1" s="1"/>
  <c r="W4531" i="1"/>
  <c r="AK4531" i="1" s="1"/>
  <c r="W4530" i="1"/>
  <c r="AK4530" i="1" s="1"/>
  <c r="W3744" i="1"/>
  <c r="AL3744" i="1" s="1"/>
  <c r="AK4535" i="1"/>
  <c r="AL4535" i="1"/>
  <c r="AK4536" i="1"/>
  <c r="AL4536" i="1"/>
  <c r="AK4537" i="1"/>
  <c r="AL4537" i="1"/>
  <c r="AK4538" i="1"/>
  <c r="AL4538" i="1"/>
  <c r="AK4539" i="1"/>
  <c r="AL4539" i="1"/>
  <c r="AK4540" i="1"/>
  <c r="AL4540" i="1"/>
  <c r="AK4541" i="1"/>
  <c r="AL4541" i="1"/>
  <c r="W2585" i="1"/>
  <c r="X2585" i="1" s="1"/>
  <c r="W2594" i="1"/>
  <c r="AL2594" i="1" s="1"/>
  <c r="W4534" i="1"/>
  <c r="X4534" i="1" s="1"/>
  <c r="W4533" i="1"/>
  <c r="AK4533" i="1" s="1"/>
  <c r="X4535" i="1"/>
  <c r="X4536" i="1"/>
  <c r="X4537" i="1"/>
  <c r="X4538" i="1"/>
  <c r="X4539" i="1"/>
  <c r="X4540" i="1"/>
  <c r="X4541" i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41" i="1"/>
  <c r="V4541" i="1" s="1"/>
  <c r="U4530" i="1"/>
  <c r="V4530" i="1" s="1"/>
  <c r="W4494" i="1"/>
  <c r="X4494" i="1" s="1"/>
  <c r="W4248" i="1"/>
  <c r="X4248" i="1" s="1"/>
  <c r="W4244" i="1"/>
  <c r="W4352" i="1"/>
  <c r="X4352" i="1" s="1"/>
  <c r="W4351" i="1"/>
  <c r="AK4351" i="1" s="1"/>
  <c r="W4369" i="1"/>
  <c r="AK4369" i="1" s="1"/>
  <c r="W4529" i="1"/>
  <c r="X4529" i="1" s="1"/>
  <c r="W4524" i="1"/>
  <c r="AK4524" i="1" s="1"/>
  <c r="W4522" i="1"/>
  <c r="AK4522" i="1" s="1"/>
  <c r="W4528" i="1"/>
  <c r="X4528" i="1" s="1"/>
  <c r="W4523" i="1"/>
  <c r="AK4523" i="1" s="1"/>
  <c r="W4521" i="1"/>
  <c r="X4521" i="1" s="1"/>
  <c r="W4526" i="1"/>
  <c r="X4526" i="1" s="1"/>
  <c r="AK4520" i="1"/>
  <c r="AL4520" i="1"/>
  <c r="AK4525" i="1"/>
  <c r="AL4525" i="1"/>
  <c r="AK4527" i="1"/>
  <c r="AL4527" i="1"/>
  <c r="X4520" i="1"/>
  <c r="X4525" i="1"/>
  <c r="X4527" i="1"/>
  <c r="U4528" i="1"/>
  <c r="V4528" i="1" s="1"/>
  <c r="U4529" i="1"/>
  <c r="V4529" i="1" s="1"/>
  <c r="U4527" i="1"/>
  <c r="V4527" i="1" s="1"/>
  <c r="U4521" i="1"/>
  <c r="V4521" i="1" s="1"/>
  <c r="U4522" i="1"/>
  <c r="V4522" i="1" s="1"/>
  <c r="U4523" i="1"/>
  <c r="V4523" i="1" s="1"/>
  <c r="U4524" i="1"/>
  <c r="V4524" i="1" s="1"/>
  <c r="U4525" i="1"/>
  <c r="V4525" i="1" s="1"/>
  <c r="U4520" i="1"/>
  <c r="V4520" i="1" s="1"/>
  <c r="W3890" i="1"/>
  <c r="AK3890" i="1" s="1"/>
  <c r="W571" i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K4517" i="1"/>
  <c r="AL4517" i="1"/>
  <c r="W4519" i="1"/>
  <c r="X4519" i="1" s="1"/>
  <c r="W4518" i="1"/>
  <c r="AK4518" i="1" s="1"/>
  <c r="W4516" i="1"/>
  <c r="AL4516" i="1" s="1"/>
  <c r="AL4515" i="1"/>
  <c r="AK4515" i="1"/>
  <c r="V4515" i="1"/>
  <c r="X4515" i="1"/>
  <c r="X4517" i="1"/>
  <c r="U4517" i="1"/>
  <c r="V4517" i="1" s="1"/>
  <c r="U4518" i="1"/>
  <c r="V4518" i="1" s="1"/>
  <c r="U4519" i="1"/>
  <c r="V4519" i="1" s="1"/>
  <c r="U4516" i="1"/>
  <c r="V4516" i="1" s="1"/>
  <c r="X187" i="1"/>
  <c r="X43" i="1"/>
  <c r="X3536" i="1"/>
  <c r="W3533" i="1"/>
  <c r="AK3533" i="1" s="1"/>
  <c r="W3030" i="1"/>
  <c r="X2228" i="1"/>
  <c r="W3750" i="1"/>
  <c r="AL3750" i="1" s="1"/>
  <c r="W3497" i="1"/>
  <c r="AK3497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W434" i="1"/>
  <c r="W416" i="1"/>
  <c r="AL416" i="1" s="1"/>
  <c r="W423" i="1"/>
  <c r="AL423" i="1" s="1"/>
  <c r="W422" i="1"/>
  <c r="AL422" i="1" s="1"/>
  <c r="W421" i="1"/>
  <c r="AK421" i="1" s="1"/>
  <c r="U4514" i="1"/>
  <c r="V4514" i="1" s="1"/>
  <c r="W4514" i="1"/>
  <c r="AL4514" i="1" s="1"/>
  <c r="W4513" i="1"/>
  <c r="AL4513" i="1" s="1"/>
  <c r="U4513" i="1"/>
  <c r="V4513" i="1" s="1"/>
  <c r="AK4097" i="1"/>
  <c r="AL4139" i="1"/>
  <c r="AK4139" i="1"/>
  <c r="W4153" i="1"/>
  <c r="AL4153" i="1" s="1"/>
  <c r="W4235" i="1"/>
  <c r="AK4235" i="1" s="1"/>
  <c r="W4399" i="1"/>
  <c r="AK4399" i="1" s="1"/>
  <c r="W4102" i="1"/>
  <c r="X4102" i="1" s="1"/>
  <c r="W3880" i="1"/>
  <c r="W3699" i="1"/>
  <c r="X3699" i="1" s="1"/>
  <c r="W3437" i="1"/>
  <c r="W2927" i="1"/>
  <c r="W2348" i="1"/>
  <c r="W1988" i="1"/>
  <c r="W1876" i="1"/>
  <c r="AK1876" i="1" s="1"/>
  <c r="W1425" i="1"/>
  <c r="W1100" i="1"/>
  <c r="X1100" i="1" s="1"/>
  <c r="W506" i="1"/>
  <c r="X506" i="1" s="1"/>
  <c r="AK4093" i="1"/>
  <c r="W4098" i="1"/>
  <c r="AL4098" i="1" s="1"/>
  <c r="W4060" i="1"/>
  <c r="X4060" i="1" s="1"/>
  <c r="W2784" i="1"/>
  <c r="X2784" i="1" s="1"/>
  <c r="W4104" i="1"/>
  <c r="AL4104" i="1" s="1"/>
  <c r="W4054" i="1"/>
  <c r="AL4054" i="1" s="1"/>
  <c r="W3682" i="1"/>
  <c r="X3682" i="1" s="1"/>
  <c r="W2929" i="1"/>
  <c r="AK2929" i="1" s="1"/>
  <c r="W2663" i="1"/>
  <c r="AL2663" i="1" s="1"/>
  <c r="W2235" i="1"/>
  <c r="W1615" i="1"/>
  <c r="W1230" i="1"/>
  <c r="AK1230" i="1" s="1"/>
  <c r="W1103" i="1"/>
  <c r="AL1103" i="1" s="1"/>
  <c r="W966" i="1"/>
  <c r="AK966" i="1" s="1"/>
  <c r="W4067" i="1"/>
  <c r="X4067" i="1" s="1"/>
  <c r="W3704" i="1"/>
  <c r="X3704" i="1" s="1"/>
  <c r="W2931" i="1"/>
  <c r="X2931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W1639" i="1"/>
  <c r="AL1639" i="1" s="1"/>
  <c r="W1515" i="1"/>
  <c r="AL1515" i="1" s="1"/>
  <c r="W1165" i="1"/>
  <c r="AL1165" i="1" s="1"/>
  <c r="W781" i="1"/>
  <c r="AL781" i="1" s="1"/>
  <c r="AK1842" i="1"/>
  <c r="W581" i="1"/>
  <c r="AK581" i="1" s="1"/>
  <c r="W579" i="1"/>
  <c r="AK579" i="1" s="1"/>
  <c r="W291" i="1"/>
  <c r="AK291" i="1" s="1"/>
  <c r="W3380" i="1"/>
  <c r="AL3380" i="1" s="1"/>
  <c r="W2880" i="1"/>
  <c r="X2880" i="1" s="1"/>
  <c r="W138" i="1"/>
  <c r="X138" i="1" s="1"/>
  <c r="W78" i="1"/>
  <c r="X78" i="1" s="1"/>
  <c r="W4091" i="1"/>
  <c r="X4091" i="1" s="1"/>
  <c r="W3871" i="1"/>
  <c r="X3871" i="1" s="1"/>
  <c r="W3397" i="1"/>
  <c r="AL3397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90" i="1"/>
  <c r="AL4090" i="1" s="1"/>
  <c r="W4059" i="1"/>
  <c r="AL4059" i="1" s="1"/>
  <c r="W3870" i="1"/>
  <c r="AL3870" i="1" s="1"/>
  <c r="W3396" i="1"/>
  <c r="AL3396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9" i="1"/>
  <c r="X4089" i="1" s="1"/>
  <c r="W3946" i="1"/>
  <c r="X3946" i="1" s="1"/>
  <c r="W3869" i="1"/>
  <c r="AL3869" i="1" s="1"/>
  <c r="W3675" i="1"/>
  <c r="X3675" i="1" s="1"/>
  <c r="W3674" i="1"/>
  <c r="AL3674" i="1" s="1"/>
  <c r="W3395" i="1"/>
  <c r="AK3395" i="1" s="1"/>
  <c r="W3394" i="1"/>
  <c r="X3394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3" i="1"/>
  <c r="X4233" i="1" s="1"/>
  <c r="W4086" i="1"/>
  <c r="AL4086" i="1" s="1"/>
  <c r="W4057" i="1"/>
  <c r="AL4057" i="1" s="1"/>
  <c r="W3866" i="1"/>
  <c r="AK3866" i="1" s="1"/>
  <c r="W3669" i="1"/>
  <c r="AL3669" i="1" s="1"/>
  <c r="W3668" i="1"/>
  <c r="AK3668" i="1" s="1"/>
  <c r="W3389" i="1"/>
  <c r="X3389" i="1" s="1"/>
  <c r="W3388" i="1"/>
  <c r="AL3388" i="1" s="1"/>
  <c r="W3155" i="1"/>
  <c r="AL3155" i="1" s="1"/>
  <c r="W3154" i="1"/>
  <c r="AL3154" i="1" s="1"/>
  <c r="W3149" i="1"/>
  <c r="AL3149" i="1" s="1"/>
  <c r="W2891" i="1"/>
  <c r="AL2891" i="1" s="1"/>
  <c r="W2890" i="1"/>
  <c r="AL2890" i="1" s="1"/>
  <c r="W2889" i="1"/>
  <c r="X2889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3" i="1"/>
  <c r="AK4103" i="1" s="1"/>
  <c r="W3881" i="1"/>
  <c r="AL3881" i="1" s="1"/>
  <c r="W227" i="1"/>
  <c r="X227" i="1" s="1"/>
  <c r="W4232" i="1"/>
  <c r="X4232" i="1" s="1"/>
  <c r="W3379" i="1"/>
  <c r="AL3379" i="1" s="1"/>
  <c r="W3378" i="1"/>
  <c r="X3378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4" i="1"/>
  <c r="X4284" i="1" s="1"/>
  <c r="W4100" i="1"/>
  <c r="X4100" i="1" s="1"/>
  <c r="W3696" i="1"/>
  <c r="AK3696" i="1" s="1"/>
  <c r="W3432" i="1"/>
  <c r="AK3432" i="1" s="1"/>
  <c r="W2925" i="1"/>
  <c r="AK2925" i="1" s="1"/>
  <c r="W2258" i="1"/>
  <c r="X2258" i="1" s="1"/>
  <c r="W285" i="1"/>
  <c r="X285" i="1" s="1"/>
  <c r="W95" i="1"/>
  <c r="AL95" i="1" s="1"/>
  <c r="W39" i="1"/>
  <c r="X39" i="1" s="1"/>
  <c r="W4512" i="1"/>
  <c r="AK4512" i="1" s="1"/>
  <c r="W4505" i="1"/>
  <c r="AL4505" i="1" s="1"/>
  <c r="W4501" i="1"/>
  <c r="AK4501" i="1" s="1"/>
  <c r="W4493" i="1"/>
  <c r="X4493" i="1" s="1"/>
  <c r="W4511" i="1"/>
  <c r="X4511" i="1" s="1"/>
  <c r="W4504" i="1"/>
  <c r="AL4504" i="1" s="1"/>
  <c r="W4500" i="1"/>
  <c r="AK4500" i="1" s="1"/>
  <c r="W4492" i="1"/>
  <c r="X4492" i="1" s="1"/>
  <c r="W4487" i="1"/>
  <c r="X4487" i="1" s="1"/>
  <c r="W4503" i="1"/>
  <c r="W4490" i="1"/>
  <c r="AK4490" i="1" s="1"/>
  <c r="W4488" i="1"/>
  <c r="W4498" i="1"/>
  <c r="AK4498" i="1" s="1"/>
  <c r="AK4133" i="1"/>
  <c r="AL4133" i="1"/>
  <c r="W4499" i="1"/>
  <c r="AK4499" i="1" s="1"/>
  <c r="W4506" i="1"/>
  <c r="AK4506" i="1" s="1"/>
  <c r="X4506" i="1"/>
  <c r="W4497" i="1"/>
  <c r="AK4497" i="1" s="1"/>
  <c r="W4496" i="1"/>
  <c r="AL4496" i="1" s="1"/>
  <c r="W4495" i="1"/>
  <c r="X4495" i="1" s="1"/>
  <c r="X4508" i="1"/>
  <c r="X4509" i="1"/>
  <c r="X4510" i="1"/>
  <c r="X4485" i="1"/>
  <c r="X4486" i="1"/>
  <c r="X4488" i="1"/>
  <c r="X4491" i="1"/>
  <c r="X4502" i="1"/>
  <c r="X4503" i="1"/>
  <c r="X4507" i="1"/>
  <c r="AK4488" i="1"/>
  <c r="AL4488" i="1"/>
  <c r="AK4489" i="1"/>
  <c r="AK4491" i="1"/>
  <c r="AL4491" i="1"/>
  <c r="AK4502" i="1"/>
  <c r="AL4502" i="1"/>
  <c r="AK4503" i="1"/>
  <c r="AL4503" i="1"/>
  <c r="AL4506" i="1"/>
  <c r="AK4507" i="1"/>
  <c r="AL4507" i="1"/>
  <c r="AK4508" i="1"/>
  <c r="AL4508" i="1"/>
  <c r="AK4509" i="1"/>
  <c r="AL4509" i="1"/>
  <c r="AK4510" i="1"/>
  <c r="AL4510" i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512" i="1"/>
  <c r="V4512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505" i="1"/>
  <c r="V4505" i="1" s="1"/>
  <c r="U4494" i="1"/>
  <c r="V4494" i="1" s="1"/>
  <c r="U4495" i="1"/>
  <c r="V4495" i="1" s="1"/>
  <c r="U4496" i="1"/>
  <c r="V4496" i="1" s="1"/>
  <c r="U4497" i="1"/>
  <c r="V4497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U4493" i="1"/>
  <c r="V4493" i="1" s="1"/>
  <c r="AK4485" i="1"/>
  <c r="AL4485" i="1"/>
  <c r="AK4486" i="1"/>
  <c r="AL4486" i="1"/>
  <c r="U4486" i="1"/>
  <c r="V4486" i="1" s="1"/>
  <c r="U4485" i="1"/>
  <c r="V4485" i="1" s="1"/>
  <c r="W4088" i="1"/>
  <c r="AL4088" i="1" s="1"/>
  <c r="W4058" i="1"/>
  <c r="AL4058" i="1" s="1"/>
  <c r="W3868" i="1"/>
  <c r="AL3868" i="1" s="1"/>
  <c r="W3673" i="1"/>
  <c r="AL3673" i="1" s="1"/>
  <c r="W3672" i="1"/>
  <c r="AL3672" i="1" s="1"/>
  <c r="W3393" i="1"/>
  <c r="AL3393" i="1" s="1"/>
  <c r="W3392" i="1"/>
  <c r="X3392" i="1" s="1"/>
  <c r="W3160" i="1"/>
  <c r="W3159" i="1"/>
  <c r="AL3159" i="1" s="1"/>
  <c r="W3151" i="1"/>
  <c r="X3151" i="1" s="1"/>
  <c r="W2893" i="1"/>
  <c r="AL2893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7" i="1"/>
  <c r="AL4087" i="1" s="1"/>
  <c r="W3867" i="1"/>
  <c r="AL3867" i="1" s="1"/>
  <c r="W3671" i="1"/>
  <c r="AL3671" i="1" s="1"/>
  <c r="W3670" i="1"/>
  <c r="AK3670" i="1" s="1"/>
  <c r="W3391" i="1"/>
  <c r="X3391" i="1" s="1"/>
  <c r="W3390" i="1"/>
  <c r="AL3390" i="1" s="1"/>
  <c r="W3157" i="1"/>
  <c r="AL3157" i="1" s="1"/>
  <c r="W3156" i="1"/>
  <c r="AL3156" i="1" s="1"/>
  <c r="W2892" i="1"/>
  <c r="X2892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9" i="1"/>
  <c r="AL4099" i="1" s="1"/>
  <c r="W3695" i="1"/>
  <c r="AL3695" i="1" s="1"/>
  <c r="W3431" i="1"/>
  <c r="X3431" i="1" s="1"/>
  <c r="AK1792" i="1"/>
  <c r="AK4481" i="1"/>
  <c r="AL4481" i="1"/>
  <c r="AK4482" i="1"/>
  <c r="AL4482" i="1"/>
  <c r="AK4483" i="1"/>
  <c r="AL4483" i="1"/>
  <c r="AK4484" i="1"/>
  <c r="AL4484" i="1"/>
  <c r="X4481" i="1"/>
  <c r="X4482" i="1"/>
  <c r="X4483" i="1"/>
  <c r="X4484" i="1"/>
  <c r="U4482" i="1"/>
  <c r="V4482" i="1" s="1"/>
  <c r="U4483" i="1"/>
  <c r="V4483" i="1" s="1"/>
  <c r="U4484" i="1"/>
  <c r="V4484" i="1" s="1"/>
  <c r="U4481" i="1"/>
  <c r="V4481" i="1" s="1"/>
  <c r="U4480" i="1"/>
  <c r="V4480" i="1" s="1"/>
  <c r="X4480" i="1"/>
  <c r="AK4480" i="1"/>
  <c r="AL4480" i="1"/>
  <c r="AL4260" i="1"/>
  <c r="AK4260" i="1"/>
  <c r="AL4078" i="1"/>
  <c r="AK4078" i="1"/>
  <c r="AL4479" i="1"/>
  <c r="AK4479" i="1"/>
  <c r="W4477" i="1"/>
  <c r="T4477" i="1"/>
  <c r="T4478" i="1"/>
  <c r="U4478" i="1" s="1"/>
  <c r="V4478" i="1" s="1"/>
  <c r="W4478" i="1"/>
  <c r="X4479" i="1"/>
  <c r="U4479" i="1"/>
  <c r="V4479" i="1" s="1"/>
  <c r="W4283" i="1"/>
  <c r="AL4283" i="1" s="1"/>
  <c r="W4378" i="1"/>
  <c r="AK4378" i="1" s="1"/>
  <c r="W4374" i="1"/>
  <c r="X4374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3" i="1"/>
  <c r="AL3703" i="1" s="1"/>
  <c r="W2930" i="1"/>
  <c r="X2930" i="1" s="1"/>
  <c r="W2618" i="1"/>
  <c r="AL2618" i="1" s="1"/>
  <c r="W2361" i="1"/>
  <c r="AK2361" i="1" s="1"/>
  <c r="W2085" i="1"/>
  <c r="AL2085" i="1" s="1"/>
  <c r="W1868" i="1"/>
  <c r="AL1868" i="1" s="1"/>
  <c r="AL1841" i="1"/>
  <c r="W1514" i="1"/>
  <c r="AL1514" i="1" s="1"/>
  <c r="W1164" i="1"/>
  <c r="AL1164" i="1" s="1"/>
  <c r="W580" i="1"/>
  <c r="AK580" i="1" s="1"/>
  <c r="X4049" i="1"/>
  <c r="X4048" i="1"/>
  <c r="U4049" i="1"/>
  <c r="V4049" i="1" s="1"/>
  <c r="U4048" i="1"/>
  <c r="V4048" i="1" s="1"/>
  <c r="AL3817" i="1"/>
  <c r="AK3817" i="1"/>
  <c r="W1501" i="1"/>
  <c r="AL1501" i="1" s="1"/>
  <c r="W1500" i="1"/>
  <c r="AL1500" i="1" s="1"/>
  <c r="W1261" i="1"/>
  <c r="AL1261" i="1" s="1"/>
  <c r="W1218" i="1"/>
  <c r="W4476" i="1"/>
  <c r="AK4476" i="1" s="1"/>
  <c r="W4470" i="1"/>
  <c r="X4470" i="1" s="1"/>
  <c r="W4398" i="1"/>
  <c r="X4398" i="1" s="1"/>
  <c r="W4101" i="1"/>
  <c r="AL4101" i="1" s="1"/>
  <c r="AK4474" i="1"/>
  <c r="AL4474" i="1"/>
  <c r="AK4468" i="1"/>
  <c r="AL4468" i="1"/>
  <c r="AK4469" i="1"/>
  <c r="AL4469" i="1"/>
  <c r="AK4471" i="1"/>
  <c r="AL4471" i="1"/>
  <c r="W4472" i="1"/>
  <c r="AK4472" i="1" s="1"/>
  <c r="AL4473" i="1"/>
  <c r="AK4473" i="1"/>
  <c r="W4466" i="1"/>
  <c r="W4475" i="1"/>
  <c r="AL4475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U4476" i="1"/>
  <c r="V4476" i="1" s="1"/>
  <c r="X4468" i="1"/>
  <c r="X4469" i="1"/>
  <c r="X4471" i="1"/>
  <c r="X4473" i="1"/>
  <c r="X4474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5" i="1"/>
  <c r="V4259" i="1"/>
  <c r="V4031" i="1"/>
  <c r="V4030" i="1"/>
  <c r="V3600" i="1"/>
  <c r="V3578" i="1"/>
  <c r="V3096" i="1"/>
  <c r="V3089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5" i="1"/>
  <c r="AL3105" i="1" s="1"/>
  <c r="AL4190" i="1"/>
  <c r="AK4190" i="1"/>
  <c r="AL4180" i="1"/>
  <c r="AK4180" i="1"/>
  <c r="AL4169" i="1"/>
  <c r="AK4169" i="1"/>
  <c r="AL4134" i="1"/>
  <c r="AK4134" i="1"/>
  <c r="AL4129" i="1"/>
  <c r="AK4129" i="1"/>
  <c r="AL4124" i="1"/>
  <c r="AK4124" i="1"/>
  <c r="AL4118" i="1"/>
  <c r="AK4118" i="1"/>
  <c r="AL4115" i="1"/>
  <c r="AK4115" i="1"/>
  <c r="AL4114" i="1"/>
  <c r="AK4114" i="1"/>
  <c r="AL4112" i="1"/>
  <c r="AK4112" i="1"/>
  <c r="AL4109" i="1"/>
  <c r="AK4109" i="1"/>
  <c r="AL4077" i="1"/>
  <c r="AK4077" i="1"/>
  <c r="AL4073" i="1"/>
  <c r="AK4073" i="1"/>
  <c r="U4194" i="1"/>
  <c r="V4194" i="1" s="1"/>
  <c r="U4191" i="1"/>
  <c r="V4191" i="1" s="1"/>
  <c r="U4190" i="1"/>
  <c r="V4190" i="1" s="1"/>
  <c r="U4180" i="1"/>
  <c r="V4180" i="1" s="1"/>
  <c r="U4169" i="1"/>
  <c r="V4169" i="1" s="1"/>
  <c r="U4166" i="1"/>
  <c r="V4166" i="1" s="1"/>
  <c r="U4134" i="1"/>
  <c r="V4134" i="1" s="1"/>
  <c r="U4129" i="1"/>
  <c r="V4129" i="1" s="1"/>
  <c r="U4124" i="1"/>
  <c r="V4124" i="1" s="1"/>
  <c r="U4118" i="1"/>
  <c r="V4118" i="1" s="1"/>
  <c r="U4115" i="1"/>
  <c r="V4115" i="1" s="1"/>
  <c r="U4114" i="1"/>
  <c r="V4114" i="1" s="1"/>
  <c r="U4112" i="1"/>
  <c r="V4112" i="1" s="1"/>
  <c r="U4109" i="1"/>
  <c r="V4109" i="1" s="1"/>
  <c r="U4077" i="1"/>
  <c r="V4077" i="1" s="1"/>
  <c r="X4180" i="1"/>
  <c r="X4169" i="1"/>
  <c r="X4134" i="1"/>
  <c r="X4129" i="1"/>
  <c r="X4124" i="1"/>
  <c r="X4118" i="1"/>
  <c r="X4115" i="1"/>
  <c r="X4114" i="1"/>
  <c r="X4112" i="1"/>
  <c r="X4109" i="1"/>
  <c r="X4077" i="1"/>
  <c r="X4073" i="1"/>
  <c r="U4073" i="1"/>
  <c r="V4073" i="1" s="1"/>
  <c r="W4219" i="1"/>
  <c r="X4219" i="1" s="1"/>
  <c r="W3754" i="1"/>
  <c r="X3754" i="1" s="1"/>
  <c r="W3507" i="1"/>
  <c r="AK3507" i="1" s="1"/>
  <c r="W3506" i="1"/>
  <c r="AL3506" i="1" s="1"/>
  <c r="W3505" i="1"/>
  <c r="AL3505" i="1" s="1"/>
  <c r="W3504" i="1"/>
  <c r="AL3504" i="1" s="1"/>
  <c r="W3503" i="1"/>
  <c r="AL3503" i="1" s="1"/>
  <c r="W2580" i="1"/>
  <c r="X2580" i="1" s="1"/>
  <c r="W1360" i="1"/>
  <c r="X1360" i="1" s="1"/>
  <c r="W1248" i="1"/>
  <c r="AL1248" i="1" s="1"/>
  <c r="W984" i="1"/>
  <c r="AK984" i="1" s="1"/>
  <c r="W767" i="1"/>
  <c r="AL767" i="1" s="1"/>
  <c r="W595" i="1"/>
  <c r="AL595" i="1" s="1"/>
  <c r="W520" i="1"/>
  <c r="X520" i="1" s="1"/>
  <c r="W448" i="1"/>
  <c r="AL448" i="1" s="1"/>
  <c r="W215" i="1"/>
  <c r="AK215" i="1" s="1"/>
  <c r="W4464" i="1"/>
  <c r="AK4464" i="1" s="1"/>
  <c r="W4465" i="1"/>
  <c r="X4465" i="1" s="1"/>
  <c r="W4463" i="1"/>
  <c r="AL4463" i="1" s="1"/>
  <c r="AL4467" i="1"/>
  <c r="AK4467" i="1"/>
  <c r="AL4466" i="1"/>
  <c r="AK4466" i="1"/>
  <c r="X4467" i="1"/>
  <c r="X4466" i="1"/>
  <c r="U4464" i="1"/>
  <c r="V4464" i="1" s="1"/>
  <c r="U4465" i="1"/>
  <c r="V4465" i="1" s="1"/>
  <c r="U4466" i="1"/>
  <c r="V4466" i="1" s="1"/>
  <c r="U4467" i="1"/>
  <c r="V4467" i="1" s="1"/>
  <c r="U4463" i="1"/>
  <c r="V4463" i="1" s="1"/>
  <c r="AK4221" i="1"/>
  <c r="AL4221" i="1"/>
  <c r="W4223" i="1"/>
  <c r="X4223" i="1" s="1"/>
  <c r="AK4223" i="1"/>
  <c r="U4223" i="1"/>
  <c r="V4223" i="1" s="1"/>
  <c r="W4203" i="1"/>
  <c r="AK4203" i="1" s="1"/>
  <c r="W4452" i="1"/>
  <c r="AK4452" i="1" s="1"/>
  <c r="W4447" i="1"/>
  <c r="X4447" i="1" s="1"/>
  <c r="W4448" i="1"/>
  <c r="X4448" i="1" s="1"/>
  <c r="W4461" i="1"/>
  <c r="AK4461" i="1" s="1"/>
  <c r="W4459" i="1"/>
  <c r="X4459" i="1" s="1"/>
  <c r="W4458" i="1"/>
  <c r="AK4458" i="1" s="1"/>
  <c r="X4128" i="1"/>
  <c r="X4127" i="1"/>
  <c r="X4123" i="1"/>
  <c r="X4122" i="1"/>
  <c r="X4120" i="1"/>
  <c r="X4078" i="1"/>
  <c r="U4128" i="1"/>
  <c r="V4128" i="1" s="1"/>
  <c r="U4127" i="1"/>
  <c r="V4127" i="1" s="1"/>
  <c r="U4123" i="1"/>
  <c r="V4123" i="1" s="1"/>
  <c r="U4122" i="1"/>
  <c r="V4122" i="1" s="1"/>
  <c r="U4120" i="1"/>
  <c r="V4120" i="1" s="1"/>
  <c r="U4078" i="1"/>
  <c r="V4078" i="1" s="1"/>
  <c r="AK4217" i="1"/>
  <c r="AL4217" i="1"/>
  <c r="W4386" i="1"/>
  <c r="AL4386" i="1" s="1"/>
  <c r="U4219" i="1"/>
  <c r="V4219" i="1" s="1"/>
  <c r="W4462" i="1"/>
  <c r="X4462" i="1" s="1"/>
  <c r="W4451" i="1"/>
  <c r="AK4451" i="1" s="1"/>
  <c r="W3626" i="1"/>
  <c r="X3626" i="1" s="1"/>
  <c r="W3625" i="1"/>
  <c r="X3625" i="1" s="1"/>
  <c r="W2730" i="1"/>
  <c r="AK2730" i="1" s="1"/>
  <c r="W1266" i="1"/>
  <c r="AL1266" i="1" s="1"/>
  <c r="W4450" i="1"/>
  <c r="AK4450" i="1" s="1"/>
  <c r="AK4443" i="1"/>
  <c r="AL4443" i="1"/>
  <c r="AK4444" i="1"/>
  <c r="AL4444" i="1"/>
  <c r="AK4445" i="1"/>
  <c r="AL4445" i="1"/>
  <c r="AK4446" i="1"/>
  <c r="AL4446" i="1"/>
  <c r="AK4449" i="1"/>
  <c r="AL4449" i="1"/>
  <c r="AK4453" i="1"/>
  <c r="AL4453" i="1"/>
  <c r="AK4454" i="1"/>
  <c r="AL4454" i="1"/>
  <c r="AK4455" i="1"/>
  <c r="AL4455" i="1"/>
  <c r="AK4456" i="1"/>
  <c r="AL4456" i="1"/>
  <c r="AK4457" i="1"/>
  <c r="AL4457" i="1"/>
  <c r="AK4460" i="1"/>
  <c r="AL4460" i="1"/>
  <c r="X4443" i="1"/>
  <c r="X4444" i="1"/>
  <c r="X4445" i="1"/>
  <c r="X4446" i="1"/>
  <c r="X4449" i="1"/>
  <c r="X4453" i="1"/>
  <c r="X4454" i="1"/>
  <c r="X4455" i="1"/>
  <c r="X4456" i="1"/>
  <c r="X4457" i="1"/>
  <c r="X4460" i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62" i="1"/>
  <c r="V4462" i="1" s="1"/>
  <c r="U4443" i="1"/>
  <c r="V4443" i="1" s="1"/>
  <c r="W2722" i="1"/>
  <c r="AL2722" i="1" s="1"/>
  <c r="W2310" i="1"/>
  <c r="AK2310" i="1" s="1"/>
  <c r="W1955" i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3" i="1"/>
  <c r="AK4433" i="1" s="1"/>
  <c r="W4440" i="1"/>
  <c r="AK4440" i="1" s="1"/>
  <c r="W4439" i="1"/>
  <c r="AL4439" i="1" s="1"/>
  <c r="W4437" i="1"/>
  <c r="X4437" i="1" s="1"/>
  <c r="W4436" i="1"/>
  <c r="AK4436" i="1" s="1"/>
  <c r="AK4435" i="1"/>
  <c r="AL4435" i="1"/>
  <c r="AK4438" i="1"/>
  <c r="AL4438" i="1"/>
  <c r="AK4441" i="1"/>
  <c r="AL4441" i="1"/>
  <c r="AK4442" i="1"/>
  <c r="AL4442" i="1"/>
  <c r="W4432" i="1"/>
  <c r="X4432" i="1" s="1"/>
  <c r="X4435" i="1"/>
  <c r="X4438" i="1"/>
  <c r="X4441" i="1"/>
  <c r="X4442" i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42" i="1"/>
  <c r="V4442" i="1" s="1"/>
  <c r="U4432" i="1"/>
  <c r="V4432" i="1" s="1"/>
  <c r="W4188" i="1"/>
  <c r="AL4188" i="1" s="1"/>
  <c r="W4092" i="1"/>
  <c r="AL4092" i="1" s="1"/>
  <c r="W3872" i="1"/>
  <c r="X3872" i="1" s="1"/>
  <c r="W3398" i="1"/>
  <c r="AL3398" i="1" s="1"/>
  <c r="W951" i="1"/>
  <c r="X951" i="1" s="1"/>
  <c r="W87" i="1"/>
  <c r="X87" i="1" s="1"/>
  <c r="W4085" i="1"/>
  <c r="AL4085" i="1" s="1"/>
  <c r="W3865" i="1"/>
  <c r="AL3865" i="1" s="1"/>
  <c r="W3667" i="1"/>
  <c r="AL3667" i="1" s="1"/>
  <c r="W3666" i="1"/>
  <c r="AK3666" i="1" s="1"/>
  <c r="W3387" i="1"/>
  <c r="AL3387" i="1" s="1"/>
  <c r="W3386" i="1"/>
  <c r="AK3386" i="1" s="1"/>
  <c r="W3385" i="1"/>
  <c r="X3385" i="1" s="1"/>
  <c r="W3152" i="1"/>
  <c r="X3152" i="1" s="1"/>
  <c r="W3147" i="1"/>
  <c r="AL3147" i="1" s="1"/>
  <c r="W2888" i="1"/>
  <c r="AL2888" i="1" s="1"/>
  <c r="W2887" i="1"/>
  <c r="AL2887" i="1" s="1"/>
  <c r="W2886" i="1"/>
  <c r="X2886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7" i="1"/>
  <c r="AL3697" i="1" s="1"/>
  <c r="W2290" i="1"/>
  <c r="AL2290" i="1" s="1"/>
  <c r="W1487" i="1"/>
  <c r="X1487" i="1" s="1"/>
  <c r="W96" i="1"/>
  <c r="AK96" i="1" s="1"/>
  <c r="W3705" i="1"/>
  <c r="AL3705" i="1" s="1"/>
  <c r="W3438" i="1"/>
  <c r="AK3438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8" i="1"/>
  <c r="AL4408" i="1" s="1"/>
  <c r="W4375" i="1"/>
  <c r="AL4375" i="1" s="1"/>
  <c r="AL4231" i="1"/>
  <c r="AK4231" i="1"/>
  <c r="W3660" i="1"/>
  <c r="AL3660" i="1" s="1"/>
  <c r="W3375" i="1"/>
  <c r="X3375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2" i="1"/>
  <c r="AL4252" i="1" s="1"/>
  <c r="W4156" i="1"/>
  <c r="AL4156" i="1" s="1"/>
  <c r="W4083" i="1"/>
  <c r="AL4083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5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7" i="1"/>
  <c r="AL4377" i="1" s="1"/>
  <c r="W4282" i="1"/>
  <c r="AK4282" i="1" s="1"/>
  <c r="W4012" i="1"/>
  <c r="W3944" i="1"/>
  <c r="AK3944" i="1" s="1"/>
  <c r="W3907" i="1"/>
  <c r="X3907" i="1" s="1"/>
  <c r="W3654" i="1"/>
  <c r="W3367" i="1"/>
  <c r="X3367" i="1" s="1"/>
  <c r="W3362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2" i="1"/>
  <c r="AL3652" i="1" s="1"/>
  <c r="W3651" i="1"/>
  <c r="AK3651" i="1" s="1"/>
  <c r="W3366" i="1"/>
  <c r="AK3366" i="1" s="1"/>
  <c r="W3145" i="1"/>
  <c r="X3145" i="1" s="1"/>
  <c r="W3144" i="1"/>
  <c r="AK3144" i="1" s="1"/>
  <c r="W2876" i="1"/>
  <c r="AL2876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3" i="1"/>
  <c r="AL4023" i="1" s="1"/>
  <c r="W3650" i="1"/>
  <c r="AL3650" i="1" s="1"/>
  <c r="W3143" i="1"/>
  <c r="X3143" i="1" s="1"/>
  <c r="W3142" i="1"/>
  <c r="X3142" i="1" s="1"/>
  <c r="W2875" i="1"/>
  <c r="AL2875" i="1" s="1"/>
  <c r="W2790" i="1"/>
  <c r="AL2790" i="1" s="1"/>
  <c r="W2538" i="1"/>
  <c r="X2538" i="1" s="1"/>
  <c r="W1410" i="1"/>
  <c r="X1410" i="1" s="1"/>
  <c r="W994" i="1"/>
  <c r="AK994" i="1" s="1"/>
  <c r="W4406" i="1"/>
  <c r="X4406" i="1" s="1"/>
  <c r="W4373" i="1"/>
  <c r="X4373" i="1" s="1"/>
  <c r="W4281" i="1"/>
  <c r="X4281" i="1" s="1"/>
  <c r="W3308" i="1"/>
  <c r="X3308" i="1" s="1"/>
  <c r="W2716" i="1"/>
  <c r="AL2716" i="1" s="1"/>
  <c r="W830" i="1"/>
  <c r="AL830" i="1" s="1"/>
  <c r="W474" i="1"/>
  <c r="AL474" i="1" s="1"/>
  <c r="W4426" i="1"/>
  <c r="AK4426" i="1" s="1"/>
  <c r="W4280" i="1"/>
  <c r="X4280" i="1" s="1"/>
  <c r="W4082" i="1"/>
  <c r="AL4082" i="1" s="1"/>
  <c r="W4155" i="1"/>
  <c r="AL4155" i="1" s="1"/>
  <c r="W4140" i="1"/>
  <c r="AL4140" i="1" s="1"/>
  <c r="W4081" i="1"/>
  <c r="AL4081" i="1" s="1"/>
  <c r="W3641" i="1"/>
  <c r="X3641" i="1" s="1"/>
  <c r="W4080" i="1"/>
  <c r="AL4080" i="1" s="1"/>
  <c r="W3929" i="1"/>
  <c r="AL3929" i="1" s="1"/>
  <c r="W1506" i="1"/>
  <c r="AK1506" i="1" s="1"/>
  <c r="W1505" i="1"/>
  <c r="AK1505" i="1" s="1"/>
  <c r="W1504" i="1"/>
  <c r="AL1504" i="1" s="1"/>
  <c r="W1502" i="1"/>
  <c r="AL1502" i="1" s="1"/>
  <c r="X4244" i="1"/>
  <c r="U4245" i="1"/>
  <c r="V4245" i="1" s="1"/>
  <c r="U4244" i="1"/>
  <c r="V4244" i="1" s="1"/>
  <c r="W4240" i="1"/>
  <c r="X4240" i="1" s="1"/>
  <c r="W4239" i="1"/>
  <c r="X4239" i="1" s="1"/>
  <c r="U4248" i="1"/>
  <c r="V4248" i="1" s="1"/>
  <c r="W4261" i="1"/>
  <c r="X4261" i="1" s="1"/>
  <c r="W4260" i="1"/>
  <c r="X4260" i="1" s="1"/>
  <c r="W4407" i="1"/>
  <c r="AK4407" i="1" s="1"/>
  <c r="W4427" i="1"/>
  <c r="AK4427" i="1" s="1"/>
  <c r="U917" i="1"/>
  <c r="V917" i="1" s="1"/>
  <c r="W912" i="1"/>
  <c r="X912" i="1" s="1"/>
  <c r="AL4380" i="1"/>
  <c r="AK4380" i="1"/>
  <c r="AL4183" i="1"/>
  <c r="AK4183" i="1"/>
  <c r="X4380" i="1"/>
  <c r="X4183" i="1"/>
  <c r="U4183" i="1"/>
  <c r="V4183" i="1" s="1"/>
  <c r="W1908" i="1"/>
  <c r="AK1908" i="1" s="1"/>
  <c r="X4217" i="1"/>
  <c r="W3844" i="1"/>
  <c r="AL3844" i="1" s="1"/>
  <c r="W1980" i="1"/>
  <c r="AK1980" i="1" s="1"/>
  <c r="W3124" i="1"/>
  <c r="X3124" i="1" s="1"/>
  <c r="W1816" i="1"/>
  <c r="AL1816" i="1" s="1"/>
  <c r="W4216" i="1"/>
  <c r="AL4216" i="1" s="1"/>
  <c r="W4215" i="1"/>
  <c r="AK4215" i="1" s="1"/>
  <c r="W4214" i="1"/>
  <c r="X4214" i="1" s="1"/>
  <c r="W4213" i="1"/>
  <c r="X4213" i="1" s="1"/>
  <c r="W4212" i="1"/>
  <c r="AL4212" i="1" s="1"/>
  <c r="X4218" i="1"/>
  <c r="X4414" i="1"/>
  <c r="X4412" i="1"/>
  <c r="X4376" i="1"/>
  <c r="X4363" i="1"/>
  <c r="X4324" i="1"/>
  <c r="X4221" i="1"/>
  <c r="X4189" i="1"/>
  <c r="X4187" i="1"/>
  <c r="X4173" i="1"/>
  <c r="X4154" i="1"/>
  <c r="U4221" i="1"/>
  <c r="V4221" i="1" s="1"/>
  <c r="U4189" i="1"/>
  <c r="V4189" i="1" s="1"/>
  <c r="U4187" i="1"/>
  <c r="V4187" i="1" s="1"/>
  <c r="U4173" i="1"/>
  <c r="V4173" i="1" s="1"/>
  <c r="U4154" i="1"/>
  <c r="V4154" i="1" s="1"/>
  <c r="W94" i="1"/>
  <c r="AL94" i="1" s="1"/>
  <c r="W90" i="1"/>
  <c r="AL90" i="1" s="1"/>
  <c r="W41" i="1"/>
  <c r="AL41" i="1" s="1"/>
  <c r="W32" i="1"/>
  <c r="AL32" i="1" s="1"/>
  <c r="W1731" i="1"/>
  <c r="AL1731" i="1" s="1"/>
  <c r="W4075" i="1"/>
  <c r="AL4075" i="1" s="1"/>
  <c r="W4379" i="1"/>
  <c r="AL4379" i="1" s="1"/>
  <c r="W4255" i="1"/>
  <c r="AL4255" i="1" s="1"/>
  <c r="W4243" i="1"/>
  <c r="AL4243" i="1" s="1"/>
  <c r="W4234" i="1"/>
  <c r="X4234" i="1" s="1"/>
  <c r="W4095" i="1"/>
  <c r="AL4095" i="1" s="1"/>
  <c r="W4053" i="1"/>
  <c r="X4053" i="1" s="1"/>
  <c r="W121" i="1"/>
  <c r="X121" i="1" s="1"/>
  <c r="W4428" i="1"/>
  <c r="AK4428" i="1" s="1"/>
  <c r="W4171" i="1"/>
  <c r="AL4171" i="1" s="1"/>
  <c r="W4096" i="1"/>
  <c r="X4096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6" i="1"/>
  <c r="AK4226" i="1" s="1"/>
  <c r="U4226" i="1"/>
  <c r="V4226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9" i="1"/>
  <c r="X4209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4" i="1"/>
  <c r="AK4274" i="1"/>
  <c r="AL4272" i="1"/>
  <c r="AK4272" i="1"/>
  <c r="AL4123" i="1"/>
  <c r="AK4123" i="1"/>
  <c r="X4274" i="1"/>
  <c r="X4272" i="1"/>
  <c r="W4121" i="1"/>
  <c r="AL4121" i="1" s="1"/>
  <c r="U4121" i="1"/>
  <c r="V4121" i="1" s="1"/>
  <c r="W4273" i="1"/>
  <c r="AL4273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0" i="1"/>
  <c r="AK4150" i="1"/>
  <c r="X4150" i="1"/>
  <c r="U4150" i="1"/>
  <c r="V4150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4" i="1"/>
  <c r="AL4314" i="1" s="1"/>
  <c r="W4074" i="1"/>
  <c r="X4074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AL692" i="1" s="1"/>
  <c r="X4175" i="1"/>
  <c r="U4157" i="1"/>
  <c r="V4157" i="1" s="1"/>
  <c r="W4405" i="1"/>
  <c r="AL4405" i="1" s="1"/>
  <c r="W4157" i="1"/>
  <c r="AL4157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3" i="1"/>
  <c r="AL4143" i="1" s="1"/>
  <c r="W3481" i="1"/>
  <c r="AL3481" i="1" s="1"/>
  <c r="W4249" i="1"/>
  <c r="AL4249" i="1" s="1"/>
  <c r="W2271" i="1"/>
  <c r="W4336" i="1"/>
  <c r="AL4336" i="1" s="1"/>
  <c r="W4332" i="1"/>
  <c r="X4332" i="1" s="1"/>
  <c r="W3466" i="1"/>
  <c r="X3466" i="1" s="1"/>
  <c r="W3465" i="1"/>
  <c r="AL3465" i="1" s="1"/>
  <c r="W521" i="1"/>
  <c r="X521" i="1" s="1"/>
  <c r="W4253" i="1"/>
  <c r="AK4253" i="1" s="1"/>
  <c r="W4141" i="1"/>
  <c r="AL4141" i="1" s="1"/>
  <c r="W3851" i="1"/>
  <c r="AL3851" i="1" s="1"/>
  <c r="W3464" i="1"/>
  <c r="AL3464" i="1" s="1"/>
  <c r="W3463" i="1"/>
  <c r="X3463" i="1" s="1"/>
  <c r="W3212" i="1"/>
  <c r="AL3212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7" i="1"/>
  <c r="AL4417" i="1" s="1"/>
  <c r="W4307" i="1"/>
  <c r="X4307" i="1" s="1"/>
  <c r="W3852" i="1"/>
  <c r="AL3852" i="1" s="1"/>
  <c r="W3731" i="1"/>
  <c r="AL3731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3" i="1"/>
  <c r="AK4423" i="1" s="1"/>
  <c r="W4410" i="1"/>
  <c r="AK4410" i="1" s="1"/>
  <c r="W4403" i="1"/>
  <c r="AL4403" i="1" s="1"/>
  <c r="W4391" i="1"/>
  <c r="AK4391" i="1" s="1"/>
  <c r="W4385" i="1"/>
  <c r="AL4385" i="1" s="1"/>
  <c r="W4383" i="1"/>
  <c r="X4383" i="1" s="1"/>
  <c r="W4372" i="1"/>
  <c r="X4372" i="1" s="1"/>
  <c r="W4368" i="1"/>
  <c r="X4368" i="1" s="1"/>
  <c r="W4356" i="1"/>
  <c r="AK4356" i="1" s="1"/>
  <c r="W4350" i="1"/>
  <c r="X4350" i="1" s="1"/>
  <c r="W4348" i="1"/>
  <c r="X4348" i="1" s="1"/>
  <c r="W4340" i="1"/>
  <c r="X4340" i="1" s="1"/>
  <c r="W4335" i="1"/>
  <c r="AK4335" i="1" s="1"/>
  <c r="W4323" i="1"/>
  <c r="AL4323" i="1" s="1"/>
  <c r="W4312" i="1"/>
  <c r="AL4312" i="1" s="1"/>
  <c r="W4310" i="1"/>
  <c r="AL4310" i="1" s="1"/>
  <c r="W4306" i="1"/>
  <c r="X4306" i="1" s="1"/>
  <c r="W4304" i="1"/>
  <c r="AK4304" i="1" s="1"/>
  <c r="W4301" i="1"/>
  <c r="X4301" i="1" s="1"/>
  <c r="W4294" i="1"/>
  <c r="AL4294" i="1" s="1"/>
  <c r="W4270" i="1"/>
  <c r="W4265" i="1"/>
  <c r="AG4265" i="1" s="1"/>
  <c r="W4263" i="1"/>
  <c r="W4247" i="1"/>
  <c r="X4247" i="1" s="1"/>
  <c r="W4225" i="1"/>
  <c r="W4208" i="1"/>
  <c r="X4208" i="1" s="1"/>
  <c r="W4206" i="1"/>
  <c r="W4185" i="1"/>
  <c r="W4179" i="1"/>
  <c r="W4177" i="1"/>
  <c r="AG4177" i="1" s="1"/>
  <c r="W4168" i="1"/>
  <c r="AK4168" i="1" s="1"/>
  <c r="W4163" i="1"/>
  <c r="X4163" i="1" s="1"/>
  <c r="W4136" i="1"/>
  <c r="W4117" i="1"/>
  <c r="X4117" i="1" s="1"/>
  <c r="W4111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AK3772" i="1" s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AK3000" i="1"/>
  <c r="W2998" i="1"/>
  <c r="AK2996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2" i="1"/>
  <c r="AK4422" i="1" s="1"/>
  <c r="W4409" i="1"/>
  <c r="AL4409" i="1" s="1"/>
  <c r="W4402" i="1"/>
  <c r="AK4402" i="1" s="1"/>
  <c r="W4390" i="1"/>
  <c r="AK4390" i="1" s="1"/>
  <c r="W4384" i="1"/>
  <c r="X4384" i="1" s="1"/>
  <c r="W4382" i="1"/>
  <c r="X4382" i="1" s="1"/>
  <c r="W4371" i="1"/>
  <c r="X4371" i="1" s="1"/>
  <c r="W4367" i="1"/>
  <c r="AK4367" i="1" s="1"/>
  <c r="W4355" i="1"/>
  <c r="X4355" i="1" s="1"/>
  <c r="W4349" i="1"/>
  <c r="AL4349" i="1" s="1"/>
  <c r="W4347" i="1"/>
  <c r="AK4347" i="1" s="1"/>
  <c r="W4339" i="1"/>
  <c r="AK4339" i="1" s="1"/>
  <c r="W4334" i="1"/>
  <c r="X4334" i="1" s="1"/>
  <c r="W4322" i="1"/>
  <c r="X4322" i="1" s="1"/>
  <c r="W4311" i="1"/>
  <c r="X4311" i="1" s="1"/>
  <c r="W4309" i="1"/>
  <c r="AL4309" i="1" s="1"/>
  <c r="W4305" i="1"/>
  <c r="AK4305" i="1" s="1"/>
  <c r="W4303" i="1"/>
  <c r="AK4303" i="1" s="1"/>
  <c r="W4300" i="1"/>
  <c r="X4300" i="1" s="1"/>
  <c r="W4293" i="1"/>
  <c r="AK4293" i="1" s="1"/>
  <c r="W4269" i="1"/>
  <c r="AK4269" i="1" s="1"/>
  <c r="W4264" i="1"/>
  <c r="W4262" i="1"/>
  <c r="W4246" i="1"/>
  <c r="AL4246" i="1" s="1"/>
  <c r="W4224" i="1"/>
  <c r="AG4224" i="1" s="1"/>
  <c r="W4207" i="1"/>
  <c r="W4205" i="1"/>
  <c r="AK4205" i="1" s="1"/>
  <c r="W4192" i="1"/>
  <c r="AG4192" i="1" s="1"/>
  <c r="W4184" i="1"/>
  <c r="W4178" i="1"/>
  <c r="AG4178" i="1" s="1"/>
  <c r="W4176" i="1"/>
  <c r="X4176" i="1" s="1"/>
  <c r="W4167" i="1"/>
  <c r="X4167" i="1" s="1"/>
  <c r="W4162" i="1"/>
  <c r="AG4162" i="1" s="1"/>
  <c r="W4135" i="1"/>
  <c r="AG4135" i="1" s="1"/>
  <c r="W4116" i="1"/>
  <c r="AG4116" i="1" s="1"/>
  <c r="W4110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AL2999" i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1" i="1"/>
  <c r="X4210" i="1"/>
  <c r="AL4218" i="1"/>
  <c r="AK4218" i="1"/>
  <c r="AK4213" i="1"/>
  <c r="AL4211" i="1"/>
  <c r="AK4211" i="1"/>
  <c r="AL4210" i="1"/>
  <c r="AK4210" i="1"/>
  <c r="U809" i="1"/>
  <c r="V809" i="1" s="1"/>
  <c r="U810" i="1"/>
  <c r="V810" i="1" s="1"/>
  <c r="U808" i="1"/>
  <c r="V808" i="1" s="1"/>
  <c r="U843" i="1"/>
  <c r="V843" i="1" s="1"/>
  <c r="W3636" i="1"/>
  <c r="X3636" i="1" s="1"/>
  <c r="AK3827" i="1"/>
  <c r="AK3826" i="1"/>
  <c r="AK3743" i="1"/>
  <c r="AK3717" i="1"/>
  <c r="AK3700" i="1"/>
  <c r="AK3638" i="1"/>
  <c r="AK3547" i="1"/>
  <c r="AK3459" i="1"/>
  <c r="AK2515" i="1"/>
  <c r="AK2514" i="1"/>
  <c r="AK2259" i="1"/>
  <c r="AK200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6" i="1"/>
  <c r="AL4276" i="1" s="1"/>
  <c r="W4275" i="1"/>
  <c r="AL4275" i="1" s="1"/>
  <c r="W1567" i="1"/>
  <c r="AL1567" i="1" s="1"/>
  <c r="AL3827" i="1"/>
  <c r="AL3826" i="1"/>
  <c r="AL3743" i="1"/>
  <c r="AL3717" i="1"/>
  <c r="AL3638" i="1"/>
  <c r="AL3547" i="1"/>
  <c r="AL3459" i="1"/>
  <c r="AL2515" i="1"/>
  <c r="AL2514" i="1"/>
  <c r="AL2259" i="1"/>
  <c r="AL2002" i="1"/>
  <c r="AL1842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638" i="1"/>
  <c r="X3547" i="1"/>
  <c r="X3459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7" i="1"/>
  <c r="AK4387" i="1" s="1"/>
  <c r="W4354" i="1"/>
  <c r="AK4354" i="1" s="1"/>
  <c r="W4353" i="1"/>
  <c r="AK4353" i="1" s="1"/>
  <c r="W4182" i="1"/>
  <c r="AL4182" i="1" s="1"/>
  <c r="W4181" i="1"/>
  <c r="AL4181" i="1" s="1"/>
  <c r="W4170" i="1"/>
  <c r="AL4170" i="1" s="1"/>
  <c r="W4159" i="1"/>
  <c r="AL4159" i="1" s="1"/>
  <c r="W4158" i="1"/>
  <c r="X4158" i="1" s="1"/>
  <c r="W4152" i="1"/>
  <c r="AK4152" i="1" s="1"/>
  <c r="W4151" i="1"/>
  <c r="AK4151" i="1" s="1"/>
  <c r="AL4145" i="1"/>
  <c r="AK4145" i="1"/>
  <c r="U4182" i="1"/>
  <c r="V4182" i="1" s="1"/>
  <c r="U4181" i="1"/>
  <c r="V4181" i="1" s="1"/>
  <c r="U4170" i="1"/>
  <c r="V4170" i="1" s="1"/>
  <c r="U4159" i="1"/>
  <c r="V4159" i="1" s="1"/>
  <c r="U4158" i="1"/>
  <c r="V4158" i="1" s="1"/>
  <c r="U4152" i="1"/>
  <c r="V4152" i="1" s="1"/>
  <c r="U4151" i="1"/>
  <c r="V4151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5" i="1"/>
  <c r="AL3076" i="1"/>
  <c r="U4229" i="1"/>
  <c r="V4229" i="1" s="1"/>
  <c r="U4198" i="1"/>
  <c r="V4198" i="1" s="1"/>
  <c r="AL4200" i="1"/>
  <c r="AK4200" i="1"/>
  <c r="X4200" i="1"/>
  <c r="U4200" i="1"/>
  <c r="V4200" i="1" s="1"/>
  <c r="AL4189" i="1"/>
  <c r="AK4189" i="1"/>
  <c r="AL4187" i="1"/>
  <c r="AK4187" i="1"/>
  <c r="AL4132" i="1"/>
  <c r="AK4132" i="1"/>
  <c r="AL4119" i="1"/>
  <c r="AK4119" i="1"/>
  <c r="X4132" i="1"/>
  <c r="X4119" i="1"/>
  <c r="U4132" i="1"/>
  <c r="V4132" i="1" s="1"/>
  <c r="U4119" i="1"/>
  <c r="V4119" i="1" s="1"/>
  <c r="W989" i="1"/>
  <c r="X989" i="1" s="1"/>
  <c r="W979" i="1"/>
  <c r="AK979" i="1" s="1"/>
  <c r="W985" i="1"/>
  <c r="AL985" i="1" s="1"/>
  <c r="AL4108" i="1"/>
  <c r="AK4108" i="1"/>
  <c r="AL4107" i="1"/>
  <c r="AK4107" i="1"/>
  <c r="AL4106" i="1"/>
  <c r="AK4106" i="1"/>
  <c r="AL4105" i="1"/>
  <c r="AK4105" i="1"/>
  <c r="AL4084" i="1"/>
  <c r="AK4084" i="1"/>
  <c r="AL4079" i="1"/>
  <c r="AK4079" i="1"/>
  <c r="X4106" i="1"/>
  <c r="X4107" i="1"/>
  <c r="X4108" i="1"/>
  <c r="U4107" i="1"/>
  <c r="V4107" i="1" s="1"/>
  <c r="U4108" i="1"/>
  <c r="V4108" i="1" s="1"/>
  <c r="U4106" i="1"/>
  <c r="V4106" i="1" s="1"/>
  <c r="W4365" i="1"/>
  <c r="X4365" i="1" s="1"/>
  <c r="W4362" i="1"/>
  <c r="X4362" i="1" s="1"/>
  <c r="W4359" i="1"/>
  <c r="AL4359" i="1" s="1"/>
  <c r="X4318" i="1"/>
  <c r="W4404" i="1"/>
  <c r="AK4404" i="1" s="1"/>
  <c r="AL4415" i="1"/>
  <c r="X4415" i="1"/>
  <c r="W4416" i="1"/>
  <c r="AK4416" i="1" s="1"/>
  <c r="W4419" i="1"/>
  <c r="AL4419" i="1" s="1"/>
  <c r="W4420" i="1"/>
  <c r="AK4420" i="1" s="1"/>
  <c r="W4431" i="1"/>
  <c r="X4431" i="1" s="1"/>
  <c r="W4430" i="1"/>
  <c r="AK4430" i="1" s="1"/>
  <c r="W4429" i="1"/>
  <c r="AK4429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2" i="1"/>
  <c r="AL4302" i="1"/>
  <c r="AK4308" i="1"/>
  <c r="AL4308" i="1"/>
  <c r="AK4313" i="1"/>
  <c r="AL4313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1" i="1"/>
  <c r="AL4321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L4329" i="1"/>
  <c r="AK4330" i="1"/>
  <c r="AK4331" i="1"/>
  <c r="AK4333" i="1"/>
  <c r="AL4333" i="1"/>
  <c r="AK4337" i="1"/>
  <c r="AL4337" i="1"/>
  <c r="AK4338" i="1"/>
  <c r="AL4338" i="1"/>
  <c r="AK4341" i="1"/>
  <c r="AL4341" i="1"/>
  <c r="AK4342" i="1"/>
  <c r="AL4342" i="1"/>
  <c r="AK4343" i="1"/>
  <c r="AL4343" i="1"/>
  <c r="AK4344" i="1"/>
  <c r="AL4344" i="1"/>
  <c r="AK4345" i="1"/>
  <c r="AL4345" i="1"/>
  <c r="AK4346" i="1"/>
  <c r="AL4346" i="1"/>
  <c r="AK4357" i="1"/>
  <c r="AK4358" i="1"/>
  <c r="AK4360" i="1"/>
  <c r="AL4360" i="1"/>
  <c r="AK4361" i="1"/>
  <c r="AL4361" i="1"/>
  <c r="AK4363" i="1"/>
  <c r="AL4363" i="1"/>
  <c r="AK4364" i="1"/>
  <c r="AL4364" i="1"/>
  <c r="AK4366" i="1"/>
  <c r="AL4366" i="1"/>
  <c r="AK4370" i="1"/>
  <c r="AL4370" i="1"/>
  <c r="AK4376" i="1"/>
  <c r="AL4376" i="1"/>
  <c r="AK4381" i="1"/>
  <c r="AL4381" i="1"/>
  <c r="AK4388" i="1"/>
  <c r="AL4388" i="1"/>
  <c r="AK4389" i="1"/>
  <c r="AL4389" i="1"/>
  <c r="AK4392" i="1"/>
  <c r="AL4392" i="1"/>
  <c r="AK4393" i="1"/>
  <c r="AL4393" i="1"/>
  <c r="AK4394" i="1"/>
  <c r="AL4394" i="1"/>
  <c r="AK4395" i="1"/>
  <c r="AL4395" i="1"/>
  <c r="AK4396" i="1"/>
  <c r="AL4396" i="1"/>
  <c r="AK4397" i="1"/>
  <c r="AL4397" i="1"/>
  <c r="AK4400" i="1"/>
  <c r="AL4400" i="1"/>
  <c r="AK4401" i="1"/>
  <c r="AL4401" i="1"/>
  <c r="AK4412" i="1"/>
  <c r="AL4412" i="1"/>
  <c r="AK4414" i="1"/>
  <c r="AL4414" i="1"/>
  <c r="AK4415" i="1"/>
  <c r="AK4418" i="1"/>
  <c r="AL4418" i="1"/>
  <c r="AK4421" i="1"/>
  <c r="AL4421" i="1"/>
  <c r="AK4424" i="1"/>
  <c r="AL4424" i="1"/>
  <c r="AK4425" i="1"/>
  <c r="AL4425" i="1"/>
  <c r="U4239" i="1"/>
  <c r="V4239" i="1" s="1"/>
  <c r="U4240" i="1"/>
  <c r="V4240" i="1" s="1"/>
  <c r="U4241" i="1"/>
  <c r="V4241" i="1" s="1"/>
  <c r="U4242" i="1"/>
  <c r="V4242" i="1" s="1"/>
  <c r="X4302" i="1"/>
  <c r="X4308" i="1"/>
  <c r="X4313" i="1"/>
  <c r="X4315" i="1"/>
  <c r="X4316" i="1"/>
  <c r="X4317" i="1"/>
  <c r="X4319" i="1"/>
  <c r="X4320" i="1"/>
  <c r="X4321" i="1"/>
  <c r="X4325" i="1"/>
  <c r="X4326" i="1"/>
  <c r="X4327" i="1"/>
  <c r="X4328" i="1"/>
  <c r="X4329" i="1"/>
  <c r="X4333" i="1"/>
  <c r="X4337" i="1"/>
  <c r="X4338" i="1"/>
  <c r="X4341" i="1"/>
  <c r="X4342" i="1"/>
  <c r="X4343" i="1"/>
  <c r="X4344" i="1"/>
  <c r="X4345" i="1"/>
  <c r="X4346" i="1"/>
  <c r="X4360" i="1"/>
  <c r="X4361" i="1"/>
  <c r="X4364" i="1"/>
  <c r="X4366" i="1"/>
  <c r="X4370" i="1"/>
  <c r="X4381" i="1"/>
  <c r="X4388" i="1"/>
  <c r="X4389" i="1"/>
  <c r="X4392" i="1"/>
  <c r="X4393" i="1"/>
  <c r="X4394" i="1"/>
  <c r="X4395" i="1"/>
  <c r="X4396" i="1"/>
  <c r="X4397" i="1"/>
  <c r="X4400" i="1"/>
  <c r="X4401" i="1"/>
  <c r="X4418" i="1"/>
  <c r="X4421" i="1"/>
  <c r="X4424" i="1"/>
  <c r="X4425" i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302" i="1"/>
  <c r="V4302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AK3130" i="1" s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147" i="1"/>
  <c r="AK4147" i="1"/>
  <c r="AL4199" i="1"/>
  <c r="AK4199" i="1"/>
  <c r="X4199" i="1"/>
  <c r="U4199" i="1"/>
  <c r="V4199" i="1" s="1"/>
  <c r="AK4278" i="1"/>
  <c r="AL4277" i="1"/>
  <c r="AK4277" i="1"/>
  <c r="AL4175" i="1"/>
  <c r="AK4175" i="1"/>
  <c r="W519" i="1"/>
  <c r="AL519" i="1" s="1"/>
  <c r="W2799" i="1"/>
  <c r="AL2799" i="1" s="1"/>
  <c r="U4065" i="1"/>
  <c r="V4065" i="1" s="1"/>
  <c r="AL4268" i="1"/>
  <c r="AK4268" i="1"/>
  <c r="AL4259" i="1"/>
  <c r="AK4259" i="1"/>
  <c r="AL4065" i="1"/>
  <c r="AK4065" i="1"/>
  <c r="W317" i="1"/>
  <c r="AL317" i="1" s="1"/>
  <c r="W318" i="1"/>
  <c r="AL318" i="1" s="1"/>
  <c r="W4267" i="1"/>
  <c r="X4267" i="1" s="1"/>
  <c r="AL4266" i="1"/>
  <c r="AK4266" i="1"/>
  <c r="W4113" i="1"/>
  <c r="X4113" i="1" s="1"/>
  <c r="U4113" i="1"/>
  <c r="V4113" i="1" s="1"/>
  <c r="AK3280" i="1"/>
  <c r="AL3280" i="1"/>
  <c r="AG1338" i="1"/>
  <c r="W1338" i="1"/>
  <c r="X1338" i="1" s="1"/>
  <c r="U867" i="1"/>
  <c r="V867" i="1" s="1"/>
  <c r="W457" i="1"/>
  <c r="AL457" i="1" s="1"/>
  <c r="AK455" i="1"/>
  <c r="W459" i="1"/>
  <c r="AK4271" i="1"/>
  <c r="AL4271" i="1"/>
  <c r="AK4279" i="1"/>
  <c r="AL4279" i="1"/>
  <c r="AK4285" i="1"/>
  <c r="AL4285" i="1"/>
  <c r="AK4286" i="1"/>
  <c r="AL4286" i="1"/>
  <c r="AK4287" i="1"/>
  <c r="AL4287" i="1"/>
  <c r="AK4288" i="1"/>
  <c r="AL4288" i="1"/>
  <c r="AK4289" i="1"/>
  <c r="AL4289" i="1"/>
  <c r="AK4291" i="1"/>
  <c r="AL4291" i="1"/>
  <c r="AK4292" i="1"/>
  <c r="AL4292" i="1"/>
  <c r="AK4295" i="1"/>
  <c r="AL4295" i="1"/>
  <c r="AK4296" i="1"/>
  <c r="AL4296" i="1"/>
  <c r="AK4297" i="1"/>
  <c r="AL4297" i="1"/>
  <c r="AK4298" i="1"/>
  <c r="AL4298" i="1"/>
  <c r="AK4299" i="1"/>
  <c r="AL4299" i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09" i="1"/>
  <c r="V4209" i="1" s="1"/>
  <c r="X4259" i="1"/>
  <c r="U4260" i="1"/>
  <c r="V4260" i="1" s="1"/>
  <c r="U4261" i="1"/>
  <c r="V4261" i="1" s="1"/>
  <c r="W4290" i="1"/>
  <c r="X4290" i="1" s="1"/>
  <c r="X4287" i="1"/>
  <c r="X4288" i="1"/>
  <c r="X4289" i="1"/>
  <c r="X4291" i="1"/>
  <c r="X4292" i="1"/>
  <c r="X4295" i="1"/>
  <c r="X4296" i="1"/>
  <c r="X4297" i="1"/>
  <c r="X4298" i="1"/>
  <c r="X4299" i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X4271" i="1"/>
  <c r="X4277" i="1"/>
  <c r="X4279" i="1"/>
  <c r="X4285" i="1"/>
  <c r="X4286" i="1"/>
  <c r="X4266" i="1"/>
  <c r="X4268" i="1"/>
  <c r="U4266" i="1"/>
  <c r="V4266" i="1" s="1"/>
  <c r="U4267" i="1"/>
  <c r="V4267" i="1" s="1"/>
  <c r="U4268" i="1"/>
  <c r="V4268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79" i="1"/>
  <c r="V4279" i="1" s="1"/>
  <c r="U4272" i="1"/>
  <c r="V4272" i="1" s="1"/>
  <c r="U4273" i="1"/>
  <c r="V4273" i="1" s="1"/>
  <c r="U4274" i="1"/>
  <c r="V4274" i="1" s="1"/>
  <c r="U4275" i="1"/>
  <c r="V4275" i="1" s="1"/>
  <c r="U4276" i="1"/>
  <c r="V4276" i="1" s="1"/>
  <c r="U4271" i="1"/>
  <c r="V4271" i="1" s="1"/>
  <c r="W4070" i="1"/>
  <c r="X4070" i="1" s="1"/>
  <c r="W4069" i="1"/>
  <c r="X4069" i="1" s="1"/>
  <c r="W4068" i="1"/>
  <c r="X4068" i="1" s="1"/>
  <c r="W3617" i="1"/>
  <c r="X3617" i="1" s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7" i="1"/>
  <c r="V4277" i="1" s="1"/>
  <c r="U4175" i="1"/>
  <c r="V4175" i="1" s="1"/>
  <c r="AG1966" i="1"/>
  <c r="W900" i="1"/>
  <c r="AL900" i="1" s="1"/>
  <c r="AJ4186" i="1"/>
  <c r="AF4186" i="1" s="1"/>
  <c r="W4186" i="1"/>
  <c r="AL4186" i="1" s="1"/>
  <c r="W4257" i="1"/>
  <c r="AK4257" i="1" s="1"/>
  <c r="W4160" i="1"/>
  <c r="AL4160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7" i="1"/>
  <c r="AG4160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8" i="1"/>
  <c r="AL4148" i="1" s="1"/>
  <c r="U4147" i="1"/>
  <c r="V4147" i="1" s="1"/>
  <c r="U4148" i="1"/>
  <c r="V4148" i="1" s="1"/>
  <c r="U4149" i="1"/>
  <c r="V4149" i="1" s="1"/>
  <c r="AL4149" i="1"/>
  <c r="AK4149" i="1"/>
  <c r="AJ4149" i="1"/>
  <c r="AF4149" i="1" s="1"/>
  <c r="AJ4148" i="1"/>
  <c r="AF4148" i="1" s="1"/>
  <c r="AJ4147" i="1"/>
  <c r="AF4147" i="1" s="1"/>
  <c r="AL4146" i="1"/>
  <c r="AK4146" i="1"/>
  <c r="AJ4146" i="1"/>
  <c r="AF4146" i="1" s="1"/>
  <c r="X4149" i="1"/>
  <c r="X4147" i="1"/>
  <c r="X4146" i="1"/>
  <c r="U4146" i="1"/>
  <c r="V4146" i="1" s="1"/>
  <c r="AG4146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0" i="1"/>
  <c r="AF4270" i="1" s="1"/>
  <c r="U4270" i="1"/>
  <c r="V4270" i="1" s="1"/>
  <c r="AJ4269" i="1"/>
  <c r="U4269" i="1"/>
  <c r="V4269" i="1" s="1"/>
  <c r="AJ4265" i="1"/>
  <c r="AF4265" i="1" s="1"/>
  <c r="U4265" i="1"/>
  <c r="V4265" i="1" s="1"/>
  <c r="AJ4264" i="1"/>
  <c r="U4264" i="1"/>
  <c r="V4264" i="1" s="1"/>
  <c r="AJ4263" i="1"/>
  <c r="AF4263" i="1" s="1"/>
  <c r="U4263" i="1"/>
  <c r="V4263" i="1" s="1"/>
  <c r="AJ4262" i="1"/>
  <c r="U4262" i="1"/>
  <c r="V4262" i="1" s="1"/>
  <c r="AJ4258" i="1"/>
  <c r="AF4258" i="1" s="1"/>
  <c r="W4258" i="1"/>
  <c r="AK4258" i="1" s="1"/>
  <c r="U4258" i="1"/>
  <c r="V4258" i="1" s="1"/>
  <c r="AJ4257" i="1"/>
  <c r="AF4257" i="1" s="1"/>
  <c r="U4257" i="1"/>
  <c r="V4257" i="1" s="1"/>
  <c r="AF4256" i="1"/>
  <c r="W4256" i="1"/>
  <c r="X4256" i="1" s="1"/>
  <c r="U4256" i="1"/>
  <c r="V4256" i="1" s="1"/>
  <c r="U4255" i="1"/>
  <c r="V4255" i="1" s="1"/>
  <c r="AJ4254" i="1"/>
  <c r="AF4254" i="1" s="1"/>
  <c r="W4254" i="1"/>
  <c r="U4254" i="1"/>
  <c r="V4254" i="1" s="1"/>
  <c r="AJ4253" i="1"/>
  <c r="AF4253" i="1" s="1"/>
  <c r="U4253" i="1"/>
  <c r="V4253" i="1" s="1"/>
  <c r="U4252" i="1"/>
  <c r="V4252" i="1" s="1"/>
  <c r="AJ4251" i="1"/>
  <c r="AF4251" i="1" s="1"/>
  <c r="W4251" i="1"/>
  <c r="X4251" i="1" s="1"/>
  <c r="U4251" i="1"/>
  <c r="V4251" i="1" s="1"/>
  <c r="AL4250" i="1"/>
  <c r="AK4250" i="1"/>
  <c r="AJ4250" i="1"/>
  <c r="AF4250" i="1" s="1"/>
  <c r="X4250" i="1"/>
  <c r="U4250" i="1"/>
  <c r="V4250" i="1" s="1"/>
  <c r="AJ4249" i="1"/>
  <c r="AF4249" i="1" s="1"/>
  <c r="U4249" i="1"/>
  <c r="V4249" i="1" s="1"/>
  <c r="AJ4247" i="1"/>
  <c r="AF4247" i="1" s="1"/>
  <c r="U4247" i="1"/>
  <c r="V4247" i="1" s="1"/>
  <c r="AJ4246" i="1"/>
  <c r="U4246" i="1"/>
  <c r="V4246" i="1" s="1"/>
  <c r="U4243" i="1"/>
  <c r="V4243" i="1" s="1"/>
  <c r="AJ4238" i="1"/>
  <c r="AF4238" i="1" s="1"/>
  <c r="W4238" i="1"/>
  <c r="U4238" i="1"/>
  <c r="V4238" i="1" s="1"/>
  <c r="AL4237" i="1"/>
  <c r="AK4237" i="1"/>
  <c r="AJ4237" i="1"/>
  <c r="AF4237" i="1" s="1"/>
  <c r="X4237" i="1"/>
  <c r="U4237" i="1"/>
  <c r="V4237" i="1" s="1"/>
  <c r="U4235" i="1"/>
  <c r="V4235" i="1" s="1"/>
  <c r="U4234" i="1"/>
  <c r="V4234" i="1" s="1"/>
  <c r="U4233" i="1"/>
  <c r="V4233" i="1" s="1"/>
  <c r="U4232" i="1"/>
  <c r="V4232" i="1" s="1"/>
  <c r="X4231" i="1"/>
  <c r="U4231" i="1"/>
  <c r="V4231" i="1" s="1"/>
  <c r="AJ4230" i="1"/>
  <c r="AF4230" i="1" s="1"/>
  <c r="W4230" i="1"/>
  <c r="X4230" i="1" s="1"/>
  <c r="U4230" i="1"/>
  <c r="V4230" i="1" s="1"/>
  <c r="AL4228" i="1"/>
  <c r="AK4228" i="1"/>
  <c r="AJ4228" i="1"/>
  <c r="AF4228" i="1" s="1"/>
  <c r="X4228" i="1"/>
  <c r="U4228" i="1"/>
  <c r="V4228" i="1" s="1"/>
  <c r="AL4227" i="1"/>
  <c r="AK4227" i="1"/>
  <c r="AJ4227" i="1"/>
  <c r="AF4227" i="1" s="1"/>
  <c r="X4227" i="1"/>
  <c r="U4227" i="1"/>
  <c r="V4227" i="1" s="1"/>
  <c r="AJ4225" i="1"/>
  <c r="AF4225" i="1" s="1"/>
  <c r="U4225" i="1"/>
  <c r="V4225" i="1" s="1"/>
  <c r="AJ4224" i="1"/>
  <c r="U4224" i="1"/>
  <c r="V4224" i="1" s="1"/>
  <c r="AJ4222" i="1"/>
  <c r="AF4222" i="1" s="1"/>
  <c r="W4222" i="1"/>
  <c r="U4222" i="1"/>
  <c r="V4222" i="1" s="1"/>
  <c r="AL4220" i="1"/>
  <c r="AK4220" i="1"/>
  <c r="AJ4220" i="1"/>
  <c r="AF4220" i="1" s="1"/>
  <c r="X4220" i="1"/>
  <c r="U4220" i="1"/>
  <c r="V4220" i="1" s="1"/>
  <c r="AJ4208" i="1"/>
  <c r="AF4208" i="1" s="1"/>
  <c r="U4208" i="1"/>
  <c r="V4208" i="1" s="1"/>
  <c r="AJ4207" i="1"/>
  <c r="U4207" i="1"/>
  <c r="V4207" i="1" s="1"/>
  <c r="AJ4206" i="1"/>
  <c r="AF4206" i="1" s="1"/>
  <c r="U4206" i="1"/>
  <c r="V4206" i="1" s="1"/>
  <c r="AJ4205" i="1"/>
  <c r="U4205" i="1"/>
  <c r="V4205" i="1" s="1"/>
  <c r="AJ4204" i="1"/>
  <c r="AF4204" i="1" s="1"/>
  <c r="U4204" i="1"/>
  <c r="V4204" i="1" s="1"/>
  <c r="AJ4203" i="1"/>
  <c r="AF4203" i="1" s="1"/>
  <c r="U4203" i="1"/>
  <c r="V4203" i="1" s="1"/>
  <c r="AJ4202" i="1"/>
  <c r="AF4202" i="1" s="1"/>
  <c r="W4202" i="1"/>
  <c r="U4202" i="1"/>
  <c r="V4202" i="1" s="1"/>
  <c r="X4201" i="1"/>
  <c r="U4201" i="1"/>
  <c r="V4201" i="1" s="1"/>
  <c r="AJ4197" i="1"/>
  <c r="AF4197" i="1" s="1"/>
  <c r="W4197" i="1"/>
  <c r="AL4197" i="1" s="1"/>
  <c r="U4197" i="1"/>
  <c r="V4197" i="1" s="1"/>
  <c r="AJ4196" i="1"/>
  <c r="AF4196" i="1" s="1"/>
  <c r="W4196" i="1"/>
  <c r="U4196" i="1"/>
  <c r="V4196" i="1" s="1"/>
  <c r="AJ4195" i="1"/>
  <c r="AF4195" i="1" s="1"/>
  <c r="W4195" i="1"/>
  <c r="U4195" i="1"/>
  <c r="V4195" i="1" s="1"/>
  <c r="AK4193" i="1"/>
  <c r="AJ4193" i="1"/>
  <c r="AF4193" i="1" s="1"/>
  <c r="AG4193" i="1"/>
  <c r="U4193" i="1"/>
  <c r="V4193" i="1" s="1"/>
  <c r="AJ4192" i="1"/>
  <c r="U4192" i="1"/>
  <c r="V4192" i="1" s="1"/>
  <c r="U4188" i="1"/>
  <c r="V4188" i="1" s="1"/>
  <c r="U4186" i="1"/>
  <c r="V4186" i="1" s="1"/>
  <c r="AJ4185" i="1"/>
  <c r="AF4185" i="1" s="1"/>
  <c r="U4185" i="1"/>
  <c r="V4185" i="1" s="1"/>
  <c r="AJ4184" i="1"/>
  <c r="U4184" i="1"/>
  <c r="V4184" i="1" s="1"/>
  <c r="AJ4179" i="1"/>
  <c r="AF4179" i="1" s="1"/>
  <c r="U4179" i="1"/>
  <c r="V4179" i="1" s="1"/>
  <c r="AJ4178" i="1"/>
  <c r="U4178" i="1"/>
  <c r="V4178" i="1" s="1"/>
  <c r="AJ4177" i="1"/>
  <c r="AF4177" i="1" s="1"/>
  <c r="U4177" i="1"/>
  <c r="V4177" i="1" s="1"/>
  <c r="AJ4176" i="1"/>
  <c r="U4176" i="1"/>
  <c r="V4176" i="1" s="1"/>
  <c r="AJ4174" i="1"/>
  <c r="AF4174" i="1" s="1"/>
  <c r="W4174" i="1"/>
  <c r="X4174" i="1" s="1"/>
  <c r="U4174" i="1"/>
  <c r="V4174" i="1" s="1"/>
  <c r="AL4172" i="1"/>
  <c r="AK4172" i="1"/>
  <c r="AJ4172" i="1"/>
  <c r="AF4172" i="1" s="1"/>
  <c r="X4172" i="1"/>
  <c r="U4172" i="1"/>
  <c r="V4172" i="1" s="1"/>
  <c r="U4171" i="1"/>
  <c r="V4171" i="1" s="1"/>
  <c r="AJ4168" i="1"/>
  <c r="AF4168" i="1" s="1"/>
  <c r="U4168" i="1"/>
  <c r="V4168" i="1" s="1"/>
  <c r="AJ4167" i="1"/>
  <c r="U4167" i="1"/>
  <c r="V4167" i="1" s="1"/>
  <c r="AJ4165" i="1"/>
  <c r="AF4165" i="1" s="1"/>
  <c r="W4165" i="1"/>
  <c r="X4165" i="1" s="1"/>
  <c r="U4165" i="1"/>
  <c r="V4165" i="1" s="1"/>
  <c r="AL4164" i="1"/>
  <c r="AK4164" i="1"/>
  <c r="AJ4164" i="1"/>
  <c r="AF4164" i="1" s="1"/>
  <c r="X4164" i="1"/>
  <c r="U4164" i="1"/>
  <c r="V4164" i="1" s="1"/>
  <c r="AJ4163" i="1"/>
  <c r="AF4163" i="1" s="1"/>
  <c r="U4163" i="1"/>
  <c r="V4163" i="1" s="1"/>
  <c r="AJ4162" i="1"/>
  <c r="U4162" i="1"/>
  <c r="V4162" i="1" s="1"/>
  <c r="AJ4161" i="1"/>
  <c r="AF4161" i="1" s="1"/>
  <c r="W4161" i="1"/>
  <c r="U4161" i="1"/>
  <c r="V4161" i="1" s="1"/>
  <c r="AJ4160" i="1"/>
  <c r="AF4160" i="1" s="1"/>
  <c r="U4160" i="1"/>
  <c r="V4160" i="1" s="1"/>
  <c r="U4156" i="1"/>
  <c r="V4156" i="1" s="1"/>
  <c r="U4155" i="1"/>
  <c r="V4155" i="1" s="1"/>
  <c r="U4153" i="1"/>
  <c r="V4153" i="1" s="1"/>
  <c r="X4145" i="1"/>
  <c r="U4145" i="1"/>
  <c r="V4145" i="1" s="1"/>
  <c r="AJ4144" i="1"/>
  <c r="AF4144" i="1" s="1"/>
  <c r="W4144" i="1"/>
  <c r="X4144" i="1" s="1"/>
  <c r="U4144" i="1"/>
  <c r="V4144" i="1" s="1"/>
  <c r="AJ4143" i="1"/>
  <c r="AF4143" i="1" s="1"/>
  <c r="U4143" i="1"/>
  <c r="V4143" i="1" s="1"/>
  <c r="AJ4142" i="1"/>
  <c r="AF4142" i="1" s="1"/>
  <c r="W4142" i="1"/>
  <c r="AL4142" i="1" s="1"/>
  <c r="U4142" i="1"/>
  <c r="V4142" i="1" s="1"/>
  <c r="AJ4141" i="1"/>
  <c r="AF4141" i="1" s="1"/>
  <c r="U4141" i="1"/>
  <c r="V4141" i="1" s="1"/>
  <c r="U4140" i="1"/>
  <c r="V4140" i="1" s="1"/>
  <c r="X4139" i="1"/>
  <c r="U4139" i="1"/>
  <c r="V4139" i="1" s="1"/>
  <c r="AJ4138" i="1"/>
  <c r="AF4138" i="1" s="1"/>
  <c r="W4138" i="1"/>
  <c r="U4138" i="1"/>
  <c r="V4138" i="1" s="1"/>
  <c r="AL4137" i="1"/>
  <c r="AK4137" i="1"/>
  <c r="AJ4137" i="1"/>
  <c r="AF4137" i="1" s="1"/>
  <c r="X4137" i="1"/>
  <c r="U4137" i="1"/>
  <c r="V4137" i="1" s="1"/>
  <c r="AJ4136" i="1"/>
  <c r="AF4136" i="1" s="1"/>
  <c r="U4136" i="1"/>
  <c r="V4136" i="1" s="1"/>
  <c r="AJ4135" i="1"/>
  <c r="U4135" i="1"/>
  <c r="V4135" i="1" s="1"/>
  <c r="X4133" i="1"/>
  <c r="U4133" i="1"/>
  <c r="V4133" i="1" s="1"/>
  <c r="AL4131" i="1"/>
  <c r="AK4131" i="1"/>
  <c r="AJ4131" i="1"/>
  <c r="AF4131" i="1" s="1"/>
  <c r="X4131" i="1"/>
  <c r="U4131" i="1"/>
  <c r="V4131" i="1" s="1"/>
  <c r="AL4130" i="1"/>
  <c r="AK4130" i="1"/>
  <c r="AJ4130" i="1"/>
  <c r="AF4130" i="1" s="1"/>
  <c r="X4130" i="1"/>
  <c r="U4130" i="1"/>
  <c r="V4130" i="1" s="1"/>
  <c r="AJ4126" i="1"/>
  <c r="AF4126" i="1" s="1"/>
  <c r="W4126" i="1"/>
  <c r="X4126" i="1" s="1"/>
  <c r="U4126" i="1"/>
  <c r="V4126" i="1" s="1"/>
  <c r="AL4125" i="1"/>
  <c r="AK4125" i="1"/>
  <c r="AJ4125" i="1"/>
  <c r="AF4125" i="1" s="1"/>
  <c r="X4125" i="1"/>
  <c r="U4125" i="1"/>
  <c r="V4125" i="1" s="1"/>
  <c r="AJ4117" i="1"/>
  <c r="AF4117" i="1" s="1"/>
  <c r="U4117" i="1"/>
  <c r="V4117" i="1" s="1"/>
  <c r="AJ4116" i="1"/>
  <c r="U4116" i="1"/>
  <c r="V4116" i="1" s="1"/>
  <c r="AJ4111" i="1"/>
  <c r="AF4111" i="1" s="1"/>
  <c r="U4111" i="1"/>
  <c r="V4111" i="1" s="1"/>
  <c r="AJ4110" i="1"/>
  <c r="U4110" i="1"/>
  <c r="V4110" i="1" s="1"/>
  <c r="X4105" i="1"/>
  <c r="U4105" i="1"/>
  <c r="V4105" i="1" s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AF4094" i="1"/>
  <c r="W4094" i="1"/>
  <c r="X4094" i="1" s="1"/>
  <c r="U4094" i="1"/>
  <c r="V4094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X4084" i="1"/>
  <c r="U4084" i="1"/>
  <c r="V4084" i="1" s="1"/>
  <c r="U4083" i="1"/>
  <c r="V4083" i="1" s="1"/>
  <c r="U4082" i="1"/>
  <c r="V4082" i="1" s="1"/>
  <c r="U4081" i="1"/>
  <c r="V4081" i="1" s="1"/>
  <c r="U4080" i="1"/>
  <c r="V4080" i="1" s="1"/>
  <c r="X4079" i="1"/>
  <c r="U4079" i="1"/>
  <c r="V4079" i="1" s="1"/>
  <c r="U4075" i="1"/>
  <c r="V4075" i="1" s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U4060" i="1"/>
  <c r="V4060" i="1" s="1"/>
  <c r="U4059" i="1"/>
  <c r="V4059" i="1" s="1"/>
  <c r="U4058" i="1"/>
  <c r="V4058" i="1" s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J4023" i="1"/>
  <c r="AF4023" i="1" s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J3965" i="1"/>
  <c r="AF3965" i="1" s="1"/>
  <c r="AG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J3946" i="1"/>
  <c r="AF3946" i="1" s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J3929" i="1"/>
  <c r="AF3929" i="1" s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AJ3917" i="1"/>
  <c r="AF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J3881" i="1"/>
  <c r="AF3881" i="1" s="1"/>
  <c r="AJ3880" i="1"/>
  <c r="AF3880" i="1" s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J3872" i="1"/>
  <c r="AF3872" i="1" s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J3852" i="1"/>
  <c r="AF3852" i="1" s="1"/>
  <c r="AJ3851" i="1"/>
  <c r="AF3851" i="1" s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J3754" i="1"/>
  <c r="AF3754" i="1" s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J3750" i="1"/>
  <c r="AF3750" i="1" s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J3744" i="1"/>
  <c r="AF3744" i="1" s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AJ3704" i="1"/>
  <c r="AF3704" i="1" s="1"/>
  <c r="AJ3703" i="1"/>
  <c r="AF3703" i="1" s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AJ3698" i="1"/>
  <c r="AF3698" i="1" s="1"/>
  <c r="W3698" i="1"/>
  <c r="AJ3697" i="1"/>
  <c r="AF3697" i="1" s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J3682" i="1"/>
  <c r="AF3682" i="1" s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J3675" i="1"/>
  <c r="AF3675" i="1" s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J3660" i="1"/>
  <c r="AF3660" i="1" s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AL3653" i="1"/>
  <c r="AK3653" i="1"/>
  <c r="AJ3653" i="1"/>
  <c r="AF3653" i="1" s="1"/>
  <c r="X3653" i="1"/>
  <c r="AJ3652" i="1"/>
  <c r="AF3652" i="1" s="1"/>
  <c r="AJ3651" i="1"/>
  <c r="AF3651" i="1" s="1"/>
  <c r="AJ3650" i="1"/>
  <c r="AF3650" i="1" s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J3641" i="1"/>
  <c r="AF3641" i="1" s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J3626" i="1"/>
  <c r="AF3626" i="1" s="1"/>
  <c r="AK3625" i="1"/>
  <c r="AJ3625" i="1"/>
  <c r="AF3625" i="1" s="1"/>
  <c r="AJ3624" i="1"/>
  <c r="AF3624" i="1" s="1"/>
  <c r="W3624" i="1"/>
  <c r="X3624" i="1" s="1"/>
  <c r="AJ3623" i="1"/>
  <c r="AF3623" i="1" s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J3617" i="1"/>
  <c r="AF3617" i="1" s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AJ3583" i="1"/>
  <c r="AF3583" i="1" s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J3533" i="1"/>
  <c r="AF3533" i="1" s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J3507" i="1"/>
  <c r="AF3507" i="1" s="1"/>
  <c r="AJ3506" i="1"/>
  <c r="AF3506" i="1" s="1"/>
  <c r="AJ3505" i="1"/>
  <c r="AF3505" i="1" s="1"/>
  <c r="AJ3504" i="1"/>
  <c r="AF3504" i="1" s="1"/>
  <c r="AJ3503" i="1"/>
  <c r="AF3503" i="1" s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J3497" i="1"/>
  <c r="AF3497" i="1" s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J3481" i="1"/>
  <c r="AF3481" i="1" s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J3466" i="1"/>
  <c r="AF3466" i="1" s="1"/>
  <c r="AJ3465" i="1"/>
  <c r="AF3465" i="1" s="1"/>
  <c r="AJ3464" i="1"/>
  <c r="AF3464" i="1" s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J3438" i="1"/>
  <c r="AF3438" i="1" s="1"/>
  <c r="AJ3437" i="1"/>
  <c r="AF3437" i="1" s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J3398" i="1"/>
  <c r="AF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J3380" i="1"/>
  <c r="AF3380" i="1" s="1"/>
  <c r="AJ3379" i="1"/>
  <c r="AF3379" i="1" s="1"/>
  <c r="AJ3378" i="1"/>
  <c r="AF3378" i="1" s="1"/>
  <c r="AL3377" i="1"/>
  <c r="AK3377" i="1"/>
  <c r="AJ3377" i="1"/>
  <c r="AF3377" i="1" s="1"/>
  <c r="X3377" i="1"/>
  <c r="AL3376" i="1"/>
  <c r="AK3376" i="1"/>
  <c r="AJ3376" i="1"/>
  <c r="AF3376" i="1" s="1"/>
  <c r="X3376" i="1"/>
  <c r="AJ3375" i="1"/>
  <c r="AF3375" i="1" s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AJ3366" i="1"/>
  <c r="AF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J3308" i="1"/>
  <c r="AF3308" i="1" s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J3160" i="1"/>
  <c r="AF3160" i="1" s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L3153" i="1"/>
  <c r="AK3153" i="1"/>
  <c r="AJ3153" i="1"/>
  <c r="AF3153" i="1" s="1"/>
  <c r="X3153" i="1"/>
  <c r="AJ3152" i="1"/>
  <c r="AF3152" i="1" s="1"/>
  <c r="AJ3151" i="1"/>
  <c r="AF3151" i="1" s="1"/>
  <c r="AJ3150" i="1"/>
  <c r="AF3150" i="1" s="1"/>
  <c r="W3150" i="1"/>
  <c r="X3150" i="1" s="1"/>
  <c r="AJ3149" i="1"/>
  <c r="AF3149" i="1" s="1"/>
  <c r="AL3148" i="1"/>
  <c r="AK3148" i="1"/>
  <c r="AJ3148" i="1"/>
  <c r="AF3148" i="1" s="1"/>
  <c r="X3148" i="1"/>
  <c r="AJ3147" i="1"/>
  <c r="AF3147" i="1" s="1"/>
  <c r="AJ3146" i="1"/>
  <c r="AF3146" i="1" s="1"/>
  <c r="W3146" i="1"/>
  <c r="AJ3145" i="1"/>
  <c r="AF3145" i="1" s="1"/>
  <c r="AJ3144" i="1"/>
  <c r="AF3144" i="1" s="1"/>
  <c r="AJ3143" i="1"/>
  <c r="AF3143" i="1" s="1"/>
  <c r="AJ3142" i="1"/>
  <c r="AF3142" i="1" s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J3105" i="1"/>
  <c r="AF3105" i="1" s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J2931" i="1"/>
  <c r="AF2931" i="1" s="1"/>
  <c r="AJ2930" i="1"/>
  <c r="AF2930" i="1" s="1"/>
  <c r="AJ2929" i="1"/>
  <c r="AF2929" i="1" s="1"/>
  <c r="AL2928" i="1"/>
  <c r="AK2928" i="1"/>
  <c r="AJ2928" i="1"/>
  <c r="AF2928" i="1" s="1"/>
  <c r="X2928" i="1"/>
  <c r="AJ2927" i="1"/>
  <c r="AF2927" i="1" s="1"/>
  <c r="AJ2926" i="1"/>
  <c r="AF2926" i="1" s="1"/>
  <c r="W2926" i="1"/>
  <c r="AJ2925" i="1"/>
  <c r="AF2925" i="1" s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J2893" i="1"/>
  <c r="AF2893" i="1" s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J2880" i="1"/>
  <c r="AF2880" i="1" s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J2876" i="1"/>
  <c r="AF2876" i="1" s="1"/>
  <c r="AJ2875" i="1"/>
  <c r="AF2875" i="1" s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K1863" i="1"/>
  <c r="AJ1863" i="1"/>
  <c r="AF1863" i="1" s="1"/>
  <c r="AK1862" i="1"/>
  <c r="AJ1862" i="1"/>
  <c r="AF1862" i="1" s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J1232" i="1"/>
  <c r="AF1232" i="1" s="1"/>
  <c r="AL1231" i="1"/>
  <c r="AK1231" i="1"/>
  <c r="AJ1231" i="1"/>
  <c r="AF1231" i="1" s="1"/>
  <c r="X1231" i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L928" i="1"/>
  <c r="AK928" i="1"/>
  <c r="AJ928" i="1"/>
  <c r="AF928" i="1" s="1"/>
  <c r="X928" i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L288" i="1"/>
  <c r="AK288" i="1"/>
  <c r="AJ288" i="1"/>
  <c r="AF288" i="1" s="1"/>
  <c r="X288" i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K214" i="1"/>
  <c r="AJ214" i="1"/>
  <c r="AF214" i="1" s="1"/>
  <c r="AL213" i="1"/>
  <c r="AK213" i="1"/>
  <c r="AJ213" i="1"/>
  <c r="AF213" i="1" s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AK810" i="1" l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6" i="1"/>
  <c r="X3623" i="1"/>
  <c r="AK3623" i="1"/>
  <c r="X4166" i="1"/>
  <c r="AK983" i="1"/>
  <c r="AK564" i="1"/>
  <c r="AL564" i="1"/>
  <c r="X2482" i="1"/>
  <c r="X4553" i="1"/>
  <c r="X4559" i="1"/>
  <c r="X4475" i="1"/>
  <c r="X645" i="1"/>
  <c r="X929" i="1"/>
  <c r="X1261" i="1"/>
  <c r="AL4570" i="1"/>
  <c r="X624" i="1"/>
  <c r="X638" i="1"/>
  <c r="AK645" i="1"/>
  <c r="AK929" i="1"/>
  <c r="AK1261" i="1"/>
  <c r="X1963" i="1"/>
  <c r="X2264" i="1"/>
  <c r="AL4542" i="1"/>
  <c r="X1500" i="1"/>
  <c r="AK624" i="1"/>
  <c r="AK1500" i="1"/>
  <c r="AK638" i="1"/>
  <c r="AL752" i="1"/>
  <c r="X3533" i="1"/>
  <c r="X4216" i="1"/>
  <c r="AK4557" i="1"/>
  <c r="AL4553" i="1"/>
  <c r="AL4562" i="1"/>
  <c r="AK4561" i="1"/>
  <c r="AK385" i="1"/>
  <c r="AL385" i="1"/>
  <c r="AL4561" i="1"/>
  <c r="AL4559" i="1"/>
  <c r="AL4563" i="1"/>
  <c r="AK4563" i="1"/>
  <c r="AK4548" i="1"/>
  <c r="AL4547" i="1"/>
  <c r="AL4569" i="1"/>
  <c r="X4568" i="1"/>
  <c r="AL4568" i="1"/>
  <c r="X4565" i="1"/>
  <c r="AK4562" i="1"/>
  <c r="AL4567" i="1"/>
  <c r="AL4549" i="1"/>
  <c r="AK4567" i="1"/>
  <c r="AL4560" i="1"/>
  <c r="AL4554" i="1"/>
  <c r="AL4548" i="1"/>
  <c r="AK4560" i="1"/>
  <c r="AK4554" i="1"/>
  <c r="AL4565" i="1"/>
  <c r="AK4547" i="1"/>
  <c r="AL4564" i="1"/>
  <c r="AL4552" i="1"/>
  <c r="AK4564" i="1"/>
  <c r="X1641" i="1"/>
  <c r="X4552" i="1"/>
  <c r="X3965" i="1"/>
  <c r="AK4245" i="1"/>
  <c r="AL4245" i="1"/>
  <c r="AK3965" i="1"/>
  <c r="X427" i="1"/>
  <c r="AL764" i="1"/>
  <c r="AK1641" i="1"/>
  <c r="AK1496" i="1"/>
  <c r="X1495" i="1"/>
  <c r="AK1495" i="1"/>
  <c r="X4569" i="1"/>
  <c r="AL2739" i="1"/>
  <c r="X2739" i="1"/>
  <c r="X1496" i="1"/>
  <c r="X4549" i="1"/>
  <c r="X4434" i="1"/>
  <c r="AK427" i="1"/>
  <c r="X764" i="1"/>
  <c r="AK261" i="1"/>
  <c r="AK4242" i="1"/>
  <c r="X2594" i="1"/>
  <c r="AL4242" i="1"/>
  <c r="AL4413" i="1"/>
  <c r="X4557" i="1"/>
  <c r="AK4434" i="1"/>
  <c r="AK2482" i="1"/>
  <c r="X2697" i="1"/>
  <c r="X2588" i="1"/>
  <c r="X1809" i="1"/>
  <c r="AK2588" i="1"/>
  <c r="AK2697" i="1"/>
  <c r="AK1809" i="1"/>
  <c r="X261" i="1"/>
  <c r="X4532" i="1"/>
  <c r="X3744" i="1"/>
  <c r="AK3744" i="1"/>
  <c r="X4530" i="1"/>
  <c r="AL4532" i="1"/>
  <c r="AK2585" i="1"/>
  <c r="AK2594" i="1"/>
  <c r="X4522" i="1"/>
  <c r="AL2585" i="1"/>
  <c r="AL4531" i="1"/>
  <c r="X4531" i="1"/>
  <c r="AL4530" i="1"/>
  <c r="AK4494" i="1"/>
  <c r="X4533" i="1"/>
  <c r="AL4494" i="1"/>
  <c r="AL4534" i="1"/>
  <c r="AK4534" i="1"/>
  <c r="AL4533" i="1"/>
  <c r="AL4369" i="1"/>
  <c r="X4369" i="1"/>
  <c r="AL4352" i="1"/>
  <c r="AK4352" i="1"/>
  <c r="AL4351" i="1"/>
  <c r="X4351" i="1"/>
  <c r="AK308" i="1"/>
  <c r="AL4529" i="1"/>
  <c r="AK4529" i="1"/>
  <c r="AL4521" i="1"/>
  <c r="AK4521" i="1"/>
  <c r="AK4526" i="1"/>
  <c r="AL4528" i="1"/>
  <c r="AK4528" i="1"/>
  <c r="AL308" i="1"/>
  <c r="X1881" i="1"/>
  <c r="AK1881" i="1"/>
  <c r="AL4522" i="1"/>
  <c r="X4524" i="1"/>
  <c r="X1882" i="1"/>
  <c r="AK1882" i="1"/>
  <c r="X1880" i="1"/>
  <c r="AK1880" i="1"/>
  <c r="AL3890" i="1"/>
  <c r="X4523" i="1"/>
  <c r="AL4523" i="1"/>
  <c r="AL4524" i="1"/>
  <c r="AL4526" i="1"/>
  <c r="X3890" i="1"/>
  <c r="X422" i="1"/>
  <c r="AL421" i="1"/>
  <c r="AL693" i="1"/>
  <c r="AK422" i="1"/>
  <c r="X423" i="1"/>
  <c r="AK423" i="1"/>
  <c r="X693" i="1"/>
  <c r="X541" i="1"/>
  <c r="AK541" i="1"/>
  <c r="AL4519" i="1"/>
  <c r="AK4519" i="1"/>
  <c r="AL4518" i="1"/>
  <c r="X4518" i="1"/>
  <c r="AK286" i="1"/>
  <c r="AK539" i="1"/>
  <c r="X4516" i="1"/>
  <c r="AK4516" i="1"/>
  <c r="X416" i="1"/>
  <c r="AL3497" i="1"/>
  <c r="X286" i="1"/>
  <c r="AK416" i="1"/>
  <c r="X1103" i="1"/>
  <c r="X1230" i="1"/>
  <c r="X3750" i="1"/>
  <c r="AL1230" i="1"/>
  <c r="AL539" i="1"/>
  <c r="AK3750" i="1"/>
  <c r="X3497" i="1"/>
  <c r="AK78" i="1"/>
  <c r="AL78" i="1"/>
  <c r="X1639" i="1"/>
  <c r="AK2784" i="1"/>
  <c r="X2663" i="1"/>
  <c r="AK2880" i="1"/>
  <c r="AL2880" i="1"/>
  <c r="X421" i="1"/>
  <c r="X4153" i="1"/>
  <c r="AK138" i="1"/>
  <c r="X4513" i="1"/>
  <c r="AK4513" i="1"/>
  <c r="AL2929" i="1"/>
  <c r="AL4102" i="1"/>
  <c r="X4514" i="1"/>
  <c r="AK4514" i="1"/>
  <c r="X4235" i="1"/>
  <c r="AL579" i="1"/>
  <c r="X4399" i="1"/>
  <c r="X4098" i="1"/>
  <c r="AL4399" i="1"/>
  <c r="AL4235" i="1"/>
  <c r="AK1103" i="1"/>
  <c r="X966" i="1"/>
  <c r="AK4098" i="1"/>
  <c r="X4104" i="1"/>
  <c r="AL966" i="1"/>
  <c r="AK4102" i="1"/>
  <c r="AL4233" i="1"/>
  <c r="AK4233" i="1"/>
  <c r="AL4232" i="1"/>
  <c r="AK4232" i="1"/>
  <c r="AK4140" i="1"/>
  <c r="AK2663" i="1"/>
  <c r="AK4153" i="1"/>
  <c r="AK3682" i="1"/>
  <c r="AL3682" i="1"/>
  <c r="AL2784" i="1"/>
  <c r="AL581" i="1"/>
  <c r="X4054" i="1"/>
  <c r="AL138" i="1"/>
  <c r="AK2619" i="1"/>
  <c r="AK4054" i="1"/>
  <c r="X2929" i="1"/>
  <c r="AK4104" i="1"/>
  <c r="AL2931" i="1"/>
  <c r="AK2931" i="1"/>
  <c r="AL1212" i="1"/>
  <c r="AL3704" i="1"/>
  <c r="X110" i="1"/>
  <c r="AK110" i="1"/>
  <c r="AK2288" i="1"/>
  <c r="X579" i="1"/>
  <c r="AL3871" i="1"/>
  <c r="X581" i="1"/>
  <c r="AK1165" i="1"/>
  <c r="AK2287" i="1"/>
  <c r="AL2619" i="1"/>
  <c r="AL1210" i="1"/>
  <c r="X86" i="1"/>
  <c r="X1211" i="1"/>
  <c r="X2036" i="1"/>
  <c r="AK3380" i="1"/>
  <c r="X2362" i="1"/>
  <c r="X355" i="1"/>
  <c r="X77" i="1"/>
  <c r="AK355" i="1"/>
  <c r="X1212" i="1"/>
  <c r="AK2362" i="1"/>
  <c r="AK4067" i="1"/>
  <c r="AL4067" i="1"/>
  <c r="X2086" i="1"/>
  <c r="X1165" i="1"/>
  <c r="X3380" i="1"/>
  <c r="AK3704" i="1"/>
  <c r="AL942" i="1"/>
  <c r="AK77" i="1"/>
  <c r="AK4091" i="1"/>
  <c r="AL2469" i="1"/>
  <c r="AL4091" i="1"/>
  <c r="X4512" i="1"/>
  <c r="AK2086" i="1"/>
  <c r="X2579" i="1"/>
  <c r="X1869" i="1"/>
  <c r="AK2036" i="1"/>
  <c r="AK1639" i="1"/>
  <c r="AK1869" i="1"/>
  <c r="X3869" i="1"/>
  <c r="X3396" i="1"/>
  <c r="AK3396" i="1"/>
  <c r="AK942" i="1"/>
  <c r="AK3871" i="1"/>
  <c r="AL4089" i="1"/>
  <c r="X3397" i="1"/>
  <c r="AK3397" i="1"/>
  <c r="AL943" i="1"/>
  <c r="AL2287" i="1"/>
  <c r="AL3675" i="1"/>
  <c r="X2288" i="1"/>
  <c r="AK86" i="1"/>
  <c r="AK1041" i="1"/>
  <c r="X4059" i="1"/>
  <c r="AL2792" i="1"/>
  <c r="AK298" i="1"/>
  <c r="X1210" i="1"/>
  <c r="X4090" i="1"/>
  <c r="AL298" i="1"/>
  <c r="AK940" i="1"/>
  <c r="AK2469" i="1"/>
  <c r="AL1018" i="1"/>
  <c r="AK3946" i="1"/>
  <c r="AL1041" i="1"/>
  <c r="AK4089" i="1"/>
  <c r="X3870" i="1"/>
  <c r="AK3870" i="1"/>
  <c r="AK944" i="1"/>
  <c r="AL944" i="1"/>
  <c r="AL940" i="1"/>
  <c r="AL285" i="1"/>
  <c r="AK353" i="1"/>
  <c r="AK3675" i="1"/>
  <c r="AL2889" i="1"/>
  <c r="AK2889" i="1"/>
  <c r="X1021" i="1"/>
  <c r="X2795" i="1"/>
  <c r="X534" i="1"/>
  <c r="AK285" i="1"/>
  <c r="X85" i="1"/>
  <c r="X353" i="1"/>
  <c r="X784" i="1"/>
  <c r="AK3378" i="1"/>
  <c r="AL3378" i="1"/>
  <c r="X4057" i="1"/>
  <c r="AK784" i="1"/>
  <c r="X4086" i="1"/>
  <c r="AK2375" i="1"/>
  <c r="AK2814" i="1"/>
  <c r="AL2375" i="1"/>
  <c r="AL2814" i="1"/>
  <c r="AL3395" i="1"/>
  <c r="X3149" i="1"/>
  <c r="AL4284" i="1"/>
  <c r="AK4284" i="1"/>
  <c r="AK534" i="1"/>
  <c r="AK786" i="1"/>
  <c r="AK3869" i="1"/>
  <c r="AL3946" i="1"/>
  <c r="AL82" i="1"/>
  <c r="AL786" i="1"/>
  <c r="AK2258" i="1"/>
  <c r="AL4493" i="1"/>
  <c r="X3154" i="1"/>
  <c r="X82" i="1"/>
  <c r="AL2399" i="1"/>
  <c r="AK3154" i="1"/>
  <c r="AK2077" i="1"/>
  <c r="AK4090" i="1"/>
  <c r="AK1018" i="1"/>
  <c r="AL2077" i="1"/>
  <c r="X3881" i="1"/>
  <c r="AK3881" i="1"/>
  <c r="AK4100" i="1"/>
  <c r="AK227" i="1"/>
  <c r="AL227" i="1"/>
  <c r="X3674" i="1"/>
  <c r="X4500" i="1"/>
  <c r="X1834" i="1"/>
  <c r="AK3394" i="1"/>
  <c r="AK4059" i="1"/>
  <c r="X3395" i="1"/>
  <c r="AK3674" i="1"/>
  <c r="X4103" i="1"/>
  <c r="AL4103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6" i="1"/>
  <c r="AL39" i="1"/>
  <c r="AL3866" i="1"/>
  <c r="AK350" i="1"/>
  <c r="AL3394" i="1"/>
  <c r="AK1021" i="1"/>
  <c r="X2925" i="1"/>
  <c r="AK2689" i="1"/>
  <c r="X2890" i="1"/>
  <c r="AL2925" i="1"/>
  <c r="AL4100" i="1"/>
  <c r="AL2689" i="1"/>
  <c r="AK2776" i="1"/>
  <c r="AK85" i="1"/>
  <c r="AK2890" i="1"/>
  <c r="AK39" i="1"/>
  <c r="X2691" i="1"/>
  <c r="AK2286" i="1"/>
  <c r="X2286" i="1"/>
  <c r="X2233" i="1"/>
  <c r="AK2233" i="1"/>
  <c r="AK2691" i="1"/>
  <c r="AL3668" i="1"/>
  <c r="X3669" i="1"/>
  <c r="AK2399" i="1"/>
  <c r="AK3669" i="1"/>
  <c r="X74" i="1"/>
  <c r="AK74" i="1"/>
  <c r="AL3389" i="1"/>
  <c r="X3668" i="1"/>
  <c r="AL2258" i="1"/>
  <c r="X3379" i="1"/>
  <c r="X2283" i="1"/>
  <c r="AK4057" i="1"/>
  <c r="X2792" i="1"/>
  <c r="AK3379" i="1"/>
  <c r="AK4086" i="1"/>
  <c r="AK3389" i="1"/>
  <c r="X2891" i="1"/>
  <c r="AK3149" i="1"/>
  <c r="AK2891" i="1"/>
  <c r="AK3155" i="1"/>
  <c r="X282" i="1"/>
  <c r="X1362" i="1"/>
  <c r="X3388" i="1"/>
  <c r="X205" i="1"/>
  <c r="AK282" i="1"/>
  <c r="X1709" i="1"/>
  <c r="AK2579" i="1"/>
  <c r="AK1362" i="1"/>
  <c r="AK2283" i="1"/>
  <c r="AK3388" i="1"/>
  <c r="AK1709" i="1"/>
  <c r="AK205" i="1"/>
  <c r="X2629" i="1"/>
  <c r="X3432" i="1"/>
  <c r="AK2629" i="1"/>
  <c r="X3696" i="1"/>
  <c r="AL4511" i="1"/>
  <c r="AL3696" i="1"/>
  <c r="AK4505" i="1"/>
  <c r="X4504" i="1"/>
  <c r="AL3432" i="1"/>
  <c r="AL4501" i="1"/>
  <c r="X4501" i="1"/>
  <c r="X95" i="1"/>
  <c r="AK95" i="1"/>
  <c r="AK4493" i="1"/>
  <c r="AK4511" i="1"/>
  <c r="AL4512" i="1"/>
  <c r="AK4492" i="1"/>
  <c r="AK4504" i="1"/>
  <c r="AL4492" i="1"/>
  <c r="AL4500" i="1"/>
  <c r="X4505" i="1"/>
  <c r="AL4487" i="1"/>
  <c r="AK4487" i="1"/>
  <c r="X4490" i="1"/>
  <c r="X4498" i="1"/>
  <c r="AL4498" i="1"/>
  <c r="AL4490" i="1"/>
  <c r="X4496" i="1"/>
  <c r="X4497" i="1"/>
  <c r="X4499" i="1"/>
  <c r="AL4497" i="1"/>
  <c r="AL4499" i="1"/>
  <c r="AK4496" i="1"/>
  <c r="AL4495" i="1"/>
  <c r="AK4495" i="1"/>
  <c r="AK2892" i="1"/>
  <c r="X2232" i="1"/>
  <c r="AL2892" i="1"/>
  <c r="AK941" i="1"/>
  <c r="AK3391" i="1"/>
  <c r="AK2232" i="1"/>
  <c r="X1364" i="1"/>
  <c r="X163" i="1"/>
  <c r="AL411" i="1"/>
  <c r="AK610" i="1"/>
  <c r="AL3392" i="1"/>
  <c r="AK411" i="1"/>
  <c r="AL3391" i="1"/>
  <c r="AK1363" i="1"/>
  <c r="AK1209" i="1"/>
  <c r="AK3672" i="1"/>
  <c r="X3695" i="1"/>
  <c r="X3672" i="1"/>
  <c r="AK1364" i="1"/>
  <c r="AL3431" i="1"/>
  <c r="AK3431" i="1"/>
  <c r="AK3695" i="1"/>
  <c r="X1363" i="1"/>
  <c r="AL3670" i="1"/>
  <c r="AK163" i="1"/>
  <c r="X135" i="1"/>
  <c r="AL610" i="1"/>
  <c r="X2779" i="1"/>
  <c r="AK3392" i="1"/>
  <c r="X941" i="1"/>
  <c r="X352" i="1"/>
  <c r="AK378" i="1"/>
  <c r="AK2815" i="1"/>
  <c r="X378" i="1"/>
  <c r="AL2815" i="1"/>
  <c r="X4088" i="1"/>
  <c r="AK352" i="1"/>
  <c r="X2625" i="1"/>
  <c r="X2285" i="1"/>
  <c r="AK2284" i="1"/>
  <c r="AL2284" i="1"/>
  <c r="AK2779" i="1"/>
  <c r="AK1997" i="1"/>
  <c r="AK2625" i="1"/>
  <c r="X3673" i="1"/>
  <c r="X4099" i="1"/>
  <c r="AK3671" i="1"/>
  <c r="AL1997" i="1"/>
  <c r="AK4099" i="1"/>
  <c r="X109" i="1"/>
  <c r="AL83" i="1"/>
  <c r="X3670" i="1"/>
  <c r="AK3673" i="1"/>
  <c r="AK4087" i="1"/>
  <c r="X4087" i="1"/>
  <c r="AL2285" i="1"/>
  <c r="X351" i="1"/>
  <c r="X2373" i="1"/>
  <c r="AK2373" i="1"/>
  <c r="AL2472" i="1"/>
  <c r="X83" i="1"/>
  <c r="AK109" i="1"/>
  <c r="AK3867" i="1"/>
  <c r="X3671" i="1"/>
  <c r="X3867" i="1"/>
  <c r="X3868" i="1"/>
  <c r="X2374" i="1"/>
  <c r="X4058" i="1"/>
  <c r="AK135" i="1"/>
  <c r="X2472" i="1"/>
  <c r="AK3868" i="1"/>
  <c r="X785" i="1"/>
  <c r="AK2374" i="1"/>
  <c r="X1209" i="1"/>
  <c r="X3393" i="1"/>
  <c r="X3390" i="1"/>
  <c r="AK351" i="1"/>
  <c r="AK3151" i="1"/>
  <c r="AK3393" i="1"/>
  <c r="AL3151" i="1"/>
  <c r="AK3390" i="1"/>
  <c r="AK785" i="1"/>
  <c r="AL2793" i="1"/>
  <c r="AL283" i="1"/>
  <c r="X84" i="1"/>
  <c r="AK84" i="1"/>
  <c r="AK4058" i="1"/>
  <c r="AK4088" i="1"/>
  <c r="X3159" i="1"/>
  <c r="X2893" i="1"/>
  <c r="AK3159" i="1"/>
  <c r="X2794" i="1"/>
  <c r="AK2893" i="1"/>
  <c r="AK2794" i="1"/>
  <c r="X283" i="1"/>
  <c r="AK950" i="1"/>
  <c r="AK3157" i="1"/>
  <c r="AL926" i="1"/>
  <c r="AK1208" i="1"/>
  <c r="AL1208" i="1"/>
  <c r="AL950" i="1"/>
  <c r="X2690" i="1"/>
  <c r="AK2690" i="1"/>
  <c r="X3156" i="1"/>
  <c r="X2793" i="1"/>
  <c r="AK3156" i="1"/>
  <c r="X550" i="1"/>
  <c r="AL550" i="1"/>
  <c r="AK2930" i="1"/>
  <c r="AL2930" i="1"/>
  <c r="AK1868" i="1"/>
  <c r="X926" i="1"/>
  <c r="X2085" i="1"/>
  <c r="AK2085" i="1"/>
  <c r="X580" i="1"/>
  <c r="AL580" i="1"/>
  <c r="X1868" i="1"/>
  <c r="AL4374" i="1"/>
  <c r="X3703" i="1"/>
  <c r="X2361" i="1"/>
  <c r="AL2361" i="1"/>
  <c r="X4478" i="1"/>
  <c r="X4378" i="1"/>
  <c r="X2618" i="1"/>
  <c r="AK4283" i="1"/>
  <c r="AL4378" i="1"/>
  <c r="AK2618" i="1"/>
  <c r="X4283" i="1"/>
  <c r="X4477" i="1"/>
  <c r="AK4374" i="1"/>
  <c r="AK4477" i="1"/>
  <c r="AL4477" i="1"/>
  <c r="U4477" i="1"/>
  <c r="V4477" i="1" s="1"/>
  <c r="AK4478" i="1"/>
  <c r="AL4478" i="1"/>
  <c r="AK3703" i="1"/>
  <c r="X1501" i="1"/>
  <c r="AK1501" i="1"/>
  <c r="X1164" i="1"/>
  <c r="AK1164" i="1"/>
  <c r="X1841" i="1"/>
  <c r="X4101" i="1"/>
  <c r="AL4470" i="1"/>
  <c r="AL4476" i="1"/>
  <c r="AK4101" i="1"/>
  <c r="AL4398" i="1"/>
  <c r="X4476" i="1"/>
  <c r="AK4398" i="1"/>
  <c r="AK4470" i="1"/>
  <c r="AK2264" i="1"/>
  <c r="X2722" i="1"/>
  <c r="X4249" i="1"/>
  <c r="AK2722" i="1"/>
  <c r="X2302" i="1"/>
  <c r="X3105" i="1"/>
  <c r="AK4249" i="1"/>
  <c r="AK4074" i="1"/>
  <c r="X1784" i="1"/>
  <c r="AK2302" i="1"/>
  <c r="AK3105" i="1"/>
  <c r="X3852" i="1"/>
  <c r="AL4074" i="1"/>
  <c r="AL1784" i="1"/>
  <c r="AK3852" i="1"/>
  <c r="AK3212" i="1"/>
  <c r="AK4212" i="1"/>
  <c r="X1934" i="1"/>
  <c r="AL3625" i="1"/>
  <c r="X1226" i="1"/>
  <c r="AK1934" i="1"/>
  <c r="AK4475" i="1"/>
  <c r="AL912" i="1"/>
  <c r="AL776" i="1"/>
  <c r="X1969" i="1"/>
  <c r="X3507" i="1"/>
  <c r="X215" i="1"/>
  <c r="AL215" i="1"/>
  <c r="AK3506" i="1"/>
  <c r="X2290" i="1"/>
  <c r="AK520" i="1"/>
  <c r="X2279" i="1"/>
  <c r="X2291" i="1"/>
  <c r="X2813" i="1"/>
  <c r="AK3754" i="1"/>
  <c r="AL3754" i="1"/>
  <c r="X595" i="1"/>
  <c r="AK595" i="1"/>
  <c r="X2817" i="1"/>
  <c r="AL520" i="1"/>
  <c r="X945" i="1"/>
  <c r="X3506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7" i="1"/>
  <c r="AK1360" i="1"/>
  <c r="AK3626" i="1"/>
  <c r="AL3626" i="1"/>
  <c r="AK1504" i="1"/>
  <c r="AL4213" i="1"/>
  <c r="X4420" i="1"/>
  <c r="AL4219" i="1"/>
  <c r="AK4219" i="1"/>
  <c r="X1248" i="1"/>
  <c r="AK1248" i="1"/>
  <c r="AL2580" i="1"/>
  <c r="X767" i="1"/>
  <c r="X3505" i="1"/>
  <c r="AK3505" i="1"/>
  <c r="AL4464" i="1"/>
  <c r="AK767" i="1"/>
  <c r="AK2580" i="1"/>
  <c r="X3503" i="1"/>
  <c r="X3504" i="1"/>
  <c r="AK3503" i="1"/>
  <c r="X4464" i="1"/>
  <c r="AK3504" i="1"/>
  <c r="X448" i="1"/>
  <c r="AK448" i="1"/>
  <c r="X4463" i="1"/>
  <c r="AK1735" i="1"/>
  <c r="AL1735" i="1"/>
  <c r="AK121" i="1"/>
  <c r="AL521" i="1"/>
  <c r="X680" i="1"/>
  <c r="X1429" i="1"/>
  <c r="AL121" i="1"/>
  <c r="AK3617" i="1"/>
  <c r="AK4419" i="1"/>
  <c r="X100" i="1"/>
  <c r="AL2332" i="1"/>
  <c r="X2501" i="1"/>
  <c r="X4212" i="1"/>
  <c r="AL979" i="1"/>
  <c r="AK3731" i="1"/>
  <c r="AK4336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5" i="1"/>
  <c r="AL1971" i="1"/>
  <c r="AK3466" i="1"/>
  <c r="AK1309" i="1"/>
  <c r="AL1309" i="1"/>
  <c r="AL1506" i="1"/>
  <c r="AK4463" i="1"/>
  <c r="AK4465" i="1"/>
  <c r="AL4465" i="1"/>
  <c r="AL371" i="1"/>
  <c r="AK956" i="1"/>
  <c r="X318" i="1"/>
  <c r="AL700" i="1"/>
  <c r="X1504" i="1"/>
  <c r="AK2500" i="1"/>
  <c r="AL3617" i="1"/>
  <c r="X4203" i="1"/>
  <c r="AK566" i="1"/>
  <c r="AK1429" i="1"/>
  <c r="AK373" i="1"/>
  <c r="AL688" i="1"/>
  <c r="AL3466" i="1"/>
  <c r="X373" i="1"/>
  <c r="X985" i="1"/>
  <c r="X2494" i="1"/>
  <c r="AK682" i="1"/>
  <c r="X979" i="1"/>
  <c r="AK985" i="1"/>
  <c r="AL1378" i="1"/>
  <c r="AK4068" i="1"/>
  <c r="AK521" i="1"/>
  <c r="AL4068" i="1"/>
  <c r="AL2730" i="1"/>
  <c r="AL4203" i="1"/>
  <c r="X2730" i="1"/>
  <c r="X4458" i="1"/>
  <c r="AL4459" i="1"/>
  <c r="AK4204" i="1"/>
  <c r="AL4204" i="1"/>
  <c r="AL4448" i="1"/>
  <c r="AK4267" i="1"/>
  <c r="X67" i="1"/>
  <c r="X3851" i="1"/>
  <c r="AL4267" i="1"/>
  <c r="AK4459" i="1"/>
  <c r="AL956" i="1"/>
  <c r="AK3481" i="1"/>
  <c r="X4452" i="1"/>
  <c r="AK4448" i="1"/>
  <c r="X4121" i="1"/>
  <c r="X1502" i="1"/>
  <c r="AL4362" i="1"/>
  <c r="AL4447" i="1"/>
  <c r="AK4121" i="1"/>
  <c r="AL67" i="1"/>
  <c r="X457" i="1"/>
  <c r="X1378" i="1"/>
  <c r="AK1974" i="1"/>
  <c r="AK4362" i="1"/>
  <c r="X1567" i="1"/>
  <c r="AK4447" i="1"/>
  <c r="X317" i="1"/>
  <c r="X682" i="1"/>
  <c r="X1442" i="1"/>
  <c r="AK1502" i="1"/>
  <c r="AL1974" i="1"/>
  <c r="AL2747" i="1"/>
  <c r="AK2493" i="1"/>
  <c r="X4461" i="1"/>
  <c r="AK317" i="1"/>
  <c r="AK1442" i="1"/>
  <c r="AK1970" i="1"/>
  <c r="AL4253" i="1"/>
  <c r="X4314" i="1"/>
  <c r="AL2620" i="1"/>
  <c r="X4359" i="1"/>
  <c r="AL4461" i="1"/>
  <c r="AL4458" i="1"/>
  <c r="AL4452" i="1"/>
  <c r="X1266" i="1"/>
  <c r="AK1266" i="1"/>
  <c r="AL4451" i="1"/>
  <c r="AL4462" i="1"/>
  <c r="AK4462" i="1"/>
  <c r="X4451" i="1"/>
  <c r="AK4386" i="1"/>
  <c r="X4386" i="1"/>
  <c r="X4450" i="1"/>
  <c r="AL4450" i="1"/>
  <c r="X4433" i="1"/>
  <c r="AL4433" i="1"/>
  <c r="X1569" i="1"/>
  <c r="X3387" i="1"/>
  <c r="AL4436" i="1"/>
  <c r="AK87" i="1"/>
  <c r="AL87" i="1"/>
  <c r="X4085" i="1"/>
  <c r="AL4440" i="1"/>
  <c r="X4440" i="1"/>
  <c r="X4439" i="1"/>
  <c r="AK4439" i="1"/>
  <c r="AK939" i="1"/>
  <c r="X4436" i="1"/>
  <c r="AL4437" i="1"/>
  <c r="AK4437" i="1"/>
  <c r="X3398" i="1"/>
  <c r="AK3398" i="1"/>
  <c r="AL939" i="1"/>
  <c r="AK3771" i="1"/>
  <c r="AK951" i="1"/>
  <c r="AL951" i="1"/>
  <c r="X4188" i="1"/>
  <c r="AK3385" i="1"/>
  <c r="X4092" i="1"/>
  <c r="AK4092" i="1"/>
  <c r="AL4432" i="1"/>
  <c r="AK3872" i="1"/>
  <c r="AL3872" i="1"/>
  <c r="X3705" i="1"/>
  <c r="AK4432" i="1"/>
  <c r="AL4307" i="1"/>
  <c r="AK2494" i="1"/>
  <c r="AK4307" i="1"/>
  <c r="X3481" i="1"/>
  <c r="X795" i="1"/>
  <c r="X1829" i="1"/>
  <c r="X1924" i="1"/>
  <c r="X1970" i="1"/>
  <c r="X2646" i="1"/>
  <c r="X4419" i="1"/>
  <c r="X4336" i="1"/>
  <c r="AK4417" i="1"/>
  <c r="AL4332" i="1"/>
  <c r="AK4275" i="1"/>
  <c r="X4215" i="1"/>
  <c r="X1776" i="1"/>
  <c r="AK4332" i="1"/>
  <c r="AK795" i="1"/>
  <c r="X1505" i="1"/>
  <c r="AK1870" i="1"/>
  <c r="AL2646" i="1"/>
  <c r="AK2187" i="1"/>
  <c r="X3464" i="1"/>
  <c r="AK3851" i="1"/>
  <c r="X4143" i="1"/>
  <c r="AL4215" i="1"/>
  <c r="AK2981" i="1"/>
  <c r="AK3463" i="1"/>
  <c r="AK318" i="1"/>
  <c r="AL2981" i="1"/>
  <c r="AK4214" i="1"/>
  <c r="AL412" i="1"/>
  <c r="AK692" i="1"/>
  <c r="X930" i="1"/>
  <c r="AL1505" i="1"/>
  <c r="AL2187" i="1"/>
  <c r="AK4216" i="1"/>
  <c r="X692" i="1"/>
  <c r="X1506" i="1"/>
  <c r="AK1827" i="1"/>
  <c r="AL2076" i="1"/>
  <c r="AK4143" i="1"/>
  <c r="AK4276" i="1"/>
  <c r="AK412" i="1"/>
  <c r="AK457" i="1"/>
  <c r="AK930" i="1"/>
  <c r="AL1827" i="1"/>
  <c r="AK1776" i="1"/>
  <c r="AL3463" i="1"/>
  <c r="X1347" i="1"/>
  <c r="AL2493" i="1"/>
  <c r="AK2076" i="1"/>
  <c r="X1708" i="1"/>
  <c r="AL281" i="1"/>
  <c r="X551" i="1"/>
  <c r="AK1708" i="1"/>
  <c r="AL551" i="1"/>
  <c r="AK4085" i="1"/>
  <c r="X410" i="1"/>
  <c r="X81" i="1"/>
  <c r="AK81" i="1"/>
  <c r="X281" i="1"/>
  <c r="AK1202" i="1"/>
  <c r="AK410" i="1"/>
  <c r="AL1877" i="1"/>
  <c r="X3666" i="1"/>
  <c r="X226" i="1"/>
  <c r="AK4188" i="1"/>
  <c r="AK162" i="1"/>
  <c r="X162" i="1"/>
  <c r="AK226" i="1"/>
  <c r="X1877" i="1"/>
  <c r="AL3385" i="1"/>
  <c r="AL3386" i="1"/>
  <c r="X3697" i="1"/>
  <c r="X2062" i="1"/>
  <c r="AK3387" i="1"/>
  <c r="X3667" i="1"/>
  <c r="X70" i="1"/>
  <c r="AK2062" i="1"/>
  <c r="AK3667" i="1"/>
  <c r="X3865" i="1"/>
  <c r="AK1361" i="1"/>
  <c r="X66" i="1"/>
  <c r="AK70" i="1"/>
  <c r="AL1361" i="1"/>
  <c r="AK3865" i="1"/>
  <c r="AL3666" i="1"/>
  <c r="AK1487" i="1"/>
  <c r="AL1487" i="1"/>
  <c r="AL1202" i="1"/>
  <c r="AK3697" i="1"/>
  <c r="AK2290" i="1"/>
  <c r="X1020" i="1"/>
  <c r="X1040" i="1"/>
  <c r="AL96" i="1"/>
  <c r="AK1020" i="1"/>
  <c r="AK1040" i="1"/>
  <c r="AK2886" i="1"/>
  <c r="AK3152" i="1"/>
  <c r="AL3152" i="1"/>
  <c r="AK3705" i="1"/>
  <c r="AK3375" i="1"/>
  <c r="X96" i="1"/>
  <c r="AL3375" i="1"/>
  <c r="X1831" i="1"/>
  <c r="X492" i="1"/>
  <c r="AK492" i="1"/>
  <c r="X2774" i="1"/>
  <c r="AK1017" i="1"/>
  <c r="AK2774" i="1"/>
  <c r="X2576" i="1"/>
  <c r="AK476" i="1"/>
  <c r="AK2154" i="1"/>
  <c r="AK2693" i="1"/>
  <c r="AL2886" i="1"/>
  <c r="X2887" i="1"/>
  <c r="X609" i="1"/>
  <c r="X783" i="1"/>
  <c r="AK2887" i="1"/>
  <c r="AK609" i="1"/>
  <c r="X3147" i="1"/>
  <c r="AL783" i="1"/>
  <c r="AK3147" i="1"/>
  <c r="X2888" i="1"/>
  <c r="X553" i="1"/>
  <c r="AK2888" i="1"/>
  <c r="X3386" i="1"/>
  <c r="AK553" i="1"/>
  <c r="X2248" i="1"/>
  <c r="AK2248" i="1"/>
  <c r="AL65" i="1"/>
  <c r="AK2576" i="1"/>
  <c r="X2693" i="1"/>
  <c r="AK66" i="1"/>
  <c r="AK493" i="1"/>
  <c r="AL1017" i="1"/>
  <c r="AK1831" i="1"/>
  <c r="X4408" i="1"/>
  <c r="AL493" i="1"/>
  <c r="X2331" i="1"/>
  <c r="X4083" i="1"/>
  <c r="X3660" i="1"/>
  <c r="AK629" i="1"/>
  <c r="AL629" i="1"/>
  <c r="AK3660" i="1"/>
  <c r="X476" i="1"/>
  <c r="AK4256" i="1"/>
  <c r="AL4256" i="1"/>
  <c r="AK4408" i="1"/>
  <c r="X4375" i="1"/>
  <c r="AK4375" i="1"/>
  <c r="X65" i="1"/>
  <c r="AK706" i="1"/>
  <c r="AK1410" i="1"/>
  <c r="X279" i="1"/>
  <c r="AL303" i="1"/>
  <c r="X4156" i="1"/>
  <c r="X4252" i="1"/>
  <c r="X303" i="1"/>
  <c r="X706" i="1"/>
  <c r="AL2331" i="1"/>
  <c r="AK474" i="1"/>
  <c r="AK4377" i="1"/>
  <c r="X4377" i="1"/>
  <c r="X1789" i="1"/>
  <c r="AL994" i="1"/>
  <c r="AL3651" i="1"/>
  <c r="AK4083" i="1"/>
  <c r="AL1050" i="1"/>
  <c r="AK1990" i="1"/>
  <c r="X2298" i="1"/>
  <c r="X2154" i="1"/>
  <c r="X994" i="1"/>
  <c r="X1050" i="1"/>
  <c r="AK1791" i="1"/>
  <c r="AK2298" i="1"/>
  <c r="AK1790" i="1"/>
  <c r="AK4156" i="1"/>
  <c r="AK4252" i="1"/>
  <c r="AK2716" i="1"/>
  <c r="AK2468" i="1"/>
  <c r="AL2468" i="1"/>
  <c r="X1908" i="1"/>
  <c r="X3651" i="1"/>
  <c r="AL279" i="1"/>
  <c r="AL4426" i="1"/>
  <c r="AL4281" i="1"/>
  <c r="AK3145" i="1"/>
  <c r="AK4281" i="1"/>
  <c r="AK2763" i="1"/>
  <c r="X2875" i="1"/>
  <c r="AL3145" i="1"/>
  <c r="AL2763" i="1"/>
  <c r="AL3142" i="1"/>
  <c r="X474" i="1"/>
  <c r="AL2791" i="1"/>
  <c r="X4023" i="1"/>
  <c r="X830" i="1"/>
  <c r="AK830" i="1"/>
  <c r="AK2791" i="1"/>
  <c r="AK3142" i="1"/>
  <c r="X2790" i="1"/>
  <c r="AK3143" i="1"/>
  <c r="AL3143" i="1"/>
  <c r="X90" i="1"/>
  <c r="AK90" i="1"/>
  <c r="AL2538" i="1"/>
  <c r="AK2538" i="1"/>
  <c r="AK2090" i="1"/>
  <c r="X4282" i="1"/>
  <c r="AL4406" i="1"/>
  <c r="X3652" i="1"/>
  <c r="AK4406" i="1"/>
  <c r="AL3144" i="1"/>
  <c r="AK3308" i="1"/>
  <c r="X3929" i="1"/>
  <c r="AL3308" i="1"/>
  <c r="AK3652" i="1"/>
  <c r="AL4282" i="1"/>
  <c r="AK4023" i="1"/>
  <c r="AK2790" i="1"/>
  <c r="AL4280" i="1"/>
  <c r="X4426" i="1"/>
  <c r="AK2875" i="1"/>
  <c r="AK3929" i="1"/>
  <c r="AK4280" i="1"/>
  <c r="X3650" i="1"/>
  <c r="X2371" i="1"/>
  <c r="X2876" i="1"/>
  <c r="X3144" i="1"/>
  <c r="AK3650" i="1"/>
  <c r="AK2371" i="1"/>
  <c r="X2716" i="1"/>
  <c r="AK2876" i="1"/>
  <c r="AL1980" i="1"/>
  <c r="X2769" i="1"/>
  <c r="X2090" i="1"/>
  <c r="AK2769" i="1"/>
  <c r="AL1990" i="1"/>
  <c r="X4080" i="1"/>
  <c r="AL4373" i="1"/>
  <c r="X4082" i="1"/>
  <c r="AK4373" i="1"/>
  <c r="AL1410" i="1"/>
  <c r="AL1908" i="1"/>
  <c r="AK1788" i="1"/>
  <c r="X1980" i="1"/>
  <c r="X4140" i="1"/>
  <c r="AK4082" i="1"/>
  <c r="AK4080" i="1"/>
  <c r="AK3641" i="1"/>
  <c r="X4155" i="1"/>
  <c r="AL3641" i="1"/>
  <c r="X4081" i="1"/>
  <c r="AK4081" i="1"/>
  <c r="AK4155" i="1"/>
  <c r="AL3124" i="1"/>
  <c r="AK41" i="1"/>
  <c r="X41" i="1"/>
  <c r="X4407" i="1"/>
  <c r="X4427" i="1"/>
  <c r="X4246" i="1"/>
  <c r="AK1816" i="1"/>
  <c r="X3988" i="1"/>
  <c r="X2504" i="1"/>
  <c r="X4275" i="1"/>
  <c r="AL4214" i="1"/>
  <c r="AL1783" i="1"/>
  <c r="X2765" i="1"/>
  <c r="X156" i="1"/>
  <c r="X1480" i="1"/>
  <c r="AK3988" i="1"/>
  <c r="AK4273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3" i="1"/>
  <c r="AL4427" i="1"/>
  <c r="AL4407" i="1"/>
  <c r="AK4314" i="1"/>
  <c r="X4276" i="1"/>
  <c r="AK1567" i="1"/>
  <c r="AK3636" i="1"/>
  <c r="AK661" i="1"/>
  <c r="X1478" i="1"/>
  <c r="X1481" i="1"/>
  <c r="X1779" i="1"/>
  <c r="X4141" i="1"/>
  <c r="AL3636" i="1"/>
  <c r="AK155" i="1"/>
  <c r="AK1973" i="1"/>
  <c r="AK2499" i="1"/>
  <c r="AK2502" i="1"/>
  <c r="AK2505" i="1"/>
  <c r="X2747" i="1"/>
  <c r="AK2977" i="1"/>
  <c r="AK3465" i="1"/>
  <c r="X4253" i="1"/>
  <c r="AK156" i="1"/>
  <c r="X1197" i="1"/>
  <c r="AK673" i="1"/>
  <c r="X3844" i="1"/>
  <c r="AK4141" i="1"/>
  <c r="AL4416" i="1"/>
  <c r="AK4365" i="1"/>
  <c r="AK4359" i="1"/>
  <c r="AK600" i="1"/>
  <c r="X1083" i="1"/>
  <c r="X688" i="1"/>
  <c r="X700" i="1"/>
  <c r="X752" i="1"/>
  <c r="AK1083" i="1"/>
  <c r="AK1478" i="1"/>
  <c r="AK1481" i="1"/>
  <c r="AK1779" i="1"/>
  <c r="AK3124" i="1"/>
  <c r="X4416" i="1"/>
  <c r="X1816" i="1"/>
  <c r="AK1815" i="1"/>
  <c r="AL1815" i="1"/>
  <c r="AK3844" i="1"/>
  <c r="X94" i="1"/>
  <c r="AK94" i="1"/>
  <c r="X32" i="1"/>
  <c r="AK32" i="1"/>
  <c r="AL2782" i="1"/>
  <c r="AK1731" i="1"/>
  <c r="X1731" i="1"/>
  <c r="X4243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5" i="1"/>
  <c r="AK1043" i="1"/>
  <c r="AL2861" i="1"/>
  <c r="AK2148" i="1"/>
  <c r="AK2031" i="1"/>
  <c r="AK3933" i="1"/>
  <c r="X3175" i="1"/>
  <c r="X4428" i="1"/>
  <c r="AK1818" i="1"/>
  <c r="X2329" i="1"/>
  <c r="X2560" i="1"/>
  <c r="X4010" i="1"/>
  <c r="AK2560" i="1"/>
  <c r="X2200" i="1"/>
  <c r="X2632" i="1"/>
  <c r="AK4010" i="1"/>
  <c r="AK3877" i="1"/>
  <c r="X4379" i="1"/>
  <c r="AK4053" i="1"/>
  <c r="AL4053" i="1"/>
  <c r="AK4234" i="1"/>
  <c r="AL4234" i="1"/>
  <c r="AK4243" i="1"/>
  <c r="X4255" i="1"/>
  <c r="AK4095" i="1"/>
  <c r="AL2329" i="1"/>
  <c r="AL4428" i="1"/>
  <c r="AK4255" i="1"/>
  <c r="X380" i="1"/>
  <c r="AK556" i="1"/>
  <c r="AL2817" i="1"/>
  <c r="AK3175" i="1"/>
  <c r="AL93" i="1"/>
  <c r="AK2632" i="1"/>
  <c r="AK4379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6" i="1"/>
  <c r="AL3933" i="1"/>
  <c r="AL4096" i="1"/>
  <c r="X1243" i="1"/>
  <c r="X2861" i="1"/>
  <c r="X556" i="1"/>
  <c r="AL852" i="1"/>
  <c r="AL1243" i="1"/>
  <c r="AK1580" i="1"/>
  <c r="X3877" i="1"/>
  <c r="AK674" i="1"/>
  <c r="X1895" i="1"/>
  <c r="X2150" i="1"/>
  <c r="X3429" i="1"/>
  <c r="AL4226" i="1"/>
  <c r="AL674" i="1"/>
  <c r="X4171" i="1"/>
  <c r="AK4171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6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9" i="1"/>
  <c r="AL2549" i="1"/>
  <c r="X3345" i="1"/>
  <c r="AL4209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5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5" i="1"/>
  <c r="AL1494" i="1"/>
  <c r="AL2422" i="1"/>
  <c r="X4157" i="1"/>
  <c r="AK4157" i="1"/>
  <c r="AK4405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3000" i="1"/>
  <c r="X4410" i="1"/>
  <c r="AK2734" i="1"/>
  <c r="AL733" i="1"/>
  <c r="AL2684" i="1"/>
  <c r="AK4020" i="1"/>
  <c r="X322" i="1"/>
  <c r="AK4192" i="1"/>
  <c r="AL2095" i="1"/>
  <c r="AK1010" i="1"/>
  <c r="X640" i="1"/>
  <c r="X1454" i="1"/>
  <c r="AK486" i="1"/>
  <c r="X2409" i="1"/>
  <c r="AL486" i="1"/>
  <c r="X1182" i="1"/>
  <c r="AL1666" i="1"/>
  <c r="AL4384" i="1"/>
  <c r="X1010" i="1"/>
  <c r="AK1559" i="1"/>
  <c r="AK640" i="1"/>
  <c r="AK2406" i="1"/>
  <c r="AL765" i="1"/>
  <c r="AK2543" i="1"/>
  <c r="X4391" i="1"/>
  <c r="X48" i="1"/>
  <c r="AL4305" i="1"/>
  <c r="AK48" i="1"/>
  <c r="AL634" i="1"/>
  <c r="AK2168" i="1"/>
  <c r="AL2164" i="1"/>
  <c r="AK4312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2" i="1"/>
  <c r="X1304" i="1"/>
  <c r="AK1454" i="1"/>
  <c r="X1668" i="1"/>
  <c r="X2068" i="1"/>
  <c r="X2333" i="1"/>
  <c r="X2519" i="1"/>
  <c r="AL2743" i="1"/>
  <c r="X4305" i="1"/>
  <c r="AK4384" i="1"/>
  <c r="X460" i="1"/>
  <c r="X1311" i="1"/>
  <c r="AK1557" i="1"/>
  <c r="X1865" i="1"/>
  <c r="X2323" i="1"/>
  <c r="AK3003" i="1"/>
  <c r="AL4382" i="1"/>
  <c r="AK1182" i="1"/>
  <c r="AK1304" i="1"/>
  <c r="AL1557" i="1"/>
  <c r="AK1668" i="1"/>
  <c r="AK2068" i="1"/>
  <c r="AK2333" i="1"/>
  <c r="AK2519" i="1"/>
  <c r="X2748" i="1"/>
  <c r="AL4391" i="1"/>
  <c r="AK4382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5" i="1"/>
  <c r="AL4311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6" i="1"/>
  <c r="AL4356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1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0" i="1"/>
  <c r="AL1874" i="1"/>
  <c r="AL1884" i="1"/>
  <c r="AL2171" i="1"/>
  <c r="X2436" i="1"/>
  <c r="X2546" i="1"/>
  <c r="X2804" i="1"/>
  <c r="X4390" i="1"/>
  <c r="AK1565" i="1"/>
  <c r="X816" i="1"/>
  <c r="AK1318" i="1"/>
  <c r="AL1677" i="1"/>
  <c r="X2008" i="1"/>
  <c r="X2340" i="1"/>
  <c r="AG4205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5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0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7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4" i="1"/>
  <c r="AK1685" i="1"/>
  <c r="X2589" i="1"/>
  <c r="AL4350" i="1"/>
  <c r="X836" i="1"/>
  <c r="X1257" i="1"/>
  <c r="X1584" i="1"/>
  <c r="X2109" i="1"/>
  <c r="X2193" i="1"/>
  <c r="AK2443" i="1"/>
  <c r="AK4350" i="1"/>
  <c r="X848" i="1"/>
  <c r="AK2589" i="1"/>
  <c r="AG3014" i="1"/>
  <c r="AK4348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5" i="1"/>
  <c r="AL4306" i="1"/>
  <c r="AK836" i="1"/>
  <c r="AL1488" i="1"/>
  <c r="X2346" i="1"/>
  <c r="AL2439" i="1"/>
  <c r="AK4334" i="1"/>
  <c r="AK4306" i="1"/>
  <c r="AL4348" i="1"/>
  <c r="AK2346" i="1"/>
  <c r="X662" i="1"/>
  <c r="X1681" i="1"/>
  <c r="X4409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0" i="1"/>
  <c r="AK4409" i="1"/>
  <c r="AK1339" i="1"/>
  <c r="AK1578" i="1"/>
  <c r="AK1902" i="1"/>
  <c r="AK4300" i="1"/>
  <c r="AK573" i="1"/>
  <c r="AK2809" i="1"/>
  <c r="AK368" i="1"/>
  <c r="AK4383" i="1"/>
  <c r="AK4294" i="1"/>
  <c r="AL400" i="1"/>
  <c r="AL1732" i="1"/>
  <c r="X1532" i="1"/>
  <c r="AK4355" i="1"/>
  <c r="AK605" i="1"/>
  <c r="AK1380" i="1"/>
  <c r="AL4383" i="1"/>
  <c r="AL1107" i="1"/>
  <c r="AL1534" i="1"/>
  <c r="AL1633" i="1"/>
  <c r="X2052" i="1"/>
  <c r="X2276" i="1"/>
  <c r="X2388" i="1"/>
  <c r="AK4349" i="1"/>
  <c r="AL903" i="1"/>
  <c r="AL200" i="1"/>
  <c r="AK727" i="1"/>
  <c r="AK1627" i="1"/>
  <c r="AL4372" i="1"/>
  <c r="AK200" i="1"/>
  <c r="AL614" i="1"/>
  <c r="X605" i="1"/>
  <c r="AL727" i="1"/>
  <c r="X1380" i="1"/>
  <c r="AL1627" i="1"/>
  <c r="AK2052" i="1"/>
  <c r="AK2276" i="1"/>
  <c r="AK2388" i="1"/>
  <c r="AL4301" i="1"/>
  <c r="AK4372" i="1"/>
  <c r="AK2045" i="1"/>
  <c r="X1112" i="1"/>
  <c r="X2045" i="1"/>
  <c r="X2677" i="1"/>
  <c r="AK4301" i="1"/>
  <c r="AL4355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9" i="1"/>
  <c r="AL4340" i="1"/>
  <c r="AL4368" i="1"/>
  <c r="AK4340" i="1"/>
  <c r="AK4368" i="1"/>
  <c r="X4294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1" i="1"/>
  <c r="AK1299" i="1"/>
  <c r="X1417" i="1"/>
  <c r="AK4371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3" i="1"/>
  <c r="AK1092" i="1"/>
  <c r="X1353" i="1"/>
  <c r="X2317" i="1"/>
  <c r="X4339" i="1"/>
  <c r="AK698" i="1"/>
  <c r="AK2592" i="1"/>
  <c r="AK1353" i="1"/>
  <c r="AK2317" i="1"/>
  <c r="X2359" i="1"/>
  <c r="AL4293" i="1"/>
  <c r="X4367" i="1"/>
  <c r="X585" i="1"/>
  <c r="X1270" i="1"/>
  <c r="AK2057" i="1"/>
  <c r="X2114" i="1"/>
  <c r="X2144" i="1"/>
  <c r="AK2461" i="1"/>
  <c r="AL4347" i="1"/>
  <c r="X2461" i="1"/>
  <c r="X234" i="1"/>
  <c r="X1622" i="1"/>
  <c r="AK2359" i="1"/>
  <c r="X2390" i="1"/>
  <c r="X4347" i="1"/>
  <c r="AK585" i="1"/>
  <c r="AK1270" i="1"/>
  <c r="AK1803" i="1"/>
  <c r="AK2114" i="1"/>
  <c r="AK2144" i="1"/>
  <c r="AK2999" i="1"/>
  <c r="AL4367" i="1"/>
  <c r="AK1622" i="1"/>
  <c r="AK2390" i="1"/>
  <c r="AK389" i="1"/>
  <c r="AL4339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4" i="1"/>
  <c r="X4353" i="1"/>
  <c r="X4182" i="1"/>
  <c r="X1281" i="1"/>
  <c r="AK1281" i="1"/>
  <c r="X660" i="1"/>
  <c r="X4170" i="1"/>
  <c r="X472" i="1"/>
  <c r="AK472" i="1"/>
  <c r="X480" i="1"/>
  <c r="X612" i="1"/>
  <c r="X1119" i="1"/>
  <c r="X4181" i="1"/>
  <c r="AK1119" i="1"/>
  <c r="AK4181" i="1"/>
  <c r="AK1113" i="1"/>
  <c r="AL1113" i="1"/>
  <c r="AL4354" i="1"/>
  <c r="AK4182" i="1"/>
  <c r="AL4353" i="1"/>
  <c r="AL993" i="1"/>
  <c r="AK1112" i="1"/>
  <c r="AK659" i="1"/>
  <c r="X4159" i="1"/>
  <c r="AL659" i="1"/>
  <c r="AK2082" i="1"/>
  <c r="X894" i="1"/>
  <c r="AK4159" i="1"/>
  <c r="AK894" i="1"/>
  <c r="X1448" i="1"/>
  <c r="X993" i="1"/>
  <c r="AK1448" i="1"/>
  <c r="AL4158" i="1"/>
  <c r="AK4158" i="1"/>
  <c r="AL4387" i="1"/>
  <c r="AK4170" i="1"/>
  <c r="X4387" i="1"/>
  <c r="AL989" i="1"/>
  <c r="AK989" i="1"/>
  <c r="X89" i="1"/>
  <c r="X420" i="1"/>
  <c r="AL89" i="1"/>
  <c r="AK420" i="1"/>
  <c r="X4323" i="1"/>
  <c r="X3858" i="1"/>
  <c r="AK3858" i="1"/>
  <c r="X1439" i="1"/>
  <c r="X4404" i="1"/>
  <c r="AK1439" i="1"/>
  <c r="X4310" i="1"/>
  <c r="AK2911" i="1"/>
  <c r="X2557" i="1"/>
  <c r="X4309" i="1"/>
  <c r="AK4310" i="1"/>
  <c r="AK4309" i="1"/>
  <c r="AK4403" i="1"/>
  <c r="AL3683" i="1"/>
  <c r="X4303" i="1"/>
  <c r="AL4303" i="1"/>
  <c r="AL4404" i="1"/>
  <c r="AK4323" i="1"/>
  <c r="AL4322" i="1"/>
  <c r="AK4322" i="1"/>
  <c r="AK2557" i="1"/>
  <c r="AL2911" i="1"/>
  <c r="X4413" i="1"/>
  <c r="AK4094" i="1"/>
  <c r="X3683" i="1"/>
  <c r="AL4094" i="1"/>
  <c r="AK2007" i="1"/>
  <c r="AL2866" i="1"/>
  <c r="X4430" i="1"/>
  <c r="AL4430" i="1"/>
  <c r="AL3351" i="1"/>
  <c r="AK3351" i="1"/>
  <c r="X3874" i="1"/>
  <c r="X2864" i="1"/>
  <c r="X1600" i="1"/>
  <c r="AL2864" i="1"/>
  <c r="AK508" i="1"/>
  <c r="AK1600" i="1"/>
  <c r="AK3354" i="1"/>
  <c r="X4403" i="1"/>
  <c r="X508" i="1"/>
  <c r="AK4431" i="1"/>
  <c r="AK3874" i="1"/>
  <c r="AL4431" i="1"/>
  <c r="AL4402" i="1"/>
  <c r="AL4304" i="1"/>
  <c r="X1280" i="1"/>
  <c r="AK774" i="1"/>
  <c r="X4304" i="1"/>
  <c r="X4402" i="1"/>
  <c r="AL4411" i="1"/>
  <c r="AL774" i="1"/>
  <c r="X4411" i="1"/>
  <c r="X1003" i="1"/>
  <c r="AL4420" i="1"/>
  <c r="X4429" i="1"/>
  <c r="AL4429" i="1"/>
  <c r="X4422" i="1"/>
  <c r="AK1472" i="1"/>
  <c r="AL4422" i="1"/>
  <c r="AK3129" i="1"/>
  <c r="AK2688" i="1"/>
  <c r="X2867" i="1"/>
  <c r="AL1472" i="1"/>
  <c r="AL319" i="1"/>
  <c r="AL3129" i="1"/>
  <c r="X173" i="1"/>
  <c r="AL173" i="1"/>
  <c r="X319" i="1"/>
  <c r="X2295" i="1"/>
  <c r="X4423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3" i="1"/>
  <c r="X3637" i="1"/>
  <c r="X3131" i="1"/>
  <c r="AK3637" i="1"/>
  <c r="AK3131" i="1"/>
  <c r="AL4290" i="1"/>
  <c r="AK4290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3" i="1"/>
  <c r="AL4113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6" i="1"/>
  <c r="X3218" i="1"/>
  <c r="X4257" i="1"/>
  <c r="X3366" i="1"/>
  <c r="AL3366" i="1"/>
  <c r="AL4257" i="1"/>
  <c r="AL197" i="1"/>
  <c r="AK27" i="1"/>
  <c r="AK4160" i="1"/>
  <c r="X27" i="1"/>
  <c r="X2831" i="1"/>
  <c r="X2720" i="1"/>
  <c r="AK2831" i="1"/>
  <c r="AL2979" i="1"/>
  <c r="X17" i="1"/>
  <c r="X4160" i="1"/>
  <c r="AK17" i="1"/>
  <c r="AK429" i="1"/>
  <c r="AL155" i="1"/>
  <c r="AK1030" i="1"/>
  <c r="AL1030" i="1"/>
  <c r="X324" i="1"/>
  <c r="AK324" i="1"/>
  <c r="AK4186" i="1"/>
  <c r="X19" i="1"/>
  <c r="AL2704" i="1"/>
  <c r="AK3218" i="1"/>
  <c r="X2977" i="1"/>
  <c r="X3479" i="1"/>
  <c r="AK3970" i="1"/>
  <c r="X4148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8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7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5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4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1" i="1"/>
  <c r="X3253" i="1"/>
  <c r="AK3267" i="1"/>
  <c r="AK3374" i="1"/>
  <c r="AL3439" i="1"/>
  <c r="X3778" i="1"/>
  <c r="AL3778" i="1"/>
  <c r="X4111" i="1"/>
  <c r="AL4111" i="1"/>
  <c r="AK4111" i="1"/>
  <c r="AG4111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6" i="1"/>
  <c r="AL4206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8" i="1"/>
  <c r="AL4138" i="1"/>
  <c r="X4269" i="1"/>
  <c r="AG4269" i="1"/>
  <c r="AK4062" i="1"/>
  <c r="AK4247" i="1"/>
  <c r="AL4269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58" i="1"/>
  <c r="AK1614" i="1"/>
  <c r="X2257" i="1"/>
  <c r="AK2391" i="1"/>
  <c r="AK2407" i="1"/>
  <c r="AK2410" i="1"/>
  <c r="AK2877" i="1"/>
  <c r="AK3165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5" i="1"/>
  <c r="AK4195" i="1"/>
  <c r="X4195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1" i="1"/>
  <c r="AL4161" i="1"/>
  <c r="AK4161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4" i="1"/>
  <c r="AG4264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58" i="1"/>
  <c r="X4264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4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AL2278" i="1"/>
  <c r="AK2278" i="1"/>
  <c r="AK2728" i="1"/>
  <c r="AK2757" i="1"/>
  <c r="AL2757" i="1"/>
  <c r="AK3862" i="1"/>
  <c r="X3862" i="1"/>
  <c r="AL4056" i="1"/>
  <c r="X4056" i="1"/>
  <c r="AK4246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4" i="1"/>
  <c r="AL4224" i="1"/>
  <c r="AK4224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6" i="1"/>
  <c r="AL4196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4" i="1"/>
  <c r="AK4184" i="1"/>
  <c r="AG4184" i="1"/>
  <c r="X4184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2" i="1"/>
  <c r="AL4262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0" i="1"/>
  <c r="X4270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5" i="1"/>
  <c r="AL4225" i="1"/>
  <c r="AK4225" i="1"/>
  <c r="AL4254" i="1"/>
  <c r="AK4254" i="1"/>
  <c r="X4254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5" i="1"/>
  <c r="AL4185" i="1"/>
  <c r="AK4185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38" i="1"/>
  <c r="AK4238" i="1"/>
  <c r="X4238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8" i="1"/>
  <c r="AG4168" i="1"/>
  <c r="AL3764" i="1"/>
  <c r="AK3764" i="1"/>
  <c r="AL3809" i="1"/>
  <c r="AK3809" i="1"/>
  <c r="AL3875" i="1"/>
  <c r="X3875" i="1"/>
  <c r="AK4063" i="1"/>
  <c r="AL4168" i="1"/>
  <c r="AL4265" i="1"/>
  <c r="AK4265" i="1"/>
  <c r="X4265" i="1"/>
  <c r="X3001" i="1"/>
  <c r="AL3001" i="1"/>
  <c r="AK3001" i="1"/>
  <c r="AK3424" i="1"/>
  <c r="X3424" i="1"/>
  <c r="X3991" i="1"/>
  <c r="AL3991" i="1"/>
  <c r="AK3991" i="1"/>
  <c r="AL4208" i="1"/>
  <c r="AK4208" i="1"/>
  <c r="AG4208" i="1"/>
  <c r="AG4246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6" i="1"/>
  <c r="AG4015" i="1"/>
  <c r="AL4015" i="1"/>
  <c r="X4038" i="1"/>
  <c r="AL4038" i="1"/>
  <c r="AK4038" i="1"/>
  <c r="X4177" i="1"/>
  <c r="AL4177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4" i="1"/>
  <c r="AK4174" i="1"/>
  <c r="AK4177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3" i="1"/>
  <c r="AK4263" i="1"/>
  <c r="AG4263" i="1"/>
  <c r="X4263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4" i="1"/>
  <c r="X2874" i="1"/>
  <c r="AL2874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6" i="1"/>
  <c r="AK4176" i="1"/>
  <c r="AG4176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0" i="1"/>
  <c r="AK4110" i="1"/>
  <c r="AG4110" i="1"/>
  <c r="X4110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6" i="1"/>
  <c r="AK4136" i="1"/>
  <c r="AG4136" i="1"/>
  <c r="X4136" i="1"/>
  <c r="X3802" i="1"/>
  <c r="AK3802" i="1"/>
  <c r="AG3807" i="1"/>
  <c r="AL3807" i="1"/>
  <c r="AK3807" i="1"/>
  <c r="AL4012" i="1"/>
  <c r="AK4012" i="1"/>
  <c r="X4012" i="1"/>
  <c r="AL4222" i="1"/>
  <c r="AK4222" i="1"/>
  <c r="X4222" i="1"/>
  <c r="X3786" i="1"/>
  <c r="X3794" i="1"/>
  <c r="AG3802" i="1"/>
  <c r="X3807" i="1"/>
  <c r="AL3873" i="1"/>
  <c r="AK3873" i="1"/>
  <c r="AL3925" i="1"/>
  <c r="AK3925" i="1"/>
  <c r="AL4179" i="1"/>
  <c r="AK4179" i="1"/>
  <c r="AG4179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7" i="1"/>
  <c r="AK4117" i="1"/>
  <c r="AG4117" i="1"/>
  <c r="X4179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3" i="1"/>
  <c r="AK4163" i="1"/>
  <c r="AG4163" i="1"/>
  <c r="AL4202" i="1"/>
  <c r="AK4202" i="1"/>
  <c r="X4202" i="1"/>
  <c r="AL4207" i="1"/>
  <c r="AK4207" i="1"/>
  <c r="AG4207" i="1"/>
  <c r="X4207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7" i="1"/>
  <c r="AK4167" i="1"/>
  <c r="AG4167" i="1"/>
  <c r="AL3862" i="1"/>
  <c r="AK3876" i="1"/>
  <c r="AL3878" i="1"/>
  <c r="AL3880" i="1"/>
  <c r="AK3969" i="1"/>
  <c r="X4050" i="1"/>
  <c r="AK4116" i="1"/>
  <c r="AK4126" i="1"/>
  <c r="AK4162" i="1"/>
  <c r="AK4165" i="1"/>
  <c r="AK4178" i="1"/>
  <c r="AG4185" i="1"/>
  <c r="AG4225" i="1"/>
  <c r="AK4230" i="1"/>
  <c r="AG4247" i="1"/>
  <c r="AK4251" i="1"/>
  <c r="X3806" i="1"/>
  <c r="AL3876" i="1"/>
  <c r="AK3891" i="1"/>
  <c r="AK3967" i="1"/>
  <c r="AL3969" i="1"/>
  <c r="AK3980" i="1"/>
  <c r="AK3982" i="1"/>
  <c r="AL4051" i="1"/>
  <c r="AL4116" i="1"/>
  <c r="AL4126" i="1"/>
  <c r="AK4135" i="1"/>
  <c r="AK4138" i="1"/>
  <c r="AK4144" i="1"/>
  <c r="AL4162" i="1"/>
  <c r="AL4165" i="1"/>
  <c r="AL4178" i="1"/>
  <c r="AK4206" i="1"/>
  <c r="AL4230" i="1"/>
  <c r="AL4251" i="1"/>
  <c r="AK4262" i="1"/>
  <c r="AL3891" i="1"/>
  <c r="AK3957" i="1"/>
  <c r="X3966" i="1"/>
  <c r="AL3967" i="1"/>
  <c r="AK3875" i="1"/>
  <c r="AK3903" i="1"/>
  <c r="AK3966" i="1"/>
  <c r="AK3979" i="1"/>
  <c r="AK3987" i="1"/>
  <c r="AG4270" i="1"/>
  <c r="AK4044" i="1"/>
  <c r="X4142" i="1"/>
  <c r="X4197" i="1"/>
  <c r="X4051" i="1"/>
  <c r="AK4270" i="1"/>
  <c r="X3891" i="1"/>
  <c r="X3967" i="1"/>
  <c r="X4116" i="1"/>
  <c r="X4162" i="1"/>
  <c r="X4178" i="1"/>
  <c r="X4206" i="1"/>
  <c r="X4135" i="1"/>
  <c r="AK4142" i="1"/>
  <c r="AK4197" i="1"/>
  <c r="X4262" i="1"/>
</calcChain>
</file>

<file path=xl/sharedStrings.xml><?xml version="1.0" encoding="utf-8"?>
<sst xmlns="http://schemas.openxmlformats.org/spreadsheetml/2006/main" count="60787" uniqueCount="3515">
  <si>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</si>
  <si>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</si>
  <si>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</si>
  <si>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</si>
  <si>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</si>
  <si>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</si>
  <si>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</si>
  <si>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</si>
  <si>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</si>
  <si>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</si>
  <si>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</si>
  <si>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</si>
  <si>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</si>
  <si>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</si>
  <si>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</si>
  <si>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</si>
  <si>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</si>
  <si>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</si>
  <si>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</si>
  <si>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</si>
  <si>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</si>
  <si>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</si>
  <si>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</si>
  <si>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</si>
  <si>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</si>
  <si>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</si>
  <si>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</si>
  <si>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</si>
  <si>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</si>
  <si>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</si>
  <si>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</si>
  <si>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</si>
  <si>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</si>
  <si>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</si>
  <si>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</si>
  <si>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</si>
  <si>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</si>
  <si>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</si>
  <si>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</si>
  <si>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</si>
  <si>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</si>
  <si>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</si>
  <si>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</si>
  <si>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</si>
  <si>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</si>
  <si>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</si>
  <si>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</si>
  <si>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</si>
  <si>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</si>
  <si>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</si>
  <si>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</si>
  <si>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</si>
  <si>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</si>
  <si>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</si>
  <si>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</si>
  <si>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</si>
  <si>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</si>
  <si>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</si>
  <si>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</si>
  <si>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</si>
  <si>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</si>
  <si>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</si>
  <si>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</si>
  <si>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</si>
  <si>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</si>
  <si>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</si>
  <si>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</si>
  <si>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</si>
  <si>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</si>
  <si>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</si>
  <si>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</si>
  <si>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</si>
  <si>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</si>
  <si>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</si>
  <si>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</si>
  <si>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</si>
  <si>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</si>
  <si>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</si>
  <si>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</si>
  <si>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</si>
  <si>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</si>
  <si>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</si>
  <si>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</si>
  <si>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</si>
  <si>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</si>
  <si>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</si>
  <si>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</si>
  <si>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</si>
  <si>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</si>
  <si>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</si>
  <si>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</si>
  <si>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</si>
  <si>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</si>
  <si>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</si>
  <si>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</si>
  <si>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</si>
  <si>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</si>
  <si>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</si>
  <si>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</si>
  <si>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</si>
  <si>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</si>
  <si>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</si>
  <si>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</si>
  <si>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</si>
  <si>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</si>
  <si>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</si>
  <si>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</si>
  <si>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</si>
  <si>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</si>
  <si>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</si>
  <si>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</si>
  <si>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</si>
  <si>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</si>
  <si>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</si>
  <si>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</si>
  <si>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</si>
  <si>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</si>
  <si>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</si>
  <si>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</si>
  <si>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</si>
  <si>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</si>
  <si>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</si>
  <si>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</si>
  <si>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</si>
  <si>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</si>
  <si>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</si>
  <si>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</si>
  <si>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</si>
  <si>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</si>
  <si>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</si>
  <si>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</si>
  <si>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</si>
  <si>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</si>
  <si>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</si>
  <si>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</si>
  <si>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</si>
  <si>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</si>
  <si>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</si>
  <si>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</si>
  <si>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</si>
  <si>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</si>
  <si>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</si>
  <si>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</si>
  <si>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</si>
  <si>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</si>
  <si>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</si>
  <si>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</si>
  <si>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</si>
  <si>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</si>
  <si>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</si>
  <si>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</si>
  <si>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</si>
  <si>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</si>
  <si>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</si>
  <si>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</si>
  <si>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</si>
  <si>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</si>
  <si>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</si>
  <si>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</si>
  <si>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</si>
  <si>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</si>
  <si>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</si>
  <si>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</si>
  <si>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</si>
  <si>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</si>
  <si>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</si>
  <si>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</si>
  <si>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</si>
  <si>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</si>
  <si>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</si>
  <si>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</si>
  <si>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</si>
  <si>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</si>
  <si>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</si>
  <si>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</si>
  <si>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</si>
  <si>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</si>
  <si>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</si>
  <si>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</si>
  <si>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</si>
  <si>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</si>
  <si>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</si>
  <si>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</si>
  <si>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</si>
  <si>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</si>
  <si>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</si>
  <si>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</si>
  <si>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</si>
  <si>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</si>
  <si>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</si>
  <si>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</si>
  <si>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</si>
  <si>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</si>
  <si>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</si>
  <si>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</si>
  <si>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</si>
  <si>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</si>
  <si>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</si>
  <si>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</si>
  <si>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</si>
  <si>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</si>
  <si>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</si>
  <si>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</si>
  <si>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</si>
  <si>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</si>
  <si>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</si>
  <si>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</si>
  <si>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</si>
  <si>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</si>
  <si>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</si>
  <si>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</si>
  <si>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</si>
  <si>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</si>
  <si>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</si>
  <si>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</si>
  <si>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</si>
  <si>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</si>
  <si>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</si>
  <si>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</si>
  <si>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</si>
  <si>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</si>
  <si>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</si>
  <si>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</si>
  <si>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</si>
  <si>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</si>
  <si>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</si>
  <si>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</si>
  <si>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</si>
  <si>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</si>
  <si>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</si>
  <si>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</si>
  <si>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</si>
  <si>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</si>
  <si>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</si>
  <si>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</si>
  <si>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</si>
  <si>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</si>
  <si>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</si>
  <si>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</si>
  <si>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</si>
  <si>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</si>
  <si>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</si>
  <si>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</si>
  <si>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</si>
  <si>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</si>
  <si>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</si>
  <si>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</si>
  <si>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</si>
  <si>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</si>
  <si>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</si>
  <si>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</si>
  <si>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</si>
  <si>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</si>
  <si>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</si>
  <si>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</si>
  <si>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</si>
  <si>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</si>
  <si>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</si>
  <si>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</si>
  <si>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</si>
  <si>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</si>
  <si>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</si>
  <si>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</si>
  <si>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</si>
  <si>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</si>
  <si>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</si>
  <si>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</si>
  <si>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</si>
  <si>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</si>
  <si>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</si>
  <si>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</si>
  <si>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</si>
  <si>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</si>
  <si>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</si>
  <si>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</si>
  <si>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</si>
  <si>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</si>
  <si>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</si>
  <si>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</si>
  <si>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</si>
  <si>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</si>
  <si>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</si>
  <si>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</si>
  <si>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</si>
  <si>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</si>
  <si>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</si>
  <si>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</si>
  <si>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</si>
  <si>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</si>
  <si>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</si>
  <si>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</si>
  <si>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</si>
  <si>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</si>
  <si>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</si>
  <si>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</si>
  <si>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</si>
  <si>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</si>
  <si>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</si>
  <si>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</si>
  <si>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</si>
  <si>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</si>
  <si>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</si>
  <si>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</si>
  <si>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</si>
  <si>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</si>
  <si>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</si>
  <si>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</si>
  <si>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</si>
  <si>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</si>
  <si>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</si>
  <si>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</si>
  <si>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</si>
  <si>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</si>
  <si>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</si>
  <si>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</si>
  <si>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</si>
  <si>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</si>
  <si>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</si>
  <si>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</si>
  <si>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</si>
  <si>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</si>
  <si>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</si>
  <si>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</si>
  <si>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</si>
  <si>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</si>
  <si>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</si>
  <si>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</si>
  <si>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</si>
  <si>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</si>
  <si>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</si>
  <si>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</si>
  <si>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</si>
  <si>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</si>
  <si>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</si>
  <si>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</si>
  <si>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</si>
  <si>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</si>
  <si>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</si>
  <si>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</si>
  <si>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</si>
  <si>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</si>
  <si>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</si>
  <si>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</si>
  <si>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</si>
  <si>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</si>
  <si>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</si>
  <si>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</si>
  <si>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</si>
  <si>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</si>
  <si>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</si>
  <si>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</si>
  <si>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</si>
  <si>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</si>
  <si>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</si>
  <si>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</si>
  <si>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</si>
  <si>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</si>
  <si>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</si>
  <si>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</si>
  <si>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</si>
  <si>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</si>
  <si>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</si>
  <si>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</si>
  <si>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</si>
  <si>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</si>
  <si>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</si>
  <si>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</si>
  <si>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</si>
  <si>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</si>
  <si>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</si>
  <si>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</si>
  <si>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</si>
  <si>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</si>
  <si>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</si>
  <si>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</si>
  <si>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</si>
  <si>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</si>
  <si>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</si>
  <si>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</si>
  <si>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</si>
  <si>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</si>
  <si>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</si>
  <si>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</si>
  <si>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</si>
  <si>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</si>
  <si>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</si>
  <si>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</si>
  <si>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</si>
  <si>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</si>
  <si>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</si>
  <si>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</si>
  <si>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</si>
  <si>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</si>
  <si>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</si>
  <si>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</si>
  <si>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</si>
  <si>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</si>
  <si>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</si>
  <si>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</si>
  <si>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</si>
  <si>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</si>
  <si>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</si>
  <si>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</si>
  <si>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</si>
  <si>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</si>
  <si>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</si>
  <si>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</si>
  <si>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</si>
  <si>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</si>
  <si>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</si>
  <si>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</si>
  <si>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</si>
  <si>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</si>
  <si>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</si>
  <si>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</si>
  <si>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</si>
  <si>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</si>
  <si>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</si>
  <si>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</si>
  <si>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</si>
  <si>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</si>
  <si>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</si>
  <si>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</si>
  <si>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</si>
  <si>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</si>
  <si>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</si>
  <si>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</si>
  <si>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</si>
  <si>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</si>
  <si>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</si>
  <si>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</si>
  <si>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</si>
  <si>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</si>
  <si>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</si>
  <si>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</si>
  <si>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</si>
  <si>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</si>
  <si>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</si>
  <si>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</si>
  <si>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</si>
  <si>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</si>
  <si>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</si>
  <si>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</si>
  <si>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</si>
  <si>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</si>
  <si>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</si>
  <si>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</si>
  <si>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</si>
  <si>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</si>
  <si>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</si>
  <si>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</si>
  <si>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</si>
  <si>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</si>
  <si>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</si>
  <si>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</si>
  <si>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</si>
  <si>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</si>
  <si>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</si>
  <si>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</si>
  <si>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</si>
  <si>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</si>
  <si>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</si>
  <si>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</si>
  <si>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</si>
  <si>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</si>
  <si>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</si>
  <si>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</si>
  <si>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</si>
  <si>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</si>
  <si>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</si>
  <si>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</si>
  <si>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</si>
  <si>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</si>
  <si>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</si>
  <si>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</si>
  <si>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</si>
  <si>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</si>
  <si>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</si>
  <si>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</si>
  <si>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</si>
  <si>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</si>
  <si>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</si>
  <si>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</si>
  <si>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</si>
  <si>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</si>
  <si>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</si>
  <si>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</si>
  <si>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</si>
  <si>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</si>
  <si>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</si>
  <si>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</si>
  <si>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</si>
  <si>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</si>
  <si>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</si>
  <si>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</si>
  <si>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</si>
  <si>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</si>
  <si>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</si>
  <si>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</si>
  <si>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</si>
  <si>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</si>
  <si>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</si>
  <si>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</si>
  <si>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</si>
  <si>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</si>
  <si>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</si>
  <si>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</si>
  <si>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</si>
  <si>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</si>
  <si>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</si>
  <si>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</si>
  <si>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</si>
  <si>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</si>
  <si>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</si>
  <si>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</si>
  <si>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</si>
  <si>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</si>
  <si>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</si>
  <si>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</si>
  <si>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</si>
  <si>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</si>
  <si>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</si>
  <si>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</si>
  <si>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</si>
  <si>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</si>
  <si>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</si>
  <si>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</si>
  <si>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</si>
  <si>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</si>
  <si>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</si>
  <si>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</si>
  <si>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</si>
  <si>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</si>
  <si>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</si>
  <si>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</si>
  <si>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</si>
  <si>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</si>
  <si>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</si>
  <si>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</si>
  <si>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</si>
  <si>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</si>
  <si>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</si>
  <si>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</si>
  <si>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</si>
  <si>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</si>
  <si>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</si>
  <si>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</si>
  <si>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</si>
  <si>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</si>
  <si>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</si>
  <si>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</si>
  <si>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</si>
  <si>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</si>
  <si>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</si>
  <si>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</si>
  <si>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</si>
  <si>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</si>
  <si>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</si>
  <si>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</si>
  <si>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</si>
  <si>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</si>
  <si>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</si>
  <si>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</si>
  <si>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</si>
  <si>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</si>
  <si>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</si>
  <si>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</si>
  <si>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</si>
  <si>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</si>
  <si>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</si>
  <si>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</si>
  <si>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</si>
  <si>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</si>
  <si>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</si>
  <si>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</si>
  <si>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</si>
  <si>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</si>
  <si>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</si>
  <si>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</si>
  <si>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</si>
  <si>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</si>
  <si>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</si>
  <si>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</si>
  <si>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</si>
  <si>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</si>
  <si>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</si>
  <si>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</si>
  <si>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</si>
  <si>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</si>
  <si>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</si>
  <si>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</si>
  <si>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</si>
  <si>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</si>
  <si>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</si>
  <si>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</si>
  <si>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</si>
  <si>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</si>
  <si>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</si>
  <si>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</si>
  <si>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</si>
  <si>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</si>
  <si>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</si>
  <si>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</si>
  <si>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</si>
  <si>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</si>
  <si>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</si>
  <si>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</si>
  <si>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</si>
  <si>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</si>
  <si>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</si>
  <si>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</si>
  <si>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</si>
  <si>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</si>
  <si>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</si>
  <si>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</si>
  <si>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</si>
  <si>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</si>
  <si>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</si>
  <si>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</si>
  <si>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</si>
  <si>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</si>
  <si>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</si>
  <si>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</si>
  <si>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</si>
  <si>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</si>
  <si>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</si>
  <si>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</si>
  <si>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</si>
  <si>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</si>
  <si>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</si>
  <si>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</si>
  <si>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</si>
  <si>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</si>
  <si>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</si>
  <si>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</si>
  <si>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</si>
  <si>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</si>
  <si>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</si>
  <si>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</si>
  <si>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</si>
  <si>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</si>
  <si>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</si>
  <si>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</si>
  <si>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</si>
  <si>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</si>
  <si>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</si>
  <si>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</si>
  <si>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</si>
  <si>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</si>
  <si>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</si>
  <si>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</si>
  <si>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</si>
  <si>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</si>
  <si>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</si>
  <si>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</si>
  <si>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</si>
  <si>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</si>
  <si>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</si>
  <si>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</si>
  <si>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</si>
  <si>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</si>
  <si>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</si>
  <si>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</si>
  <si>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</si>
  <si>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</si>
  <si>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</si>
  <si>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</si>
  <si>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</si>
  <si>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</si>
  <si>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</si>
  <si>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</si>
  <si>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</si>
  <si>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</si>
  <si>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</si>
  <si>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</si>
  <si>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</si>
  <si>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</si>
  <si>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</si>
  <si>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</si>
  <si>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</si>
  <si>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</si>
  <si>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</si>
  <si>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</si>
  <si>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</si>
  <si>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</si>
  <si>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</si>
  <si>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</si>
  <si>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</si>
  <si>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</si>
  <si>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</si>
  <si>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</si>
  <si>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</si>
  <si>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</si>
  <si>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</si>
  <si>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</si>
  <si>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</si>
  <si>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</si>
  <si>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</si>
  <si>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</si>
  <si>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</si>
  <si>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</si>
  <si>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</si>
  <si>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</si>
  <si>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</si>
  <si>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</si>
  <si>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</si>
  <si>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</si>
  <si>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</si>
  <si>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</si>
  <si>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</si>
  <si>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</si>
  <si>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</si>
  <si>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</si>
  <si>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</si>
  <si>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</si>
  <si>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</si>
  <si>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</si>
  <si>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</si>
  <si>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</si>
  <si>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</si>
  <si>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</si>
  <si>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</si>
  <si>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</si>
  <si>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</si>
  <si>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</si>
  <si>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</si>
  <si>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</si>
  <si>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</si>
  <si>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</si>
  <si>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</si>
  <si>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</si>
  <si>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</si>
  <si>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</si>
  <si>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</si>
  <si>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</si>
  <si>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</si>
  <si>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</si>
  <si>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</si>
  <si>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</si>
  <si>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</si>
  <si>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</si>
  <si>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</si>
  <si>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</si>
  <si>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</si>
  <si>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</si>
  <si>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</si>
  <si>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</si>
  <si>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</si>
  <si>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</si>
  <si>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</si>
  <si>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</si>
  <si>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</si>
  <si>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</si>
  <si>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</si>
  <si>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</si>
  <si>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</si>
  <si>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</si>
  <si>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</si>
  <si>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</si>
  <si>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</si>
  <si>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</si>
  <si>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</si>
  <si>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</si>
  <si>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</si>
  <si>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</si>
  <si>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</si>
  <si>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</si>
  <si>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</si>
  <si>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</si>
  <si>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</si>
  <si>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</si>
  <si>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</si>
  <si>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</si>
  <si>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</si>
  <si>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</si>
  <si>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</si>
  <si>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</si>
  <si>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</si>
  <si>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</si>
  <si>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</si>
  <si>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</si>
  <si>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</si>
  <si>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</si>
  <si>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</si>
  <si>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</si>
  <si>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</si>
  <si>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</si>
  <si>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</si>
  <si>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</si>
  <si>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</si>
  <si>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</si>
  <si>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</si>
  <si>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</si>
  <si>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</si>
  <si>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</si>
  <si>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</si>
  <si>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</si>
  <si>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</si>
  <si>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</si>
  <si>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</si>
  <si>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</si>
  <si>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</si>
  <si>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</si>
  <si>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</si>
  <si>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</si>
  <si>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</si>
  <si>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</si>
  <si>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</si>
  <si>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</si>
  <si>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</si>
  <si>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</si>
  <si>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</si>
  <si>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</si>
  <si>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</si>
  <si>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</si>
  <si>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</si>
  <si>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</si>
  <si>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</si>
  <si>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</si>
  <si>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</si>
  <si>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</si>
  <si>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</si>
  <si>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</si>
  <si>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</si>
  <si>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</si>
  <si>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</si>
  <si>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</si>
  <si>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</si>
  <si>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</si>
  <si>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</si>
  <si>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</si>
  <si>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</si>
  <si>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</si>
  <si>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</si>
  <si>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</si>
  <si>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</si>
  <si>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</si>
  <si>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</si>
  <si>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</si>
  <si>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</si>
  <si>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</si>
  <si>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</si>
  <si>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</si>
  <si>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</si>
  <si>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</si>
  <si>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</si>
  <si>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</si>
  <si>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</si>
  <si>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</si>
  <si>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</si>
  <si>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</si>
  <si>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</si>
  <si>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</si>
  <si>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</si>
  <si>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</si>
  <si>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</si>
  <si>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</si>
  <si>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</si>
  <si>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</si>
  <si>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</si>
  <si>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</si>
  <si>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</si>
  <si>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</si>
  <si>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</si>
  <si>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</si>
  <si>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</si>
  <si>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</si>
  <si>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</si>
  <si>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</si>
  <si>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</si>
  <si>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</si>
  <si>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</si>
  <si>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</si>
  <si>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</si>
  <si>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</si>
  <si>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</si>
  <si>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</si>
  <si>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</si>
  <si>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</si>
  <si>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</si>
  <si>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</si>
  <si>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</si>
  <si>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</si>
  <si>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</si>
  <si>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</si>
  <si>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</si>
  <si>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</si>
  <si>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</si>
  <si>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</si>
  <si>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</si>
  <si>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</si>
  <si>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</si>
  <si>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</si>
  <si>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</si>
  <si>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</si>
  <si>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</si>
  <si>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</si>
  <si>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</si>
  <si>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</si>
  <si>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</si>
  <si>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</si>
  <si>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</si>
  <si>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</si>
  <si>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</si>
  <si>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</si>
  <si>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</si>
  <si>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</si>
  <si>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</si>
  <si>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</si>
  <si>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</si>
  <si>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</si>
  <si>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</si>
  <si>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</si>
  <si>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</si>
  <si>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</si>
  <si>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</si>
  <si>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</si>
  <si>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</si>
  <si>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</si>
  <si>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</si>
  <si>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</si>
  <si>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</si>
  <si>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</si>
  <si>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</si>
  <si>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</si>
  <si>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</si>
  <si>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</si>
  <si>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</si>
  <si>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</si>
  <si>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</si>
  <si>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</si>
  <si>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</si>
  <si>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</si>
  <si>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</si>
  <si>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</si>
  <si>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</si>
  <si>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</si>
  <si>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</si>
  <si>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</si>
  <si>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</si>
  <si>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</si>
  <si>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</si>
  <si>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</si>
  <si>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</si>
  <si>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</si>
  <si>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</si>
  <si>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</si>
  <si>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</si>
  <si>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</si>
  <si>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</si>
  <si>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</si>
  <si>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</si>
  <si>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</si>
  <si>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</si>
  <si>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</si>
  <si>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</si>
  <si>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</si>
  <si>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</si>
  <si>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</si>
  <si>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</si>
  <si>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</si>
  <si>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</si>
  <si>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</si>
  <si>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</si>
  <si>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</si>
  <si>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</si>
  <si>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</si>
  <si>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</si>
  <si>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</si>
  <si>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</si>
  <si>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</si>
  <si>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</si>
  <si>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</si>
  <si>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</si>
  <si>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</si>
  <si>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</si>
  <si>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</si>
  <si>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</si>
  <si>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</si>
  <si>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</si>
  <si>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</si>
  <si>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</si>
  <si>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</si>
  <si>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</si>
  <si>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</si>
  <si>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</si>
  <si>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</si>
  <si>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</si>
  <si>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</si>
  <si>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</si>
  <si>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</si>
  <si>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</si>
  <si>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</si>
  <si>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</si>
  <si>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</si>
  <si>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</si>
  <si>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</si>
  <si>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</si>
  <si>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</si>
  <si>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</si>
  <si>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</si>
  <si>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</si>
  <si>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</si>
  <si>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</si>
  <si>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</si>
  <si>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</si>
  <si>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</si>
  <si>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</si>
  <si>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</si>
  <si>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</si>
  <si>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</si>
  <si>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</si>
  <si>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</si>
  <si>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</si>
  <si>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</si>
  <si>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</si>
  <si>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</si>
  <si>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</si>
  <si>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</si>
  <si>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</si>
  <si>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</si>
  <si>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</si>
  <si>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</si>
  <si>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</si>
  <si>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</si>
  <si>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</si>
  <si>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</si>
  <si>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</si>
  <si>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</si>
  <si>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</si>
  <si>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</si>
  <si>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</si>
  <si>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</si>
  <si>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</si>
  <si>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</si>
  <si>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</si>
  <si>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</si>
  <si>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</si>
  <si>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</si>
  <si>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</si>
  <si>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</si>
  <si>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</si>
  <si>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</si>
  <si>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</si>
  <si>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</si>
  <si>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</si>
  <si>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</si>
  <si>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</si>
  <si>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</si>
  <si>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</si>
  <si>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</si>
  <si>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</si>
  <si>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</si>
  <si>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</si>
  <si>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</si>
  <si>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</si>
  <si>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</si>
  <si>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</si>
  <si>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</si>
  <si>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</si>
  <si>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</si>
  <si>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</si>
  <si>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</si>
  <si>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</si>
  <si>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</si>
  <si>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</si>
  <si>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</si>
  <si>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</si>
  <si>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</si>
  <si>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</si>
  <si>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</si>
  <si>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</si>
  <si>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</si>
  <si>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</si>
  <si>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</si>
  <si>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</si>
  <si>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</si>
  <si>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</si>
  <si>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</si>
  <si>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</si>
  <si>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</si>
  <si>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</si>
  <si>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</si>
  <si>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</si>
  <si>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</si>
  <si>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</si>
  <si>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</si>
  <si>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</si>
  <si>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</si>
  <si>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</si>
  <si>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</si>
  <si>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</si>
  <si>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</si>
  <si>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</si>
  <si>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</si>
  <si>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</si>
  <si>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</si>
  <si>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</si>
  <si>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</si>
  <si>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</si>
  <si>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</si>
  <si>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</si>
  <si>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</si>
  <si>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</si>
  <si>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</si>
  <si>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</si>
  <si>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</si>
  <si>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</si>
  <si>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</si>
  <si>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</si>
  <si>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</si>
  <si>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</si>
  <si>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</si>
  <si>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</si>
  <si>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</si>
  <si>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</si>
  <si>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</si>
  <si>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</si>
  <si>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</si>
  <si>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</si>
  <si>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</si>
  <si>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</si>
  <si>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</si>
  <si>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</si>
  <si>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</si>
  <si>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</si>
  <si>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</si>
  <si>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</si>
  <si>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</si>
  <si>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</si>
  <si>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</si>
  <si>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</si>
  <si>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</si>
  <si>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</si>
  <si>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</si>
  <si>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</si>
  <si>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</si>
  <si>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</si>
  <si>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</si>
  <si>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</si>
  <si>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</si>
  <si>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</si>
  <si>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</si>
  <si>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</si>
  <si>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</si>
  <si>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</si>
  <si>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</si>
  <si>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</si>
  <si>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</si>
  <si>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</si>
  <si>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</si>
  <si>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</si>
  <si>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</si>
  <si>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</si>
  <si>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</si>
  <si>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</si>
  <si>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</si>
  <si>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</si>
  <si>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</si>
  <si>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</si>
  <si>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</si>
  <si>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</si>
  <si>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</si>
  <si>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</si>
  <si>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</si>
  <si>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</si>
  <si>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</si>
  <si>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</si>
  <si>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</si>
  <si>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</si>
  <si>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</si>
  <si>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</si>
  <si>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</si>
  <si>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</si>
  <si>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</si>
  <si>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</si>
  <si>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</si>
  <si>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</si>
  <si>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</si>
  <si>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</si>
  <si>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</si>
  <si>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</si>
  <si>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</si>
  <si>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</si>
  <si>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</si>
  <si>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</si>
  <si>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</si>
  <si>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</si>
  <si>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</si>
  <si>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</si>
  <si>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</si>
  <si>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</si>
  <si>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</si>
  <si>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</si>
  <si>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</si>
  <si>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</si>
  <si>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</si>
  <si>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</si>
  <si>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</si>
  <si>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</si>
  <si>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</si>
  <si>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</si>
  <si>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</si>
  <si>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</si>
  <si>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</si>
  <si>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</si>
  <si>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</si>
  <si>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</si>
  <si>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</si>
  <si>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</si>
  <si>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</si>
  <si>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</si>
  <si>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</si>
  <si>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</si>
  <si>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</si>
  <si>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</si>
  <si>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</si>
  <si>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</si>
  <si>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</si>
  <si>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</si>
  <si>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</si>
  <si>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</si>
  <si>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</si>
  <si>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</si>
  <si>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</si>
  <si>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</si>
  <si>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</si>
  <si>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</si>
  <si>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</si>
  <si>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</si>
  <si>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</si>
  <si>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</si>
  <si>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</si>
  <si>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</si>
  <si>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</si>
  <si>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</si>
  <si>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</si>
  <si>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</si>
  <si>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</si>
  <si>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</si>
  <si>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</si>
  <si>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</si>
  <si>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</si>
  <si>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</si>
  <si>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</si>
  <si>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</si>
  <si>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</si>
  <si>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</si>
  <si>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</si>
  <si>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</si>
  <si>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</si>
  <si>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</si>
  <si>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</si>
  <si>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</si>
  <si>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</si>
  <si>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</si>
  <si>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</si>
  <si>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</si>
  <si>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</si>
  <si>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</si>
  <si>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</si>
  <si>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</si>
  <si>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</si>
  <si>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</si>
  <si>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</si>
  <si>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</si>
  <si>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</si>
  <si>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</si>
  <si>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</si>
  <si>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</si>
  <si>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</si>
  <si>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</si>
  <si>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</si>
  <si>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</si>
  <si>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</si>
  <si>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</si>
  <si>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</si>
  <si>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</si>
  <si>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</si>
  <si>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</si>
  <si>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</si>
  <si>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</si>
  <si>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</si>
  <si>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</si>
  <si>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</si>
  <si>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</si>
  <si>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</si>
  <si>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</si>
  <si>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</si>
  <si>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</si>
  <si>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</si>
  <si>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</si>
  <si>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</si>
  <si>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</si>
  <si>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</si>
  <si>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</si>
  <si>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</si>
  <si>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</si>
  <si>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</si>
  <si>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</si>
  <si>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</si>
  <si>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</si>
  <si>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</si>
  <si>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</si>
  <si>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</si>
  <si>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</si>
  <si>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</si>
  <si>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</si>
  <si>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</si>
  <si>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</si>
  <si>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</si>
  <si>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</si>
  <si>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</si>
  <si>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</si>
  <si>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</si>
  <si>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</si>
  <si>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</si>
  <si>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</si>
  <si>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</si>
  <si>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</si>
  <si>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</si>
  <si>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</si>
  <si>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</si>
  <si>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</si>
  <si>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</si>
  <si>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</si>
  <si>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</si>
  <si>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</si>
  <si>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</si>
  <si>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</si>
  <si>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</si>
  <si>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</si>
  <si>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</si>
  <si>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</si>
  <si>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</si>
  <si>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</si>
  <si>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</si>
  <si>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</si>
  <si>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</si>
  <si>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</si>
  <si>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</si>
  <si>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</si>
  <si>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</si>
  <si>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</si>
  <si>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</si>
  <si>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</si>
  <si>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</si>
  <si>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</si>
  <si>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</si>
  <si>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</si>
  <si>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</si>
  <si>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</si>
  <si>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</si>
  <si>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</si>
  <si>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</si>
  <si>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</si>
  <si>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</si>
  <si>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</si>
  <si>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</si>
  <si>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</si>
  <si>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</si>
  <si>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</si>
  <si>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</si>
  <si>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</si>
  <si>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</si>
  <si>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</si>
  <si>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</si>
  <si>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</si>
  <si>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</si>
  <si>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</si>
  <si>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</si>
  <si>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</si>
  <si>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</si>
  <si>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</si>
  <si>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</si>
  <si>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</si>
  <si>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</si>
  <si>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</si>
  <si>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</si>
  <si>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</si>
  <si>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</si>
  <si>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</si>
  <si>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</si>
  <si>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</si>
  <si>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</si>
  <si>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</si>
  <si>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</si>
  <si>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</si>
  <si>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</si>
  <si>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</si>
  <si>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</si>
  <si>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</si>
  <si>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</si>
  <si>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</si>
  <si>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</si>
  <si>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</si>
  <si>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</si>
  <si>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</si>
  <si>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</si>
  <si>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</si>
  <si>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</si>
  <si>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</si>
  <si>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</si>
  <si>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</si>
  <si>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</si>
  <si>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</si>
  <si>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</si>
  <si>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</si>
  <si>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</si>
  <si>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</si>
  <si>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</si>
  <si>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</si>
  <si>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</si>
  <si>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</si>
  <si>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</si>
  <si>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</si>
  <si>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</si>
  <si>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</si>
  <si>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</si>
  <si>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</si>
  <si>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</si>
  <si>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</si>
  <si>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</si>
  <si>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</si>
  <si>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</si>
  <si>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</si>
  <si>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</si>
  <si>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</si>
  <si>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</si>
  <si>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</si>
  <si>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</si>
  <si>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</si>
  <si>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</si>
  <si>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</si>
  <si>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</si>
  <si>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</si>
  <si>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</si>
  <si>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</si>
  <si>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</si>
  <si>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</si>
  <si>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</si>
  <si>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</si>
  <si>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</si>
  <si>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</si>
  <si>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</si>
  <si>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</si>
  <si>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</si>
  <si>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</si>
  <si>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</si>
  <si>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</si>
  <si>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</si>
  <si>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</si>
  <si>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</si>
  <si>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</si>
  <si>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</si>
  <si>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</si>
  <si>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</si>
  <si>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</si>
  <si>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</si>
  <si>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</si>
  <si>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</si>
  <si>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</si>
  <si>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</si>
  <si>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</si>
  <si>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</si>
  <si>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</si>
  <si>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</si>
  <si>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</si>
  <si>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</si>
  <si>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</si>
  <si>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</si>
  <si>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</si>
  <si>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</si>
  <si>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</si>
  <si>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</si>
  <si>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</si>
  <si>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</si>
  <si>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</si>
  <si>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</si>
  <si>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</si>
  <si>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</si>
  <si>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</si>
  <si>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</si>
  <si>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</si>
  <si>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</si>
  <si>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</si>
  <si>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</si>
  <si>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</si>
  <si>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</si>
  <si>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</si>
  <si>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</si>
  <si>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</si>
  <si>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</si>
  <si>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</si>
  <si>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</si>
  <si>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</si>
  <si>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</si>
  <si>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</si>
  <si>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</si>
  <si>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</si>
  <si>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</si>
  <si>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</si>
  <si>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</si>
  <si>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</si>
  <si>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</si>
  <si>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</si>
  <si>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</si>
  <si>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</si>
  <si>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</si>
  <si>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</si>
  <si>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</si>
  <si>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</si>
  <si>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</si>
  <si>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</si>
  <si>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</si>
  <si>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</si>
  <si>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</si>
  <si>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</si>
  <si>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</si>
  <si>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</si>
  <si>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</si>
  <si>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</si>
  <si>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</si>
  <si>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</si>
  <si>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</si>
  <si>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</si>
  <si>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</si>
  <si>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</si>
  <si>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</si>
  <si>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</si>
  <si>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</si>
  <si>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</si>
  <si>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</si>
  <si>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</si>
  <si>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</si>
  <si>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</si>
  <si>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</si>
  <si>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</si>
  <si>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</si>
  <si>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</si>
  <si>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</si>
  <si>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</si>
  <si>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</si>
  <si>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</si>
  <si>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</si>
  <si>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</si>
  <si>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</si>
  <si>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</si>
  <si>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</si>
  <si>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</si>
  <si>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</si>
  <si>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</si>
  <si>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</si>
  <si>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</si>
  <si>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</si>
  <si>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</si>
  <si>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</si>
  <si>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</si>
  <si>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</si>
  <si>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</si>
  <si>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</si>
  <si>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</si>
  <si>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</si>
  <si>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</si>
  <si>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</si>
  <si>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</si>
  <si>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</si>
  <si>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</si>
  <si>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</si>
  <si>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</si>
  <si>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</si>
  <si>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</si>
  <si>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</si>
  <si>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</si>
  <si>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</si>
  <si>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</si>
  <si>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</si>
  <si>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</si>
  <si>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</si>
  <si>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</si>
  <si>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</si>
  <si>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</si>
  <si>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</si>
  <si>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</si>
  <si>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</si>
  <si>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</si>
  <si>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</si>
  <si>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</si>
  <si>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</si>
  <si>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</si>
  <si>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</si>
  <si>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</si>
  <si>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</si>
  <si>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</si>
  <si>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</si>
  <si>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</si>
  <si>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</si>
  <si>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</si>
  <si>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</si>
  <si>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</si>
  <si>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</si>
  <si>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</si>
  <si>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</si>
  <si>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</si>
  <si>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</si>
  <si>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</si>
  <si>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</si>
  <si>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</si>
  <si>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</si>
  <si>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</si>
  <si>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</si>
  <si>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</si>
  <si>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</si>
  <si>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</si>
  <si>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</si>
  <si>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</si>
  <si>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</si>
  <si>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</si>
  <si>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</si>
  <si>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</si>
  <si>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</si>
  <si>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</si>
  <si>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</si>
  <si>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</si>
  <si>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</si>
  <si>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</si>
  <si>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</si>
  <si>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</si>
  <si>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</si>
  <si>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</si>
  <si>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</si>
  <si>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</si>
  <si>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</si>
  <si>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</si>
  <si>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</si>
  <si>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</si>
  <si>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</si>
  <si>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</si>
  <si>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</si>
  <si>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</si>
  <si>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</si>
  <si>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</si>
  <si>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</si>
  <si>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</si>
  <si>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</si>
  <si>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</si>
  <si>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</si>
  <si>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</si>
  <si>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</si>
  <si>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</si>
  <si>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</si>
  <si>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</si>
  <si>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</si>
  <si>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</si>
  <si>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</si>
  <si>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</si>
  <si>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</si>
  <si>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</si>
  <si>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</si>
  <si>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</si>
  <si>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</si>
  <si>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</si>
  <si>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</si>
  <si>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</si>
  <si>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</si>
  <si>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</si>
  <si>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</si>
  <si>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</si>
  <si>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</si>
  <si>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</si>
  <si>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</si>
  <si>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</si>
  <si>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</si>
  <si>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</si>
  <si>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</si>
  <si>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</si>
  <si>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</si>
  <si>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</si>
  <si>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</si>
  <si>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</si>
  <si>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</si>
  <si>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</si>
  <si>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</si>
  <si>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</si>
  <si>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</si>
  <si>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</si>
  <si>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</si>
  <si>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</si>
  <si>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</si>
  <si>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</si>
  <si>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</si>
  <si>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</si>
  <si>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</si>
  <si>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</si>
  <si>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</si>
  <si>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</si>
  <si>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</si>
  <si>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</si>
  <si>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</si>
  <si>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</si>
  <si>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</si>
  <si>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</si>
  <si>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</si>
  <si>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</si>
  <si>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</si>
  <si>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</si>
  <si>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</si>
  <si>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</si>
  <si>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</si>
  <si>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</si>
  <si>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</si>
  <si>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</si>
  <si>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</si>
  <si>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</si>
  <si>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</si>
  <si>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</si>
  <si>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</si>
  <si>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</si>
  <si>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</si>
  <si>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</si>
  <si>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</si>
  <si>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</si>
  <si>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</si>
  <si>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</si>
  <si>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</si>
  <si>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</si>
  <si>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</si>
  <si>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</si>
  <si>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</si>
  <si>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</si>
  <si>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</si>
  <si>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</si>
  <si>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</si>
  <si>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</si>
  <si>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</si>
  <si>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</si>
  <si>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</si>
  <si>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</si>
  <si>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</si>
  <si>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</si>
  <si>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</si>
  <si>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</si>
  <si>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</si>
  <si>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</si>
  <si>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</si>
  <si>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</si>
  <si>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</si>
  <si>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</si>
  <si>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</si>
  <si>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</si>
  <si>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</si>
  <si>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</si>
  <si>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</si>
  <si>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</si>
  <si>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</si>
  <si>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</si>
  <si>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</si>
  <si>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</si>
  <si>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</si>
  <si>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</si>
  <si>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</si>
  <si>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</si>
  <si>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</si>
  <si>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</si>
  <si>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</si>
  <si>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</si>
  <si>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</si>
  <si>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</si>
  <si>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</si>
  <si>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</si>
  <si>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</si>
  <si>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</si>
  <si>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</si>
  <si>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</si>
  <si>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</si>
  <si>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</si>
  <si>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</si>
  <si>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</si>
  <si>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</si>
  <si>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</si>
  <si>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</si>
  <si>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</si>
  <si>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</si>
  <si>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</si>
  <si>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</si>
  <si>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</si>
  <si>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</si>
  <si>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</si>
  <si>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</si>
  <si>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</si>
  <si>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</si>
  <si>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</si>
  <si>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</si>
  <si>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</si>
  <si>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</si>
  <si>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</si>
  <si>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</si>
  <si>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</si>
  <si>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</si>
  <si>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</si>
  <si>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</si>
  <si>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</si>
  <si>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</si>
  <si>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</si>
  <si>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</si>
  <si>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</si>
  <si>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</si>
  <si>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</si>
  <si>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</si>
  <si>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</si>
  <si>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</si>
  <si>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</si>
  <si>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</si>
  <si>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</si>
  <si>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</si>
  <si>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</si>
  <si>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</si>
  <si>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</si>
  <si>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</si>
  <si>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</si>
  <si>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</si>
  <si>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</si>
  <si>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</si>
  <si>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</si>
  <si>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</si>
  <si>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</si>
  <si>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</si>
  <si>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</si>
  <si>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</si>
  <si>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</si>
  <si>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</si>
  <si>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</si>
  <si>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</si>
  <si>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</si>
  <si>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</si>
  <si>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</si>
  <si>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</si>
  <si>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</si>
  <si>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</si>
  <si>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</si>
  <si>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</si>
  <si>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</si>
  <si>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</si>
  <si>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</si>
  <si>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</si>
  <si>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</si>
  <si>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</si>
  <si>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</si>
  <si>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</si>
  <si>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</si>
  <si>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</si>
  <si>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</si>
  <si>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</si>
  <si>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</si>
  <si>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</si>
  <si>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</si>
  <si>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</si>
  <si>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</si>
  <si>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</si>
  <si>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</si>
  <si>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</si>
  <si>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</si>
  <si>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</si>
  <si>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</si>
  <si>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</si>
  <si>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</si>
  <si>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</si>
  <si>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</si>
  <si>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</si>
  <si>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</si>
  <si>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</si>
  <si>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</si>
  <si>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</si>
  <si>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</si>
  <si>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</si>
  <si>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</si>
  <si>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</si>
  <si>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</si>
  <si>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</si>
  <si>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</si>
  <si>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</si>
  <si>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</si>
  <si>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</si>
  <si>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</si>
  <si>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</si>
  <si>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</si>
  <si>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</si>
  <si>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</si>
  <si>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</si>
  <si>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</si>
  <si>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</si>
  <si>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</si>
  <si>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</si>
  <si>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</si>
  <si>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</si>
  <si>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</si>
  <si>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</si>
  <si>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</si>
  <si>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</si>
  <si>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</si>
  <si>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</si>
  <si>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</si>
  <si>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</si>
  <si>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</si>
  <si>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</si>
  <si>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</si>
  <si>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</si>
  <si>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</si>
  <si>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</si>
  <si>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</si>
  <si>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</si>
  <si>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</si>
  <si>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</si>
  <si>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</si>
  <si>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</si>
  <si>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</si>
  <si>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</si>
  <si>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</si>
  <si>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</si>
  <si>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</si>
  <si>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</si>
  <si>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</si>
  <si>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</si>
  <si>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</si>
  <si>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</si>
  <si>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</si>
  <si>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</si>
  <si>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</si>
  <si>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</si>
  <si>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</si>
  <si>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</si>
  <si>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</si>
  <si>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</si>
  <si>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</si>
  <si>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</si>
  <si>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</si>
  <si>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</si>
  <si>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</si>
  <si>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</si>
  <si>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</si>
  <si>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</si>
  <si>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</si>
  <si>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</si>
  <si>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</si>
  <si>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</si>
  <si>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</si>
  <si>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</si>
  <si>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</si>
  <si>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</si>
  <si>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</si>
  <si>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</si>
  <si>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</si>
  <si>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</si>
  <si>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</si>
  <si>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</si>
  <si>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</si>
  <si>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</si>
  <si>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</si>
  <si>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</si>
  <si>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</si>
  <si>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</si>
  <si>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</si>
  <si>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</si>
  <si>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</si>
  <si>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</si>
  <si>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</si>
  <si>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</si>
  <si>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</si>
  <si>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</si>
  <si>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</si>
  <si>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</si>
  <si>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</si>
  <si>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</si>
  <si>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</si>
  <si>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</si>
  <si>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</si>
  <si>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</si>
  <si>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</si>
  <si>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</si>
  <si>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</si>
  <si>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</si>
  <si>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</si>
  <si>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</si>
  <si>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</si>
  <si>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</si>
  <si>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</si>
  <si>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</si>
  <si>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</si>
  <si>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</si>
  <si>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</si>
  <si>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</si>
  <si>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</si>
  <si>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</si>
  <si>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</si>
  <si>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</si>
  <si>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</si>
  <si>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</si>
  <si>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</si>
  <si>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</si>
  <si>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</si>
  <si>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</si>
  <si>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</si>
  <si>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</si>
  <si>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</si>
  <si>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</si>
  <si>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</si>
  <si>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</si>
  <si>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</si>
  <si>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</si>
  <si>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</si>
  <si>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</si>
  <si>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</si>
  <si>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</si>
  <si>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</si>
  <si>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</si>
  <si>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</si>
  <si>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</si>
  <si>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</si>
  <si>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</si>
  <si>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</si>
  <si>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</si>
  <si>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</si>
  <si>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</si>
  <si>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</si>
  <si>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</si>
  <si>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</si>
  <si>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</si>
  <si>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</si>
  <si>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</si>
  <si>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</si>
  <si>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</si>
  <si>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</si>
  <si>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</si>
  <si>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</si>
  <si>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</si>
  <si>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</si>
  <si>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</si>
  <si>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</si>
  <si>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</si>
  <si>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</si>
  <si>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</si>
  <si>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</si>
  <si>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</si>
  <si>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</si>
  <si>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</si>
  <si>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</si>
  <si>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</si>
  <si>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</si>
  <si>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</si>
  <si>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</si>
  <si>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</si>
  <si>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</si>
  <si>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</si>
  <si>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</si>
  <si>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</si>
  <si>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</si>
  <si>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</si>
  <si>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</si>
  <si>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</si>
  <si>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</si>
  <si>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</si>
  <si>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</si>
  <si>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</si>
  <si>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</si>
  <si>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</si>
  <si>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</si>
  <si>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</si>
  <si>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</si>
  <si>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</si>
  <si>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</si>
  <si>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</si>
  <si>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</si>
  <si>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</si>
  <si>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</si>
  <si>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</si>
  <si>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</si>
  <si>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</si>
  <si>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</si>
  <si>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</si>
  <si>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</si>
  <si>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</si>
  <si>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</si>
  <si>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</si>
  <si>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</si>
  <si>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</si>
  <si>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</si>
  <si>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</si>
  <si>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</si>
  <si>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</si>
  <si>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</si>
  <si>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</si>
  <si>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</si>
  <si>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</si>
  <si>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</si>
  <si>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</si>
  <si>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</si>
  <si>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</si>
  <si>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</si>
  <si>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</si>
  <si>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</si>
  <si>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</si>
  <si>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</si>
  <si>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</si>
  <si>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</si>
  <si>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</si>
  <si>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</si>
  <si>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</si>
  <si>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</si>
  <si>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</si>
  <si>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</si>
  <si>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</si>
  <si>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</si>
  <si>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</si>
  <si>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</si>
  <si>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</si>
  <si>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</si>
  <si>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</si>
  <si>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</si>
  <si>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</si>
  <si>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</si>
  <si>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</si>
  <si>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</si>
  <si>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</si>
  <si>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</si>
  <si>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</si>
  <si>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</si>
  <si>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</si>
  <si>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</si>
  <si>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</si>
  <si>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</si>
  <si>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</si>
  <si>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</si>
  <si>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</si>
  <si>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</si>
  <si>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</si>
  <si>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</si>
  <si>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</si>
  <si>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</si>
  <si>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</si>
  <si>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</si>
  <si>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</si>
  <si>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</si>
  <si>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</si>
  <si>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</si>
  <si>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</si>
  <si>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</si>
  <si>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</si>
  <si>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</si>
  <si>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</si>
  <si>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</si>
  <si>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</si>
  <si>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</si>
  <si>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</si>
  <si>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</si>
  <si>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</si>
  <si>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</si>
  <si>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</si>
  <si>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</si>
  <si>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</si>
  <si>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</si>
  <si>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</si>
  <si>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</si>
  <si>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</si>
  <si>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</si>
  <si>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</si>
  <si>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</si>
  <si>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</si>
  <si>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</si>
  <si>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</si>
  <si>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</si>
  <si>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</si>
  <si>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</si>
  <si>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</si>
  <si>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</si>
  <si>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</si>
  <si>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</si>
  <si>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</si>
  <si>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</si>
  <si>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</si>
  <si>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</si>
  <si>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</si>
  <si>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</si>
  <si>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</si>
  <si>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</si>
  <si>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</si>
  <si>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</si>
  <si>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</si>
  <si>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</si>
  <si>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</si>
  <si>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</si>
  <si>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</si>
  <si>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</si>
  <si>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</si>
  <si>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</si>
  <si>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</si>
  <si>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</si>
  <si>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</si>
  <si>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</si>
  <si>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</si>
  <si>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</si>
  <si>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</si>
  <si>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</si>
  <si>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</si>
  <si>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</si>
  <si>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</si>
  <si>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</si>
  <si>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</si>
  <si>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</si>
  <si>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</si>
  <si>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</si>
  <si>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</si>
  <si>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</si>
  <si>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</si>
  <si>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</si>
  <si>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</si>
  <si>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</si>
  <si>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</si>
  <si>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</si>
  <si>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</si>
  <si>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</si>
  <si>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</si>
  <si>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</si>
  <si>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</si>
  <si>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</si>
  <si>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</si>
  <si>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</si>
  <si>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</si>
  <si>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</si>
  <si>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</si>
  <si>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</si>
  <si>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</si>
  <si>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</si>
  <si>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</si>
  <si>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</si>
  <si>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</si>
  <si>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</si>
  <si>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</si>
  <si>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</si>
  <si>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</si>
  <si>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</si>
  <si>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</si>
  <si>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</si>
  <si>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</si>
  <si>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</si>
  <si>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</si>
  <si>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</si>
  <si>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</si>
  <si>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</si>
  <si>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</si>
  <si>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</si>
  <si>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</si>
  <si>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</si>
  <si>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</si>
  <si>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</si>
  <si>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</si>
  <si>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</si>
  <si>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</si>
  <si>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</si>
  <si>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</si>
  <si>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</si>
  <si>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</si>
  <si>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</si>
  <si>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</si>
  <si>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</si>
  <si>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</si>
  <si>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</si>
  <si>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</si>
  <si>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</si>
  <si>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</si>
  <si>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</si>
  <si>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</si>
  <si>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</si>
  <si>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</si>
  <si>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</si>
  <si>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</si>
  <si>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</si>
  <si>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</si>
  <si>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</si>
  <si>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</si>
  <si>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</si>
  <si>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</si>
  <si>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</si>
  <si>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</si>
  <si>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</si>
  <si>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</si>
  <si>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</si>
  <si>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</si>
  <si>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</si>
  <si>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</si>
  <si>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</si>
  <si>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</si>
  <si>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</si>
  <si>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</si>
  <si>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</si>
  <si>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</si>
  <si>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</si>
  <si>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</si>
  <si>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</si>
  <si>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</si>
  <si>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</si>
  <si>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</si>
  <si>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</si>
  <si>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</si>
  <si>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</si>
  <si>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</si>
  <si>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</si>
  <si>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</si>
  <si>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</si>
  <si>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</si>
  <si>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</si>
  <si>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</si>
  <si>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</si>
  <si>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</si>
  <si>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</si>
  <si>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</si>
  <si>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</si>
  <si>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</si>
  <si>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</si>
  <si>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</si>
  <si>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</si>
  <si>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</si>
  <si>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</si>
  <si>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</si>
  <si>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</si>
  <si>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</si>
  <si>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</si>
  <si>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</si>
  <si>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</si>
  <si>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</si>
  <si>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</si>
  <si>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</si>
  <si>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</si>
  <si>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</si>
  <si>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</si>
  <si>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</si>
  <si>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</si>
  <si>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</si>
  <si>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</si>
  <si>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</si>
  <si>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</si>
  <si>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</si>
  <si>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</si>
  <si>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</si>
  <si>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</si>
  <si>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</si>
  <si>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</si>
  <si>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</si>
  <si>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</si>
  <si>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</si>
  <si>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</si>
  <si>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</si>
  <si>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</si>
  <si>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</si>
  <si>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</si>
  <si>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</si>
  <si>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</si>
  <si>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</si>
  <si>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</si>
  <si>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</si>
  <si>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</si>
  <si>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</si>
  <si>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</si>
  <si>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</si>
  <si>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</si>
  <si>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</si>
  <si>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</si>
  <si>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</si>
  <si>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</si>
  <si>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</si>
  <si>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</si>
  <si>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</si>
  <si>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</si>
  <si>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</si>
  <si>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</si>
  <si>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</si>
  <si>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</si>
  <si>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</si>
  <si>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</si>
  <si>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</si>
  <si>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</si>
  <si>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</si>
  <si>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</si>
  <si>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</si>
  <si>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</si>
  <si>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</si>
  <si>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</si>
  <si>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</si>
  <si>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</si>
  <si>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</si>
  <si>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</si>
  <si>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</si>
  <si>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</si>
  <si>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</si>
  <si>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</si>
  <si>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</si>
  <si>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</si>
  <si>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</si>
  <si>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</si>
  <si>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</si>
  <si>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</si>
  <si>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</si>
  <si>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</si>
  <si>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</si>
  <si>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</si>
  <si>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</si>
  <si>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</si>
  <si>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</si>
  <si>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</si>
  <si>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</si>
  <si>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</si>
  <si>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</si>
  <si>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</si>
  <si>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</si>
  <si>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</si>
  <si>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</si>
  <si>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</si>
  <si>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</si>
  <si>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</si>
  <si>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</si>
  <si>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</si>
  <si>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</si>
  <si>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</si>
  <si>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</si>
  <si>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</si>
  <si>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</si>
  <si>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</si>
  <si>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</si>
  <si>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</si>
  <si>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</si>
  <si>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</si>
  <si>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</si>
  <si>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</si>
  <si>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</si>
  <si>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</si>
  <si>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</si>
  <si>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</si>
  <si>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</si>
  <si>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</si>
  <si>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</si>
  <si>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</si>
  <si>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</si>
  <si>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</si>
  <si>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</si>
  <si>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</si>
  <si>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</si>
  <si>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</si>
  <si>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</si>
  <si>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</si>
  <si>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</si>
  <si>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</si>
  <si>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</si>
  <si>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</si>
  <si>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</si>
  <si>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</si>
  <si>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</si>
  <si>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</si>
  <si>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</si>
  <si>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</si>
  <si>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</si>
  <si>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</si>
  <si>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</si>
  <si>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</si>
  <si>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</si>
  <si>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</si>
  <si>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</si>
  <si>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</si>
  <si>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</si>
  <si>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</si>
  <si>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</si>
  <si>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</si>
  <si>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</si>
  <si>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</si>
  <si>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</si>
  <si>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</si>
  <si>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</si>
  <si>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</si>
  <si>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</si>
  <si>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</si>
  <si>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</si>
  <si>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</si>
  <si>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</si>
  <si>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</si>
  <si>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</si>
  <si>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</si>
  <si>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</si>
  <si>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</si>
  <si>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</si>
  <si>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</si>
  <si>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</si>
  <si>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</si>
  <si>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</si>
  <si>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</si>
  <si>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</si>
  <si>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</si>
  <si>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</si>
  <si>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</si>
  <si>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</si>
  <si>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</si>
  <si>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</si>
  <si>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</si>
  <si>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</si>
  <si>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</si>
  <si>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</si>
  <si>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</si>
  <si>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</si>
  <si>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</si>
  <si>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</si>
  <si>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</si>
  <si>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</si>
  <si>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</si>
  <si>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</si>
  <si>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</si>
  <si>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</si>
  <si>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</si>
  <si>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</si>
  <si>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</si>
  <si>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</si>
  <si>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</si>
  <si>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</si>
  <si>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</si>
  <si>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</si>
  <si>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</si>
  <si>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</si>
  <si>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</si>
  <si>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</si>
  <si>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</si>
  <si>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</si>
  <si>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</si>
  <si>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</si>
  <si>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</si>
  <si>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</si>
  <si>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</si>
  <si>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</si>
  <si>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</si>
  <si>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</si>
  <si>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</si>
  <si>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</si>
  <si>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</si>
  <si>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</si>
  <si>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</si>
  <si>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</si>
  <si>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</si>
  <si>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</si>
  <si>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</si>
  <si>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</si>
  <si>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</si>
  <si>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</si>
  <si>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</si>
  <si>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</si>
  <si>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</si>
  <si>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</si>
  <si>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</si>
  <si>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</si>
  <si>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</si>
  <si>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</si>
  <si>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</si>
  <si>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</si>
  <si>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</si>
  <si>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</si>
  <si>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</si>
  <si>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</si>
  <si>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</si>
  <si>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</si>
  <si>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</si>
  <si>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</si>
  <si>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</si>
  <si>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</si>
  <si>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</si>
  <si>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</si>
  <si>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</si>
  <si>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</si>
  <si>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</si>
  <si>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</si>
  <si>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</si>
  <si>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</si>
  <si>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</si>
  <si>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</si>
  <si>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</si>
  <si>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</si>
  <si>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</si>
  <si>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</si>
  <si>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</si>
  <si>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</si>
  <si>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</si>
  <si>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</si>
  <si>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</si>
  <si>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</si>
  <si>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</si>
  <si>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</si>
  <si>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</si>
  <si>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</si>
  <si>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</si>
  <si>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</si>
  <si>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</si>
  <si>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</si>
  <si>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</si>
  <si>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</si>
  <si>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</si>
  <si>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</si>
  <si>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</si>
  <si>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</si>
  <si>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</si>
  <si>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</si>
  <si>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</si>
  <si>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</si>
  <si>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</si>
  <si>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</si>
  <si>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</si>
  <si>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</si>
  <si>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</si>
  <si>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</si>
  <si>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</si>
  <si>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</si>
  <si>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</si>
  <si>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</si>
  <si>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</si>
  <si>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</si>
  <si>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</si>
  <si>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</si>
  <si>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</si>
  <si>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</si>
  <si>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</si>
  <si>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</si>
  <si>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</si>
  <si>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</si>
  <si>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</si>
  <si>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</si>
  <si>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</si>
  <si>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</si>
  <si>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</si>
  <si>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</si>
  <si>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</si>
  <si>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</si>
  <si>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</si>
  <si>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</si>
  <si>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</si>
  <si>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</si>
  <si>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</si>
  <si>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</si>
  <si>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</si>
  <si>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</si>
  <si>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</si>
  <si>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</si>
  <si>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</si>
  <si>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</si>
  <si>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</si>
  <si>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</si>
  <si>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</si>
  <si>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</si>
  <si>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</si>
  <si>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</si>
  <si>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</si>
  <si>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</si>
  <si>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</si>
  <si>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</si>
  <si>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</si>
  <si>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</si>
  <si>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</si>
  <si>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</si>
  <si>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</si>
  <si>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</si>
  <si>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</si>
  <si>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</si>
  <si>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</si>
  <si>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</si>
  <si>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</si>
  <si>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</si>
  <si>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</si>
  <si>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</si>
  <si>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</si>
  <si>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</si>
  <si>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</si>
  <si>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</si>
  <si>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</si>
  <si>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</si>
  <si>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</si>
  <si>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</si>
  <si>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</si>
  <si>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</si>
  <si>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</si>
  <si>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</si>
  <si>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</si>
  <si>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</si>
  <si>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</si>
  <si>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</si>
  <si>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</si>
  <si>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</si>
  <si>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</si>
  <si>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</si>
  <si>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</si>
  <si>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</si>
  <si>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</si>
  <si>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</si>
  <si>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</si>
  <si>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</si>
  <si>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</si>
  <si>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</si>
  <si>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</si>
  <si>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</si>
  <si>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</si>
  <si>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</si>
  <si>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</si>
  <si>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</si>
  <si>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</si>
  <si>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</si>
  <si>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</si>
  <si>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</si>
  <si>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</si>
  <si>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</si>
  <si>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</si>
  <si>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</si>
  <si>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</si>
  <si>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</si>
  <si>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</si>
  <si>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</si>
  <si>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</si>
  <si>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</si>
  <si>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</si>
  <si>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</si>
  <si>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</si>
  <si>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</si>
  <si>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</si>
  <si>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</si>
  <si>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</si>
  <si>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</si>
  <si>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</si>
  <si>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</si>
  <si>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</si>
  <si>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</si>
  <si>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</si>
  <si>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</si>
  <si>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</si>
  <si>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</si>
  <si>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</si>
  <si>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</si>
  <si>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</si>
  <si>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</si>
  <si>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</si>
  <si>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</si>
  <si>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</si>
  <si>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</si>
  <si>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</si>
  <si>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</si>
  <si>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</si>
  <si>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</si>
  <si>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</si>
  <si>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</si>
  <si>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</si>
  <si>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</si>
  <si>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</si>
  <si>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</si>
  <si>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</si>
  <si>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</si>
  <si>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</si>
  <si>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</si>
  <si>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</si>
  <si>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</si>
  <si>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</si>
  <si>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</si>
  <si>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</si>
  <si>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</si>
  <si>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</si>
  <si>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</si>
  <si>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</si>
  <si>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</si>
  <si>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</si>
  <si>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</si>
  <si>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</si>
  <si>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</si>
  <si>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</si>
  <si>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</si>
  <si>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</si>
  <si>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</si>
  <si>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</si>
  <si>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</si>
  <si>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</si>
  <si>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</si>
  <si>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</si>
  <si>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</si>
  <si>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</si>
  <si>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</si>
  <si>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</si>
  <si>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</si>
  <si>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</si>
  <si>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</si>
  <si>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</si>
  <si>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</si>
  <si>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</si>
  <si>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</si>
  <si>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</si>
  <si>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</si>
  <si>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</si>
  <si>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</si>
  <si>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</si>
  <si>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</si>
  <si>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</si>
  <si>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</si>
  <si>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</si>
  <si>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</si>
  <si>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</si>
  <si>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</si>
  <si>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</si>
  <si>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</si>
  <si>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</si>
  <si>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</si>
  <si>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</si>
  <si>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</si>
  <si>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</si>
  <si>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</si>
  <si>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</si>
  <si>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</si>
  <si>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</si>
  <si>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</si>
  <si>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</si>
  <si>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</si>
  <si>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</si>
  <si>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</si>
  <si>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</si>
  <si>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</si>
  <si>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</si>
  <si>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</si>
  <si>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</si>
  <si>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</si>
  <si>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</si>
  <si>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</si>
  <si>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</si>
  <si>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</si>
  <si>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</si>
  <si>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</si>
  <si>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</si>
  <si>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</si>
  <si>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</si>
  <si>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</si>
  <si>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</si>
  <si>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</si>
  <si>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</si>
  <si>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</si>
  <si>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</si>
  <si>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</si>
  <si>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</si>
  <si>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</si>
  <si>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</si>
  <si>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</si>
  <si>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</si>
  <si>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</si>
  <si>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</si>
  <si>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</si>
  <si>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</si>
  <si>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</si>
  <si>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</si>
  <si>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</si>
  <si>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</si>
  <si>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</si>
  <si>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</si>
  <si>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</si>
  <si>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</si>
  <si>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</si>
  <si>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</si>
  <si>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</si>
  <si>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</si>
  <si>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</si>
  <si>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</si>
  <si>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</si>
  <si>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</si>
  <si>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</si>
  <si>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</si>
  <si>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</si>
  <si>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</si>
  <si>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</si>
  <si>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</si>
  <si>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</si>
  <si>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</si>
  <si>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</si>
  <si>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</si>
  <si>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</si>
  <si>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</si>
  <si>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</si>
  <si>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</si>
  <si>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</si>
  <si>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</si>
  <si>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</si>
  <si>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</si>
  <si>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</si>
  <si>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</si>
  <si>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</si>
  <si>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</si>
  <si>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</si>
  <si>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</si>
  <si>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</si>
  <si>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</si>
  <si>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</si>
  <si>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</si>
  <si>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</si>
  <si>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</si>
  <si>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</si>
  <si>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</si>
  <si>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</si>
  <si>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</si>
  <si>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</si>
  <si>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</si>
  <si>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</si>
  <si>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</si>
  <si>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</si>
  <si>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</si>
  <si>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</si>
  <si>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</si>
  <si>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</si>
  <si>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</si>
  <si>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</si>
  <si>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</si>
  <si>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</si>
  <si>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</si>
  <si>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</si>
  <si>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</si>
  <si>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</si>
  <si>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</si>
  <si>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</si>
  <si>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</si>
  <si>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</si>
  <si>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</si>
  <si>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</si>
  <si>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</si>
  <si>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</si>
  <si>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</si>
  <si>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</si>
  <si>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</si>
  <si>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</si>
  <si>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</si>
  <si>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</si>
  <si>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</si>
  <si>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</si>
  <si>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</si>
  <si>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</si>
  <si>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</si>
  <si>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</si>
  <si>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</si>
  <si>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</si>
  <si>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</si>
  <si>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</si>
  <si>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</si>
  <si>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</si>
  <si>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</si>
  <si>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</si>
  <si>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</si>
  <si>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</si>
  <si>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</si>
  <si>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</si>
  <si>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</si>
  <si>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</si>
  <si>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</si>
  <si>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</si>
  <si>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</si>
  <si>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</si>
  <si>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</si>
  <si>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</si>
  <si>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</si>
  <si>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</si>
  <si>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</si>
  <si>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</si>
  <si>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</si>
  <si>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</si>
  <si>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</si>
  <si>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</si>
  <si>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</si>
  <si>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</si>
  <si>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</si>
  <si>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</si>
  <si>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</si>
  <si>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</si>
  <si>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</si>
  <si>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</si>
  <si>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</si>
  <si>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</si>
  <si>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</si>
  <si>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</si>
  <si>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</si>
  <si>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</si>
  <si>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</si>
  <si>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</si>
  <si>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</si>
  <si>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</si>
  <si>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</si>
  <si>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</si>
  <si>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</si>
  <si>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</si>
  <si>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</si>
  <si>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</si>
  <si>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</si>
  <si>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</si>
  <si>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</si>
  <si>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</si>
  <si>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</si>
  <si>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</si>
  <si>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</si>
  <si>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</si>
  <si>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</si>
  <si>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</si>
  <si>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</si>
  <si>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</si>
  <si>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</si>
  <si>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</si>
  <si>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</si>
  <si>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</si>
  <si>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</si>
  <si>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</si>
  <si>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</si>
  <si>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</si>
  <si>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</si>
  <si>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</si>
  <si>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</si>
  <si>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</si>
  <si>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</si>
  <si>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</si>
  <si>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</si>
  <si>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</si>
  <si>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</si>
  <si>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</si>
  <si>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</si>
  <si>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</si>
  <si>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</si>
  <si>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</si>
  <si>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</si>
  <si>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</si>
  <si>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</si>
  <si>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</si>
  <si>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</si>
  <si>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</si>
  <si>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</si>
  <si>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</si>
  <si>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</si>
  <si>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</si>
  <si>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</si>
  <si>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</si>
  <si>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</si>
  <si>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</si>
  <si>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</si>
  <si>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</si>
  <si>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</si>
  <si>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</si>
  <si>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</si>
  <si>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</si>
  <si>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</si>
  <si>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</si>
  <si>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</si>
  <si>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</si>
  <si>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</si>
  <si>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</si>
  <si>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</si>
  <si>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</si>
  <si>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</si>
  <si>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</si>
  <si>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</si>
  <si>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</si>
  <si>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</si>
  <si>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</si>
  <si>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</si>
  <si>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</si>
  <si>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</si>
  <si>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</si>
  <si>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</si>
  <si>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</si>
  <si>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</si>
  <si>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</si>
  <si>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</si>
  <si>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</si>
  <si>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</si>
  <si>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</si>
  <si>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</si>
  <si>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</si>
  <si>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</si>
  <si>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</si>
  <si>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</si>
  <si>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</si>
  <si>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</si>
  <si>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</si>
  <si>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</si>
  <si>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</si>
  <si>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</si>
  <si>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</si>
  <si>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</si>
  <si>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</si>
  <si>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</si>
  <si>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</si>
  <si>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</si>
  <si>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</si>
  <si>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</si>
  <si>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</si>
  <si>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</si>
  <si>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</si>
  <si>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</si>
  <si>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</si>
  <si>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</si>
  <si>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</si>
  <si>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</si>
  <si>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</si>
  <si>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</si>
  <si>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</si>
  <si>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</si>
  <si>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</si>
  <si>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</si>
  <si>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</si>
  <si>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</si>
  <si>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</si>
  <si>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</si>
  <si>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</si>
  <si>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</si>
  <si>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</si>
  <si>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</si>
  <si>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</si>
  <si>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</si>
  <si>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</si>
  <si>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</si>
  <si>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</si>
  <si>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</si>
  <si>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</si>
  <si>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</si>
  <si>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</si>
  <si>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</si>
  <si>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</si>
  <si>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</si>
  <si>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</si>
  <si>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</si>
  <si>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</si>
  <si>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</si>
  <si>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</si>
  <si>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</si>
  <si>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</si>
  <si>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</si>
  <si>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</si>
  <si>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</si>
  <si>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</si>
  <si>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</si>
  <si>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</si>
  <si>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</si>
  <si>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</si>
  <si>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</si>
  <si>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</si>
  <si>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</si>
  <si>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</si>
  <si>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</si>
  <si>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</si>
  <si>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</si>
  <si>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</si>
  <si>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</si>
  <si>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</si>
  <si>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</si>
  <si>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</si>
  <si>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</si>
  <si>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</si>
  <si>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</si>
  <si>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</si>
  <si>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</si>
  <si>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</si>
  <si>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</si>
  <si>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</si>
  <si>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</si>
  <si>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</si>
  <si>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</si>
  <si>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</si>
  <si>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</si>
  <si>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</si>
  <si>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</si>
  <si>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</si>
  <si>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</si>
  <si>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</si>
  <si>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</si>
  <si>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</si>
  <si>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</si>
  <si>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</si>
  <si>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</si>
  <si>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</si>
  <si>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</si>
  <si>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</si>
  <si>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</si>
  <si>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</si>
  <si>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</si>
  <si>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</si>
  <si>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</si>
  <si>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</si>
  <si>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</si>
  <si>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</si>
  <si>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</si>
  <si>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</si>
  <si>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</si>
  <si>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</si>
  <si>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</si>
  <si>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</si>
  <si>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</si>
  <si>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</si>
  <si>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</si>
  <si>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</si>
  <si>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</si>
  <si>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</si>
  <si>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</si>
  <si>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</si>
  <si>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</si>
  <si>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</si>
  <si>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</si>
  <si>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</si>
  <si>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</si>
  <si>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</si>
  <si>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</si>
  <si>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</si>
  <si>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</si>
  <si>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</si>
  <si>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</si>
  <si>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</si>
  <si>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</si>
  <si>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</si>
  <si>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</si>
  <si>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</si>
  <si>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</si>
  <si>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</si>
  <si>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</si>
  <si>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</si>
  <si>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</si>
  <si>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</si>
  <si>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</si>
  <si>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</si>
  <si>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</si>
  <si>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</si>
  <si>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</si>
  <si>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</si>
  <si>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</si>
  <si>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</si>
  <si>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</si>
  <si>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</si>
  <si>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</si>
  <si>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</si>
  <si>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</si>
  <si>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</si>
  <si>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</si>
  <si>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</si>
  <si>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</si>
  <si>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</si>
  <si>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</si>
  <si>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</si>
  <si>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</si>
  <si>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</si>
  <si>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</si>
  <si>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</si>
  <si>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</si>
  <si>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</si>
  <si>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</si>
  <si>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</si>
  <si>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</si>
  <si>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</si>
  <si>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</si>
  <si>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</si>
  <si>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</si>
  <si>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</si>
  <si>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</si>
  <si>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</si>
  <si>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</si>
  <si>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</si>
  <si>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</si>
  <si>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</si>
  <si>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</si>
  <si>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</si>
  <si>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</si>
  <si>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</si>
  <si>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</si>
  <si>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</si>
  <si>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</si>
  <si>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</si>
  <si>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</si>
  <si>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</si>
  <si>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</si>
  <si>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</si>
  <si>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</si>
  <si>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</si>
  <si>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</si>
  <si>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</si>
  <si>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</si>
  <si>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</si>
  <si>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</si>
  <si>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</si>
  <si>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</si>
  <si>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</si>
  <si>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</si>
  <si>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</si>
  <si>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</si>
  <si>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</si>
  <si>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</si>
  <si>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</si>
  <si>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</si>
  <si>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</si>
  <si>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</si>
  <si>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</si>
  <si>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</si>
  <si>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</si>
  <si>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</si>
  <si>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</si>
  <si>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</si>
  <si>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</si>
  <si>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</si>
  <si>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</si>
  <si>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</si>
  <si>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</si>
  <si>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</si>
  <si>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</si>
  <si>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</si>
  <si>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</si>
  <si>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</si>
  <si>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</si>
  <si>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</si>
  <si>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</si>
  <si>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</si>
  <si>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</si>
  <si>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</si>
  <si>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</si>
  <si>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</si>
  <si>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</si>
  <si>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</si>
  <si>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</si>
  <si>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</si>
  <si>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</si>
  <si>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</si>
  <si>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</si>
  <si>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</si>
  <si>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</si>
  <si>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</si>
  <si>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</si>
  <si>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</si>
  <si>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</si>
  <si>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</si>
  <si>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</si>
  <si>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</si>
  <si>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</si>
  <si>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</si>
  <si>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</si>
  <si>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</si>
  <si>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</si>
  <si>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</si>
  <si>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</si>
  <si>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</si>
  <si>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</si>
  <si>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</si>
  <si>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</si>
  <si>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</si>
  <si>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</si>
  <si>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</si>
  <si>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</si>
  <si>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</si>
  <si>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</si>
  <si>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</si>
  <si>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</si>
  <si>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</si>
  <si>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</si>
  <si>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</si>
  <si>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</si>
  <si>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</si>
  <si>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</si>
  <si>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</si>
  <si>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</si>
  <si>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</si>
  <si>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</si>
  <si>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</si>
  <si>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</si>
  <si>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</si>
  <si>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</si>
  <si>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</si>
  <si>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</si>
  <si>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</si>
  <si>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</si>
  <si>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</si>
  <si>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</si>
  <si>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</si>
  <si>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</si>
  <si>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</si>
  <si>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</si>
  <si>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</si>
  <si>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</si>
  <si>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</si>
  <si>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</si>
  <si>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</si>
  <si>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</si>
  <si>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</si>
  <si>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</si>
  <si>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</si>
  <si>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</si>
  <si>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</si>
  <si>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</si>
  <si>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</si>
  <si>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</si>
  <si>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</si>
  <si>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</si>
  <si>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</si>
  <si>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</si>
  <si>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</si>
  <si>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</si>
  <si>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</si>
  <si>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</si>
  <si>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</si>
  <si>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</si>
  <si>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</si>
  <si>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</si>
  <si>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</si>
  <si>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</si>
  <si>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</si>
  <si>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</si>
  <si>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</si>
  <si>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</si>
  <si>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</si>
  <si>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</si>
  <si>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</si>
  <si>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</si>
  <si>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</si>
  <si>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</si>
  <si>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</si>
  <si>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</si>
  <si>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</si>
  <si>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</si>
  <si>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</si>
  <si>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</si>
  <si>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</si>
  <si>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</si>
  <si>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</si>
  <si>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</si>
  <si>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</si>
  <si>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</si>
  <si>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</si>
  <si>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</si>
  <si>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</si>
  <si>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</si>
  <si>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</si>
  <si>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</si>
  <si>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</si>
  <si>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</si>
  <si>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</si>
  <si>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</si>
  <si>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</si>
  <si>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</si>
  <si>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</si>
  <si>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</si>
  <si>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</si>
  <si>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</si>
  <si>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</si>
  <si>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</si>
  <si>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</si>
  <si>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</si>
  <si>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</si>
  <si>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</si>
  <si>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</si>
  <si>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</si>
  <si>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</si>
  <si>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</si>
  <si>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</si>
  <si>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</si>
  <si>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</si>
  <si>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</si>
  <si>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</si>
  <si>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</si>
  <si>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</si>
  <si>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</si>
  <si>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</si>
  <si>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</si>
  <si>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</si>
  <si>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</si>
  <si>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</si>
  <si>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</si>
  <si>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</si>
  <si>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</si>
  <si>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</si>
  <si>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</si>
  <si>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</si>
  <si>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</si>
  <si>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</si>
  <si>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</si>
  <si>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</si>
  <si>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</si>
  <si>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</si>
  <si>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</si>
  <si>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</si>
  <si>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</si>
  <si>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</si>
  <si>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</si>
  <si>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</si>
  <si>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</si>
  <si>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</si>
  <si>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</si>
  <si>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</si>
  <si>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</si>
  <si>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</si>
  <si>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</si>
  <si>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</si>
  <si>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</si>
  <si>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</si>
  <si>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S33(10AGOSTO-16AGOSTO 2026)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</si>
  <si>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</si>
  <si>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</si>
  <si>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</si>
  <si>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</si>
  <si>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</si>
  <si>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</si>
  <si>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</si>
  <si>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</si>
  <si>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</si>
  <si>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</si>
  <si>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</si>
  <si>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</si>
  <si>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</si>
  <si>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pedro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</si>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</sst>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3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3">
    <xf numFmtId="0" fontId="0" fillId="0" borderId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5" applyNumberFormat="0" applyAlignment="0" applyProtection="0"/>
    <xf numFmtId="0" fontId="15" fillId="8" borderId="6" applyNumberFormat="0" applyAlignment="0" applyProtection="0"/>
    <xf numFmtId="0" fontId="16" fillId="8" borderId="5" applyNumberFormat="0" applyAlignment="0" applyProtection="0"/>
    <xf numFmtId="0" fontId="17" fillId="0" borderId="7" applyNumberFormat="0" applyFill="0" applyAlignment="0" applyProtection="0"/>
    <xf numFmtId="0" fontId="18" fillId="9" borderId="8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10" applyNumberFormat="0" applyFill="0" applyAlignment="0" applyProtection="0"/>
    <xf numFmtId="0" fontId="22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22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4" fillId="18" borderId="0" applyNumberFormat="0" applyBorder="0" applyAlignment="0" applyProtection="0"/>
    <xf numFmtId="0" fontId="22" fillId="19" borderId="0" applyNumberFormat="0" applyBorder="0" applyAlignment="0" applyProtection="0"/>
    <xf numFmtId="0" fontId="4" fillId="20" borderId="0" applyNumberFormat="0" applyBorder="0" applyAlignment="0" applyProtection="0"/>
    <xf numFmtId="0" fontId="4" fillId="21" borderId="0" applyNumberFormat="0" applyBorder="0" applyAlignment="0" applyProtection="0"/>
    <xf numFmtId="0" fontId="4" fillId="22" borderId="0" applyNumberFormat="0" applyBorder="0" applyAlignment="0" applyProtection="0"/>
    <xf numFmtId="0" fontId="22" fillId="23" borderId="0" applyNumberFormat="0" applyBorder="0" applyAlignment="0" applyProtection="0"/>
    <xf numFmtId="0" fontId="4" fillId="24" borderId="0" applyNumberFormat="0" applyBorder="0" applyAlignment="0" applyProtection="0"/>
    <xf numFmtId="0" fontId="4" fillId="25" borderId="0" applyNumberFormat="0" applyBorder="0" applyAlignment="0" applyProtection="0"/>
    <xf numFmtId="0" fontId="4" fillId="26" borderId="0" applyNumberFormat="0" applyBorder="0" applyAlignment="0" applyProtection="0"/>
    <xf numFmtId="0" fontId="22" fillId="27" borderId="0" applyNumberFormat="0" applyBorder="0" applyAlignment="0" applyProtection="0"/>
    <xf numFmtId="0" fontId="4" fillId="28" borderId="0" applyNumberFormat="0" applyBorder="0" applyAlignment="0" applyProtection="0"/>
    <xf numFmtId="0" fontId="4" fillId="29" borderId="0" applyNumberFormat="0" applyBorder="0" applyAlignment="0" applyProtection="0"/>
    <xf numFmtId="0" fontId="4" fillId="30" borderId="0" applyNumberFormat="0" applyBorder="0" applyAlignment="0" applyProtection="0"/>
    <xf numFmtId="0" fontId="22" fillId="31" borderId="0" applyNumberFormat="0" applyBorder="0" applyAlignment="0" applyProtection="0"/>
    <xf numFmtId="0" fontId="4" fillId="32" borderId="0" applyNumberFormat="0" applyBorder="0" applyAlignment="0" applyProtection="0"/>
    <xf numFmtId="0" fontId="4" fillId="33" borderId="0" applyNumberFormat="0" applyBorder="0" applyAlignment="0" applyProtection="0"/>
    <xf numFmtId="0" fontId="4" fillId="34" borderId="0" applyNumberFormat="0" applyBorder="0" applyAlignment="0" applyProtection="0"/>
    <xf numFmtId="0" fontId="4" fillId="0" borderId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5">
    <xf numFmtId="0" fontId="0" fillId="0" borderId="0" xfId="0"/>
    <xf numFmtId="0" fontId="5" fillId="0" borderId="1" xfId="0" applyFont="1" applyBorder="1" applyAlignment="1">
      <alignment horizontal="center" vertical="top"/>
    </xf>
    <xf numFmtId="0" fontId="6" fillId="0" borderId="0" xfId="0" applyFont="1"/>
    <xf numFmtId="0" fontId="5" fillId="0" borderId="1" xfId="0" applyFont="1" applyBorder="1" applyAlignment="1">
      <alignment horizontal="left" vertical="top"/>
    </xf>
    <xf numFmtId="10" fontId="5" fillId="0" borderId="1" xfId="0" applyNumberFormat="1" applyFont="1" applyBorder="1" applyAlignment="1">
      <alignment horizontal="center" vertical="top"/>
    </xf>
    <xf numFmtId="10" fontId="6" fillId="0" borderId="0" xfId="0" applyNumberFormat="1" applyFont="1"/>
    <xf numFmtId="0" fontId="6" fillId="0" borderId="0" xfId="0" applyFont="1" applyAlignment="1">
      <alignment horizontal="left"/>
    </xf>
    <xf numFmtId="3" fontId="6" fillId="0" borderId="0" xfId="0" applyNumberFormat="1" applyFont="1"/>
    <xf numFmtId="1" fontId="6" fillId="0" borderId="0" xfId="0" applyNumberFormat="1" applyFont="1"/>
    <xf numFmtId="2" fontId="6" fillId="0" borderId="0" xfId="0" applyNumberFormat="1" applyFont="1"/>
    <xf numFmtId="4" fontId="6" fillId="0" borderId="0" xfId="0" applyNumberFormat="1" applyFont="1"/>
    <xf numFmtId="1" fontId="5" fillId="0" borderId="1" xfId="0" applyNumberFormat="1" applyFont="1" applyBorder="1" applyAlignment="1">
      <alignment horizontal="center" vertical="top"/>
    </xf>
    <xf numFmtId="166" fontId="6" fillId="0" borderId="0" xfId="0" applyNumberFormat="1" applyFont="1"/>
    <xf numFmtId="164" fontId="6" fillId="0" borderId="0" xfId="0" applyNumberFormat="1" applyFont="1"/>
    <xf numFmtId="165" fontId="6" fillId="0" borderId="0" xfId="0" applyNumberFormat="1" applyFont="1"/>
    <xf numFmtId="0" fontId="6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0" fontId="6" fillId="2" borderId="0" xfId="0" applyFont="1" applyFill="1"/>
    <xf numFmtId="10" fontId="6" fillId="2" borderId="0" xfId="0" applyNumberFormat="1" applyFont="1" applyFill="1"/>
    <xf numFmtId="10" fontId="6" fillId="3" borderId="0" xfId="0" applyNumberFormat="1" applyFont="1" applyFill="1"/>
    <xf numFmtId="10" fontId="6" fillId="0" borderId="0" xfId="0" quotePrefix="1" applyNumberFormat="1" applyFont="1"/>
    <xf numFmtId="164" fontId="6" fillId="0" borderId="0" xfId="41" applyNumberFormat="1" applyFont="1"/>
    <xf numFmtId="165" fontId="6" fillId="0" borderId="0" xfId="41" applyNumberFormat="1" applyFont="1"/>
    <xf numFmtId="0" fontId="6" fillId="0" borderId="0" xfId="41" applyFont="1"/>
    <xf numFmtId="0" fontId="6" fillId="0" borderId="0" xfId="43" applyFont="1"/>
    <xf numFmtId="164" fontId="6" fillId="0" borderId="0" xfId="43" applyNumberFormat="1" applyFont="1"/>
    <xf numFmtId="165" fontId="6" fillId="0" borderId="0" xfId="43" applyNumberFormat="1" applyFont="1"/>
    <xf numFmtId="165" fontId="6" fillId="0" borderId="0" xfId="63" applyNumberFormat="1" applyFont="1"/>
    <xf numFmtId="164" fontId="6" fillId="0" borderId="0" xfId="63" applyNumberFormat="1" applyFont="1"/>
    <xf numFmtId="0" fontId="6" fillId="0" borderId="0" xfId="63" applyFont="1"/>
    <xf numFmtId="0" fontId="6" fillId="0" borderId="0" xfId="83" applyFont="1" applyAlignment="1">
      <alignment horizontal="left"/>
    </xf>
    <xf numFmtId="165" fontId="6" fillId="0" borderId="0" xfId="83" applyNumberFormat="1" applyFont="1"/>
    <xf numFmtId="164" fontId="6" fillId="0" borderId="0" xfId="83" applyNumberFormat="1" applyFont="1"/>
    <xf numFmtId="0" fontId="6" fillId="0" borderId="0" xfId="83" applyFont="1"/>
    <xf numFmtId="10" fontId="6" fillId="35" borderId="0" xfId="0" applyNumberFormat="1" applyFont="1" applyFill="1"/>
  </cellXfs>
  <cellStyles count="10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593"/>
  <sheetViews>
    <sheetView tabSelected="1" workbookViewId="0">
      <pane ySplit="1" topLeftCell="A4539" activePane="bottomLeft" state="frozen"/>
      <selection pane="bottomLeft" activeCell="D4553" sqref="D4553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3292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3269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7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3269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3269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3269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143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D30" s="2" t="s">
        <v>143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3401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3401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3401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3401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3269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3"/>
        <v>1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20000</v>
      </c>
      <c r="AL99" s="5">
        <f t="shared" si="15"/>
        <v>1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3"/>
        <v>1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14.7</v>
      </c>
      <c r="AL104" s="5">
        <f t="shared" si="15"/>
        <v>1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3306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3490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3490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3490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3490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3490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3490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3306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3504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3490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3455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3455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4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3306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3455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3455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3455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3455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3455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3455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3455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3455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3504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3401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3401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2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P151" s="2" t="s">
        <v>114</v>
      </c>
      <c r="Q151" s="2" t="s">
        <v>135</v>
      </c>
      <c r="R151" s="2" t="s">
        <v>136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-310.95999999999998</v>
      </c>
      <c r="AL151" s="5">
        <f t="shared" si="21"/>
        <v>1</v>
      </c>
    </row>
    <row r="152" spans="1:38" x14ac:dyDescent="0.2">
      <c r="A152" s="2">
        <v>2025</v>
      </c>
      <c r="B152" s="2">
        <v>1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P152" s="2" t="s">
        <v>114</v>
      </c>
      <c r="Q152" s="2" t="s">
        <v>356</v>
      </c>
      <c r="R152" s="2" t="s">
        <v>357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-979.98</v>
      </c>
      <c r="AL152" s="5">
        <f t="shared" si="21"/>
        <v>1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2">(T157-W157)/T157</f>
        <v>1</v>
      </c>
      <c r="Z157" s="2" t="s">
        <v>119</v>
      </c>
      <c r="AA157" s="2" t="s">
        <v>3379</v>
      </c>
      <c r="AF157" s="2">
        <f t="shared" si="19"/>
        <v>0</v>
      </c>
      <c r="AJ157" s="2">
        <f t="shared" si="20"/>
        <v>0</v>
      </c>
      <c r="AK157" s="2">
        <f t="shared" ref="AK157:AK188" si="23">T157-W157</f>
        <v>212.5</v>
      </c>
      <c r="AL157" s="5">
        <f t="shared" ref="AL157:AL188" si="24">(T157-W157)/T157</f>
        <v>1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2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3"/>
        <v>92.546999999999997</v>
      </c>
      <c r="AL158" s="5">
        <f t="shared" si="24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2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3"/>
        <v>0</v>
      </c>
      <c r="AL159" s="5">
        <f t="shared" si="24"/>
        <v>0</v>
      </c>
    </row>
    <row r="160" spans="1:38" x14ac:dyDescent="0.2">
      <c r="A160" s="2">
        <v>2025</v>
      </c>
      <c r="B160" s="2">
        <v>1</v>
      </c>
      <c r="C160" s="2" t="s">
        <v>3455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2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3"/>
        <v>22.027999999999999</v>
      </c>
      <c r="AL160" s="5">
        <f t="shared" si="24"/>
        <v>0.48875083203905034</v>
      </c>
    </row>
    <row r="161" spans="1:38" x14ac:dyDescent="0.2">
      <c r="A161" s="2">
        <v>2025</v>
      </c>
      <c r="B161" s="2">
        <v>1</v>
      </c>
      <c r="C161" s="2" t="s">
        <v>3455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2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3"/>
        <v>5.9782999999999991</v>
      </c>
      <c r="AL161" s="5">
        <f t="shared" si="24"/>
        <v>0.45290151515151511</v>
      </c>
    </row>
    <row r="162" spans="1:38" x14ac:dyDescent="0.2">
      <c r="A162" s="2">
        <v>2025</v>
      </c>
      <c r="B162" s="2">
        <v>1</v>
      </c>
      <c r="C162" s="2" t="s">
        <v>3455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2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3"/>
        <v>7.125</v>
      </c>
      <c r="AL162" s="5">
        <f t="shared" si="24"/>
        <v>0.43981481481481483</v>
      </c>
    </row>
    <row r="163" spans="1:38" x14ac:dyDescent="0.2">
      <c r="A163" s="2">
        <v>2025</v>
      </c>
      <c r="B163" s="2">
        <v>1</v>
      </c>
      <c r="C163" s="2" t="s">
        <v>3455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2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3"/>
        <v>10.593299999999999</v>
      </c>
      <c r="AL163" s="5">
        <f t="shared" si="24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2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3"/>
        <v>110.53999999999999</v>
      </c>
      <c r="AL164" s="5">
        <f t="shared" si="24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2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3"/>
        <v>0</v>
      </c>
      <c r="AL165" s="5">
        <f t="shared" si="24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2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3"/>
        <v>115</v>
      </c>
      <c r="AL166" s="5">
        <f t="shared" si="24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2"/>
        <v>1</v>
      </c>
      <c r="Z167" s="2" t="s">
        <v>119</v>
      </c>
      <c r="AA167" s="2" t="s">
        <v>3379</v>
      </c>
      <c r="AF167" s="2">
        <f t="shared" si="19"/>
        <v>0</v>
      </c>
      <c r="AJ167" s="2">
        <f t="shared" si="20"/>
        <v>0</v>
      </c>
      <c r="AK167" s="2">
        <f t="shared" si="23"/>
        <v>20</v>
      </c>
      <c r="AL167" s="5">
        <f t="shared" si="24"/>
        <v>1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2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3"/>
        <v>76.526999999999987</v>
      </c>
      <c r="AL168" s="5">
        <f t="shared" si="24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2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3"/>
        <v>0</v>
      </c>
      <c r="AL169" s="5">
        <f t="shared" si="24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2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3"/>
        <v>44.4</v>
      </c>
      <c r="AL170" s="5">
        <f t="shared" si="24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2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3"/>
        <v>25</v>
      </c>
      <c r="AL171" s="5">
        <f t="shared" si="24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2"/>
        <v>1</v>
      </c>
      <c r="Z172" s="2" t="s">
        <v>119</v>
      </c>
      <c r="AA172" s="2" t="s">
        <v>3379</v>
      </c>
      <c r="AF172" s="2">
        <f t="shared" si="19"/>
        <v>0</v>
      </c>
      <c r="AJ172" s="2">
        <f t="shared" si="20"/>
        <v>0</v>
      </c>
      <c r="AK172" s="2">
        <f t="shared" si="23"/>
        <v>267.18</v>
      </c>
      <c r="AL172" s="5">
        <f t="shared" si="24"/>
        <v>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2"/>
        <v>0.4</v>
      </c>
      <c r="Z173" s="2" t="s">
        <v>3226</v>
      </c>
      <c r="AA173" s="2" t="s">
        <v>46</v>
      </c>
      <c r="AB173" s="2" t="s">
        <v>60</v>
      </c>
      <c r="AC173" s="2" t="s">
        <v>3331</v>
      </c>
      <c r="AF173" s="2">
        <f t="shared" si="19"/>
        <v>0</v>
      </c>
      <c r="AJ173" s="2">
        <f t="shared" si="20"/>
        <v>0</v>
      </c>
      <c r="AK173" s="2">
        <f t="shared" si="23"/>
        <v>69.600000000000009</v>
      </c>
      <c r="AL173" s="5">
        <f t="shared" si="24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2"/>
        <v>0.4</v>
      </c>
      <c r="Z174" s="2" t="s">
        <v>3226</v>
      </c>
      <c r="AA174" s="2" t="s">
        <v>46</v>
      </c>
      <c r="AB174" s="2" t="s">
        <v>60</v>
      </c>
      <c r="AC174" s="2" t="s">
        <v>3331</v>
      </c>
      <c r="AF174" s="2">
        <f t="shared" si="19"/>
        <v>0</v>
      </c>
      <c r="AJ174" s="2">
        <f t="shared" si="20"/>
        <v>0</v>
      </c>
      <c r="AK174" s="2">
        <f t="shared" si="23"/>
        <v>46.400000000000006</v>
      </c>
      <c r="AL174" s="5">
        <f t="shared" si="24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2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3"/>
        <v>83.070000000000007</v>
      </c>
      <c r="AL175" s="5">
        <f t="shared" si="24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2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3"/>
        <v>0</v>
      </c>
      <c r="AL176" s="5">
        <f t="shared" si="24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2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3"/>
        <v>930</v>
      </c>
      <c r="AL177" s="5">
        <f t="shared" si="24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2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3"/>
        <v>82.8</v>
      </c>
      <c r="AL178" s="5">
        <f t="shared" si="24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2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3"/>
        <v>25</v>
      </c>
      <c r="AL179" s="5">
        <f t="shared" si="24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3"/>
        <v>0</v>
      </c>
      <c r="AL180" s="5" t="e">
        <f t="shared" si="24"/>
        <v>#DIV/0!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3"/>
        <v>975</v>
      </c>
      <c r="AL181" s="5">
        <f t="shared" si="24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3"/>
        <v>0</v>
      </c>
      <c r="AL182" s="5" t="e">
        <f t="shared" si="24"/>
        <v>#DIV/0!</v>
      </c>
    </row>
    <row r="183" spans="1:38" x14ac:dyDescent="0.2">
      <c r="A183" s="2">
        <v>2025</v>
      </c>
      <c r="B183" s="2">
        <v>1</v>
      </c>
      <c r="C183" s="2" t="s">
        <v>3306</v>
      </c>
      <c r="D183" s="2" t="s">
        <v>3329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5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3"/>
        <v>3920.6000000000004</v>
      </c>
      <c r="AL183" s="5">
        <f t="shared" si="24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5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3"/>
        <v>22.200000000000003</v>
      </c>
      <c r="AL184" s="5">
        <f t="shared" si="24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5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3"/>
        <v>19.199999999999996</v>
      </c>
      <c r="AL185" s="5">
        <f t="shared" si="24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5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3"/>
        <v>11.377599999999999</v>
      </c>
      <c r="AL186" s="5">
        <f t="shared" si="24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5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3"/>
        <v>-1.5</v>
      </c>
      <c r="AL187" s="5">
        <f t="shared" si="24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5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3"/>
        <v>7.4</v>
      </c>
      <c r="AL188" s="5">
        <f t="shared" si="24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5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6">T189-W189</f>
        <v>4.7999999999999989</v>
      </c>
      <c r="AL189" s="5">
        <f t="shared" ref="AL189:AL220" si="27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5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6"/>
        <v>83.015000000000001</v>
      </c>
      <c r="AL190" s="5">
        <f t="shared" si="27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5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6"/>
        <v>0</v>
      </c>
      <c r="AL191" s="5">
        <f t="shared" si="27"/>
        <v>0</v>
      </c>
    </row>
    <row r="192" spans="1:38" x14ac:dyDescent="0.2">
      <c r="A192" s="2">
        <v>2025</v>
      </c>
      <c r="B192" s="2">
        <v>1</v>
      </c>
      <c r="C192" s="2" t="s">
        <v>3455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5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6"/>
        <v>178</v>
      </c>
      <c r="AL192" s="5">
        <f t="shared" si="27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5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6"/>
        <v>284.58799999999997</v>
      </c>
      <c r="AL193" s="5">
        <f t="shared" si="27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5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28">AJ194</f>
        <v>0</v>
      </c>
      <c r="AG194" s="2">
        <v>1.1399999999999999</v>
      </c>
      <c r="AH194" s="2">
        <v>1.1399999999999999</v>
      </c>
      <c r="AJ194" s="2">
        <f t="shared" ref="AJ194:AJ257" si="29">AI194*T194</f>
        <v>0</v>
      </c>
      <c r="AK194" s="2">
        <f t="shared" si="26"/>
        <v>0</v>
      </c>
      <c r="AL194" s="5">
        <f t="shared" si="27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5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28"/>
        <v>0</v>
      </c>
      <c r="AG195" s="2">
        <v>3.7357999999999998</v>
      </c>
      <c r="AH195" s="2">
        <v>9</v>
      </c>
      <c r="AJ195" s="2">
        <f t="shared" si="29"/>
        <v>0</v>
      </c>
      <c r="AK195" s="2">
        <f t="shared" si="26"/>
        <v>4.0641999999999996</v>
      </c>
      <c r="AL195" s="5">
        <f t="shared" si="27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5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28"/>
        <v>0</v>
      </c>
      <c r="AG196" s="2">
        <v>0.85609999999999997</v>
      </c>
      <c r="AH196" s="2">
        <v>1.8</v>
      </c>
      <c r="AJ196" s="2">
        <f t="shared" si="29"/>
        <v>0</v>
      </c>
      <c r="AK196" s="2">
        <f t="shared" si="26"/>
        <v>7.5512000000000006</v>
      </c>
      <c r="AL196" s="5">
        <f t="shared" si="27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5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28"/>
        <v>0</v>
      </c>
      <c r="AG197" s="2">
        <v>16.282499999999999</v>
      </c>
      <c r="AJ197" s="2">
        <f t="shared" si="29"/>
        <v>0</v>
      </c>
      <c r="AK197" s="2">
        <f t="shared" si="26"/>
        <v>20.987500000000004</v>
      </c>
      <c r="AL197" s="5">
        <f t="shared" si="27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5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28"/>
        <v>0</v>
      </c>
      <c r="AG198" s="2">
        <v>52.49</v>
      </c>
      <c r="AJ198" s="2">
        <f t="shared" si="29"/>
        <v>0</v>
      </c>
      <c r="AK198" s="2">
        <f t="shared" si="26"/>
        <v>57.74</v>
      </c>
      <c r="AL198" s="5">
        <f t="shared" si="27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5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28"/>
        <v>0</v>
      </c>
      <c r="AG199" s="2">
        <v>248.5</v>
      </c>
      <c r="AJ199" s="2">
        <f t="shared" si="29"/>
        <v>0</v>
      </c>
      <c r="AK199" s="2">
        <f t="shared" si="26"/>
        <v>493.47</v>
      </c>
      <c r="AL199" s="5">
        <f t="shared" si="27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5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28"/>
        <v>0</v>
      </c>
      <c r="AJ200" s="2">
        <f t="shared" si="29"/>
        <v>0</v>
      </c>
      <c r="AK200" s="2">
        <f t="shared" si="26"/>
        <v>103.2</v>
      </c>
      <c r="AL200" s="5">
        <f t="shared" si="27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5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28"/>
        <v>0</v>
      </c>
      <c r="AJ201" s="2">
        <f t="shared" si="29"/>
        <v>0</v>
      </c>
      <c r="AK201" s="2">
        <f t="shared" si="26"/>
        <v>75</v>
      </c>
      <c r="AL201" s="5">
        <f t="shared" si="27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5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28"/>
        <v>0</v>
      </c>
      <c r="AG202" s="2">
        <v>110.68</v>
      </c>
      <c r="AH202" s="2">
        <v>210</v>
      </c>
      <c r="AJ202" s="2">
        <f t="shared" si="29"/>
        <v>0</v>
      </c>
      <c r="AK202" s="2">
        <f t="shared" si="26"/>
        <v>73.319999999999993</v>
      </c>
      <c r="AL202" s="5">
        <f t="shared" si="27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5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28"/>
        <v>0</v>
      </c>
      <c r="AJ203" s="2">
        <f t="shared" si="29"/>
        <v>0</v>
      </c>
      <c r="AK203" s="2">
        <f t="shared" si="26"/>
        <v>0</v>
      </c>
      <c r="AL203" s="5">
        <f t="shared" si="27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5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28"/>
        <v>0</v>
      </c>
      <c r="AG204" s="2">
        <v>10.67</v>
      </c>
      <c r="AH204" s="2">
        <v>21</v>
      </c>
      <c r="AJ204" s="2">
        <f t="shared" si="29"/>
        <v>0</v>
      </c>
      <c r="AK204" s="2">
        <f t="shared" si="26"/>
        <v>7.33</v>
      </c>
      <c r="AL204" s="5">
        <f t="shared" si="27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5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28"/>
        <v>0</v>
      </c>
      <c r="AJ205" s="2">
        <f t="shared" si="29"/>
        <v>0</v>
      </c>
      <c r="AK205" s="2">
        <f t="shared" si="26"/>
        <v>8.7550000000000008</v>
      </c>
      <c r="AL205" s="5">
        <f t="shared" si="27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5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28"/>
        <v>0</v>
      </c>
      <c r="AG206" s="2">
        <v>10.6</v>
      </c>
      <c r="AH206" s="2">
        <v>18</v>
      </c>
      <c r="AJ206" s="2">
        <f t="shared" si="29"/>
        <v>0</v>
      </c>
      <c r="AK206" s="2">
        <f t="shared" si="26"/>
        <v>37</v>
      </c>
      <c r="AL206" s="5">
        <f t="shared" si="27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5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28"/>
        <v>0</v>
      </c>
      <c r="AG207" s="2">
        <v>9.14</v>
      </c>
      <c r="AH207" s="2">
        <v>16</v>
      </c>
      <c r="AJ207" s="2">
        <f t="shared" si="29"/>
        <v>0</v>
      </c>
      <c r="AK207" s="2">
        <f t="shared" si="26"/>
        <v>4.8600000000000012</v>
      </c>
      <c r="AL207" s="5">
        <f t="shared" si="27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5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28"/>
        <v>0</v>
      </c>
      <c r="AG208" s="2">
        <v>8.1999999999999993</v>
      </c>
      <c r="AH208" s="2">
        <v>13</v>
      </c>
      <c r="AJ208" s="2">
        <f t="shared" si="29"/>
        <v>0</v>
      </c>
      <c r="AK208" s="2">
        <f t="shared" si="26"/>
        <v>9.5999999999999979</v>
      </c>
      <c r="AL208" s="5">
        <f t="shared" si="27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5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28"/>
        <v>0</v>
      </c>
      <c r="AG209" s="2">
        <v>15.020300000000001</v>
      </c>
      <c r="AH209" s="2">
        <v>27.6</v>
      </c>
      <c r="AJ209" s="2">
        <f t="shared" si="29"/>
        <v>0</v>
      </c>
      <c r="AK209" s="2">
        <f t="shared" si="26"/>
        <v>10.179699999999999</v>
      </c>
      <c r="AL209" s="5">
        <f t="shared" si="27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5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28"/>
        <v>0</v>
      </c>
      <c r="AJ210" s="2">
        <f t="shared" si="29"/>
        <v>0</v>
      </c>
      <c r="AK210" s="2">
        <f t="shared" si="26"/>
        <v>84.6</v>
      </c>
      <c r="AL210" s="5">
        <f t="shared" si="27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5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28"/>
        <v>0</v>
      </c>
      <c r="AJ211" s="2">
        <f t="shared" si="29"/>
        <v>0</v>
      </c>
      <c r="AK211" s="2">
        <f t="shared" si="26"/>
        <v>25</v>
      </c>
      <c r="AL211" s="5">
        <f t="shared" si="27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5"/>
        <v>1</v>
      </c>
      <c r="Z212" s="2" t="s">
        <v>119</v>
      </c>
      <c r="AA212" s="2" t="s">
        <v>3379</v>
      </c>
      <c r="AF212" s="2">
        <f t="shared" si="28"/>
        <v>0</v>
      </c>
      <c r="AJ212" s="2">
        <f t="shared" si="29"/>
        <v>0</v>
      </c>
      <c r="AK212" s="2">
        <f t="shared" si="26"/>
        <v>242.57</v>
      </c>
      <c r="AL212" s="5">
        <f t="shared" si="27"/>
        <v>1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28"/>
        <v>0</v>
      </c>
      <c r="AJ213" s="2">
        <f t="shared" si="29"/>
        <v>0</v>
      </c>
      <c r="AK213" s="2">
        <f t="shared" si="26"/>
        <v>-163.63</v>
      </c>
      <c r="AL213" s="5">
        <f t="shared" si="27"/>
        <v>1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28"/>
        <v>0</v>
      </c>
      <c r="AJ214" s="2">
        <f t="shared" si="29"/>
        <v>0</v>
      </c>
      <c r="AK214" s="2">
        <f t="shared" si="26"/>
        <v>-724.17660000000001</v>
      </c>
    </row>
    <row r="215" spans="1:38" x14ac:dyDescent="0.2">
      <c r="A215" s="2">
        <v>2025</v>
      </c>
      <c r="B215" s="2">
        <v>1</v>
      </c>
      <c r="C215" s="2" t="s">
        <v>3306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0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28"/>
        <v>0</v>
      </c>
      <c r="AJ215" s="2">
        <f t="shared" si="29"/>
        <v>0</v>
      </c>
      <c r="AK215" s="2">
        <f t="shared" si="26"/>
        <v>1500</v>
      </c>
      <c r="AL215" s="5">
        <f t="shared" si="27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0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28"/>
        <v>0</v>
      </c>
      <c r="AG216" s="2">
        <v>102.17</v>
      </c>
      <c r="AH216" s="2">
        <v>190</v>
      </c>
      <c r="AJ216" s="2">
        <f t="shared" si="29"/>
        <v>0</v>
      </c>
      <c r="AK216" s="2">
        <f t="shared" si="26"/>
        <v>69.86999999999999</v>
      </c>
      <c r="AL216" s="5">
        <f t="shared" si="27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0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28"/>
        <v>0</v>
      </c>
      <c r="AG217" s="2">
        <v>131.93</v>
      </c>
      <c r="AH217" s="2">
        <v>220</v>
      </c>
      <c r="AJ217" s="2">
        <f t="shared" si="29"/>
        <v>0</v>
      </c>
      <c r="AK217" s="2">
        <f t="shared" si="26"/>
        <v>61.269999999999982</v>
      </c>
      <c r="AL217" s="5">
        <f t="shared" si="27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0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28"/>
        <v>0</v>
      </c>
      <c r="AG218" s="2">
        <v>152.85</v>
      </c>
      <c r="AH218" s="2">
        <v>260</v>
      </c>
      <c r="AJ218" s="2">
        <f t="shared" si="29"/>
        <v>0</v>
      </c>
      <c r="AK218" s="2">
        <f t="shared" si="26"/>
        <v>107.15</v>
      </c>
      <c r="AL218" s="5">
        <f t="shared" si="27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0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28"/>
        <v>0</v>
      </c>
      <c r="AJ219" s="2">
        <f t="shared" si="29"/>
        <v>0</v>
      </c>
      <c r="AK219" s="2">
        <f t="shared" si="26"/>
        <v>0</v>
      </c>
      <c r="AL219" s="5">
        <f t="shared" si="27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0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28"/>
        <v>0</v>
      </c>
      <c r="AG220" s="2">
        <v>15.020300000000001</v>
      </c>
      <c r="AH220" s="2">
        <v>27.6</v>
      </c>
      <c r="AJ220" s="2">
        <f t="shared" si="29"/>
        <v>0</v>
      </c>
      <c r="AK220" s="2">
        <f t="shared" si="26"/>
        <v>17.939099999999996</v>
      </c>
      <c r="AL220" s="5">
        <f t="shared" si="27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0"/>
        <v>1</v>
      </c>
      <c r="Z221" s="2" t="s">
        <v>119</v>
      </c>
      <c r="AA221" s="2" t="s">
        <v>492</v>
      </c>
      <c r="AF221" s="2">
        <f t="shared" si="28"/>
        <v>0</v>
      </c>
      <c r="AJ221" s="2">
        <f t="shared" si="29"/>
        <v>0</v>
      </c>
      <c r="AK221" s="2">
        <f t="shared" ref="AK221:AK252" si="31">T221-W221</f>
        <v>650</v>
      </c>
      <c r="AL221" s="5">
        <f t="shared" ref="AL221:AL243" si="32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0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28"/>
        <v>0</v>
      </c>
      <c r="AJ222" s="2">
        <f t="shared" si="29"/>
        <v>0</v>
      </c>
      <c r="AK222" s="2">
        <f t="shared" si="31"/>
        <v>54.75</v>
      </c>
      <c r="AL222" s="5">
        <f t="shared" si="32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0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28"/>
        <v>0</v>
      </c>
      <c r="AJ223" s="2">
        <f t="shared" si="29"/>
        <v>0</v>
      </c>
      <c r="AK223" s="2">
        <f t="shared" si="31"/>
        <v>17.799999999999997</v>
      </c>
      <c r="AL223" s="5">
        <f t="shared" si="32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0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28"/>
        <v>0</v>
      </c>
      <c r="AJ224" s="2">
        <f t="shared" si="29"/>
        <v>0</v>
      </c>
      <c r="AK224" s="2">
        <f t="shared" si="31"/>
        <v>19.470000000000006</v>
      </c>
      <c r="AL224" s="5">
        <f t="shared" si="32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0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28"/>
        <v>0</v>
      </c>
      <c r="AG225" s="2">
        <v>6.6266999999999996</v>
      </c>
      <c r="AH225" s="2">
        <v>12</v>
      </c>
      <c r="AJ225" s="2">
        <f t="shared" si="29"/>
        <v>0</v>
      </c>
      <c r="AK225" s="2">
        <f t="shared" si="31"/>
        <v>16.119900000000001</v>
      </c>
      <c r="AL225" s="5">
        <f t="shared" si="32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0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28"/>
        <v>0</v>
      </c>
      <c r="AJ226" s="2">
        <f t="shared" si="29"/>
        <v>0</v>
      </c>
      <c r="AK226" s="2">
        <f t="shared" si="31"/>
        <v>8.41</v>
      </c>
      <c r="AL226" s="5">
        <f t="shared" si="32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0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28"/>
        <v>0</v>
      </c>
      <c r="AJ227" s="2">
        <f t="shared" si="29"/>
        <v>0</v>
      </c>
      <c r="AK227" s="2">
        <f t="shared" si="31"/>
        <v>10.459999999999999</v>
      </c>
      <c r="AL227" s="5">
        <f t="shared" si="32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0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28"/>
        <v>0</v>
      </c>
      <c r="AG228" s="2">
        <v>15.020300000000001</v>
      </c>
      <c r="AH228" s="2">
        <v>27.6</v>
      </c>
      <c r="AJ228" s="2">
        <f t="shared" si="29"/>
        <v>0</v>
      </c>
      <c r="AK228" s="2">
        <f t="shared" si="31"/>
        <v>5.9796999999999993</v>
      </c>
      <c r="AL228" s="5">
        <f t="shared" si="32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0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28"/>
        <v>0</v>
      </c>
      <c r="AG229" s="2">
        <v>8.1999999999999993</v>
      </c>
      <c r="AH229" s="2">
        <v>13</v>
      </c>
      <c r="AJ229" s="2">
        <f t="shared" si="29"/>
        <v>0</v>
      </c>
      <c r="AK229" s="2">
        <f t="shared" si="31"/>
        <v>23</v>
      </c>
      <c r="AL229" s="5">
        <f t="shared" si="32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0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28"/>
        <v>0</v>
      </c>
      <c r="AG230" s="2">
        <v>10.6</v>
      </c>
      <c r="AH230" s="2">
        <v>18</v>
      </c>
      <c r="AJ230" s="2">
        <f t="shared" si="29"/>
        <v>0</v>
      </c>
      <c r="AK230" s="2">
        <f t="shared" si="31"/>
        <v>29.6</v>
      </c>
      <c r="AL230" s="5">
        <f t="shared" si="32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0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28"/>
        <v>0</v>
      </c>
      <c r="AG231" s="2">
        <v>8.1999999999999993</v>
      </c>
      <c r="AH231" s="2">
        <v>13</v>
      </c>
      <c r="AJ231" s="2">
        <f t="shared" si="29"/>
        <v>0</v>
      </c>
      <c r="AK231" s="2">
        <f t="shared" si="31"/>
        <v>9.5999999999999979</v>
      </c>
      <c r="AL231" s="5">
        <f t="shared" si="32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0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28"/>
        <v>0</v>
      </c>
      <c r="AG232" s="2">
        <v>10.6</v>
      </c>
      <c r="AH232" s="2">
        <v>18</v>
      </c>
      <c r="AJ232" s="2">
        <f t="shared" si="29"/>
        <v>0</v>
      </c>
      <c r="AK232" s="2">
        <f t="shared" si="31"/>
        <v>14.8</v>
      </c>
      <c r="AL232" s="5">
        <f t="shared" si="32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0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28"/>
        <v>0</v>
      </c>
      <c r="AJ233" s="2">
        <f t="shared" si="29"/>
        <v>0</v>
      </c>
      <c r="AK233" s="2">
        <f t="shared" si="31"/>
        <v>161.12399999999997</v>
      </c>
      <c r="AL233" s="5">
        <f t="shared" si="32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0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28"/>
        <v>0</v>
      </c>
      <c r="AJ234" s="2">
        <f t="shared" si="29"/>
        <v>0</v>
      </c>
      <c r="AK234" s="2">
        <f t="shared" si="31"/>
        <v>30</v>
      </c>
      <c r="AL234" s="5">
        <f t="shared" si="32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0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28"/>
        <v>0</v>
      </c>
      <c r="AJ235" s="2">
        <f t="shared" si="29"/>
        <v>0</v>
      </c>
      <c r="AK235" s="2">
        <f t="shared" si="31"/>
        <v>18.75</v>
      </c>
      <c r="AL235" s="5">
        <f t="shared" si="32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30"/>
        <v>1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28"/>
        <v>0</v>
      </c>
      <c r="AJ236" s="2">
        <f t="shared" si="29"/>
        <v>0</v>
      </c>
      <c r="AK236" s="2">
        <f t="shared" si="31"/>
        <v>80.349999999999994</v>
      </c>
      <c r="AL236" s="5">
        <f t="shared" si="32"/>
        <v>1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30"/>
        <v>1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28"/>
        <v>0</v>
      </c>
      <c r="AJ237" s="2">
        <f t="shared" si="29"/>
        <v>0</v>
      </c>
      <c r="AK237" s="2">
        <f t="shared" si="31"/>
        <v>81.069999999999993</v>
      </c>
      <c r="AL237" s="5">
        <f t="shared" si="32"/>
        <v>1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0"/>
        <v>0.29411764705882354</v>
      </c>
      <c r="Z238" s="2" t="s">
        <v>169</v>
      </c>
      <c r="AA238" s="2" t="s">
        <v>169</v>
      </c>
      <c r="AF238" s="2">
        <f t="shared" si="28"/>
        <v>0</v>
      </c>
      <c r="AJ238" s="2">
        <f t="shared" si="29"/>
        <v>0</v>
      </c>
      <c r="AK238" s="2">
        <f t="shared" si="31"/>
        <v>2.5</v>
      </c>
      <c r="AL238" s="5">
        <f t="shared" si="32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0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28"/>
        <v>0</v>
      </c>
      <c r="AG239" s="2">
        <v>131.93</v>
      </c>
      <c r="AH239" s="2">
        <v>220</v>
      </c>
      <c r="AJ239" s="2">
        <f t="shared" si="29"/>
        <v>0</v>
      </c>
      <c r="AK239" s="2">
        <f t="shared" si="31"/>
        <v>56.669999999999987</v>
      </c>
      <c r="AL239" s="5">
        <f t="shared" si="32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0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28"/>
        <v>0</v>
      </c>
      <c r="AG240" s="2">
        <v>1.1399999999999999</v>
      </c>
      <c r="AH240" s="2">
        <v>1.1399999999999999</v>
      </c>
      <c r="AJ240" s="2">
        <f t="shared" si="29"/>
        <v>0</v>
      </c>
      <c r="AK240" s="2">
        <f t="shared" si="31"/>
        <v>0</v>
      </c>
      <c r="AL240" s="5">
        <f t="shared" si="32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0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28"/>
        <v>0</v>
      </c>
      <c r="AG241" s="2">
        <v>299.25</v>
      </c>
      <c r="AJ241" s="2">
        <f t="shared" si="29"/>
        <v>0</v>
      </c>
      <c r="AK241" s="2">
        <f t="shared" si="31"/>
        <v>99.75</v>
      </c>
      <c r="AL241" s="5">
        <f t="shared" si="32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0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28"/>
        <v>0</v>
      </c>
      <c r="AG242" s="2">
        <v>117.453</v>
      </c>
      <c r="AH242" s="2">
        <v>220</v>
      </c>
      <c r="AJ242" s="2">
        <f t="shared" si="29"/>
        <v>0</v>
      </c>
      <c r="AK242" s="2">
        <f t="shared" si="31"/>
        <v>66.546999999999997</v>
      </c>
      <c r="AL242" s="5">
        <f t="shared" si="32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0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28"/>
        <v>0</v>
      </c>
      <c r="AJ243" s="2">
        <f t="shared" si="29"/>
        <v>0</v>
      </c>
      <c r="AK243" s="2">
        <f t="shared" si="31"/>
        <v>0</v>
      </c>
      <c r="AL243" s="5">
        <f t="shared" si="32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28"/>
        <v>0</v>
      </c>
      <c r="AG244" s="2">
        <f>110.125+11.77</f>
        <v>121.895</v>
      </c>
      <c r="AJ244" s="2">
        <f t="shared" si="29"/>
        <v>0</v>
      </c>
      <c r="AK244" s="2">
        <f t="shared" si="31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3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28"/>
        <v>0</v>
      </c>
      <c r="AG245" s="2">
        <v>291.58999999999997</v>
      </c>
      <c r="AH245" s="2">
        <v>450</v>
      </c>
      <c r="AJ245" s="2">
        <f t="shared" si="29"/>
        <v>0</v>
      </c>
      <c r="AK245" s="2">
        <f t="shared" si="31"/>
        <v>131.61000000000001</v>
      </c>
      <c r="AL245" s="5">
        <f t="shared" ref="AL245:AL262" si="34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3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28"/>
        <v>0</v>
      </c>
      <c r="AJ246" s="2">
        <f t="shared" si="29"/>
        <v>0</v>
      </c>
      <c r="AK246" s="2">
        <f t="shared" si="31"/>
        <v>0</v>
      </c>
      <c r="AL246" s="5">
        <f t="shared" si="34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3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28"/>
        <v>0</v>
      </c>
      <c r="AJ247" s="2">
        <f t="shared" si="29"/>
        <v>0</v>
      </c>
      <c r="AK247" s="2">
        <f t="shared" si="31"/>
        <v>25.356000000000002</v>
      </c>
      <c r="AL247" s="5">
        <f t="shared" si="34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3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28"/>
        <v>0</v>
      </c>
      <c r="AG248" s="2">
        <v>117.453</v>
      </c>
      <c r="AH248" s="2">
        <v>220</v>
      </c>
      <c r="AJ248" s="2">
        <f t="shared" si="29"/>
        <v>0</v>
      </c>
      <c r="AK248" s="2">
        <f t="shared" si="31"/>
        <v>66.546999999999997</v>
      </c>
      <c r="AL248" s="5">
        <f t="shared" si="34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3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28"/>
        <v>0</v>
      </c>
      <c r="AJ249" s="2">
        <f t="shared" si="29"/>
        <v>0</v>
      </c>
      <c r="AK249" s="2">
        <f t="shared" si="31"/>
        <v>0</v>
      </c>
      <c r="AL249" s="5">
        <f t="shared" si="34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3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28"/>
        <v>0</v>
      </c>
      <c r="AG250" s="2">
        <v>91.41</v>
      </c>
      <c r="AJ250" s="2">
        <f t="shared" si="29"/>
        <v>0</v>
      </c>
      <c r="AK250" s="2">
        <f t="shared" si="31"/>
        <v>110.99000000000001</v>
      </c>
      <c r="AL250" s="5">
        <f t="shared" si="34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3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28"/>
        <v>0</v>
      </c>
      <c r="AG251" s="2">
        <v>1.1399999999999999</v>
      </c>
      <c r="AH251" s="2">
        <v>1.1399999999999999</v>
      </c>
      <c r="AJ251" s="2">
        <f t="shared" si="29"/>
        <v>0</v>
      </c>
      <c r="AK251" s="2">
        <f t="shared" si="31"/>
        <v>0</v>
      </c>
      <c r="AL251" s="5">
        <f t="shared" si="34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3"/>
        <v>1</v>
      </c>
      <c r="Z252" s="2" t="s">
        <v>117</v>
      </c>
      <c r="AA252" s="2" t="s">
        <v>317</v>
      </c>
      <c r="AF252" s="2">
        <f t="shared" si="28"/>
        <v>0</v>
      </c>
      <c r="AJ252" s="2">
        <f t="shared" si="29"/>
        <v>0</v>
      </c>
      <c r="AK252" s="2">
        <f t="shared" si="31"/>
        <v>1007</v>
      </c>
      <c r="AL252" s="5">
        <f t="shared" si="34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3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28"/>
        <v>0</v>
      </c>
      <c r="AG253" s="2">
        <v>15.494999999999999</v>
      </c>
      <c r="AH253" s="2">
        <v>36</v>
      </c>
      <c r="AJ253" s="2">
        <f t="shared" si="29"/>
        <v>0</v>
      </c>
      <c r="AK253" s="2">
        <f t="shared" ref="AK253:AK284" si="35">T253-W253</f>
        <v>17.505000000000003</v>
      </c>
      <c r="AL253" s="5">
        <f t="shared" si="34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3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28"/>
        <v>0</v>
      </c>
      <c r="AG254" s="2">
        <v>117.453</v>
      </c>
      <c r="AH254" s="2">
        <v>220</v>
      </c>
      <c r="AJ254" s="2">
        <f t="shared" si="29"/>
        <v>0</v>
      </c>
      <c r="AK254" s="2">
        <f t="shared" si="35"/>
        <v>133.09399999999999</v>
      </c>
      <c r="AL254" s="5">
        <f t="shared" si="34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3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28"/>
        <v>0</v>
      </c>
      <c r="AG255" s="2">
        <v>143.91999999999999</v>
      </c>
      <c r="AJ255" s="2">
        <f t="shared" si="29"/>
        <v>0</v>
      </c>
      <c r="AK255" s="2">
        <f t="shared" si="35"/>
        <v>67.680000000000007</v>
      </c>
      <c r="AL255" s="5">
        <f t="shared" si="34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3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28"/>
        <v>0</v>
      </c>
      <c r="AG256" s="2">
        <v>122.446</v>
      </c>
      <c r="AH256" s="2">
        <v>230</v>
      </c>
      <c r="AJ256" s="2">
        <f t="shared" si="29"/>
        <v>0</v>
      </c>
      <c r="AK256" s="2">
        <f t="shared" si="35"/>
        <v>89.153999999999996</v>
      </c>
      <c r="AL256" s="5">
        <f t="shared" si="34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3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28"/>
        <v>0</v>
      </c>
      <c r="AG257" s="2">
        <v>1.1399999999999999</v>
      </c>
      <c r="AH257" s="2">
        <v>1.1399999999999999</v>
      </c>
      <c r="AJ257" s="2">
        <f t="shared" si="29"/>
        <v>0</v>
      </c>
      <c r="AK257" s="2">
        <f t="shared" si="35"/>
        <v>0</v>
      </c>
      <c r="AL257" s="5">
        <f t="shared" si="34"/>
        <v>0</v>
      </c>
    </row>
    <row r="258" spans="1:38" x14ac:dyDescent="0.2">
      <c r="A258" s="2">
        <v>2025</v>
      </c>
      <c r="B258" s="2">
        <v>1</v>
      </c>
      <c r="C258" s="2" t="s">
        <v>3306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3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36">AJ258</f>
        <v>0</v>
      </c>
      <c r="AG258" s="2">
        <v>5.33</v>
      </c>
      <c r="AJ258" s="2">
        <f t="shared" ref="AJ258:AJ321" si="37">AI258*T258</f>
        <v>0</v>
      </c>
      <c r="AK258" s="2">
        <f t="shared" si="35"/>
        <v>17.91</v>
      </c>
      <c r="AL258" s="5">
        <f t="shared" si="34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3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36"/>
        <v>0</v>
      </c>
      <c r="AJ259" s="2">
        <f t="shared" si="37"/>
        <v>0</v>
      </c>
      <c r="AK259" s="2">
        <f t="shared" si="35"/>
        <v>64.199999999999989</v>
      </c>
      <c r="AL259" s="5">
        <f t="shared" si="34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3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36"/>
        <v>0</v>
      </c>
      <c r="AJ260" s="2">
        <f t="shared" si="37"/>
        <v>0</v>
      </c>
      <c r="AK260" s="2">
        <f t="shared" si="35"/>
        <v>25</v>
      </c>
      <c r="AL260" s="5">
        <f t="shared" si="34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3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36"/>
        <v>0</v>
      </c>
      <c r="AJ261" s="2">
        <f t="shared" si="37"/>
        <v>0</v>
      </c>
      <c r="AK261" s="2">
        <f t="shared" si="35"/>
        <v>80.154000000000025</v>
      </c>
      <c r="AL261" s="5">
        <f t="shared" si="34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36"/>
        <v>0</v>
      </c>
      <c r="AJ262" s="2">
        <f t="shared" si="37"/>
        <v>0</v>
      </c>
      <c r="AK262" s="2">
        <f t="shared" si="35"/>
        <v>0</v>
      </c>
      <c r="AL262" s="5" t="e">
        <f t="shared" si="34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36"/>
        <v>0</v>
      </c>
      <c r="AJ263" s="2">
        <f t="shared" si="37"/>
        <v>0</v>
      </c>
      <c r="AK263" s="2">
        <f t="shared" si="35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8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36"/>
        <v>0</v>
      </c>
      <c r="AG264" s="2">
        <v>9.3000000000000007</v>
      </c>
      <c r="AH264" s="2">
        <v>21</v>
      </c>
      <c r="AJ264" s="2">
        <f t="shared" si="37"/>
        <v>0</v>
      </c>
      <c r="AK264" s="2">
        <f t="shared" si="35"/>
        <v>8.16</v>
      </c>
      <c r="AL264" s="5">
        <f t="shared" ref="AL264:AL288" si="39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8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36"/>
        <v>0</v>
      </c>
      <c r="AG265" s="2">
        <v>8.1999999999999993</v>
      </c>
      <c r="AH265" s="2">
        <v>13</v>
      </c>
      <c r="AJ265" s="2">
        <f t="shared" si="37"/>
        <v>0</v>
      </c>
      <c r="AK265" s="2">
        <f t="shared" si="35"/>
        <v>4.7999999999999989</v>
      </c>
      <c r="AL265" s="5">
        <f t="shared" si="39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38"/>
        <v>-9.0909090909090912E-2</v>
      </c>
      <c r="Z266" s="2" t="s">
        <v>169</v>
      </c>
      <c r="AA266" s="2" t="s">
        <v>169</v>
      </c>
      <c r="AF266" s="2">
        <f t="shared" si="36"/>
        <v>0</v>
      </c>
      <c r="AJ266" s="2">
        <f t="shared" si="37"/>
        <v>0</v>
      </c>
      <c r="AK266" s="2">
        <f t="shared" si="35"/>
        <v>-0.5</v>
      </c>
      <c r="AL266" s="5">
        <f t="shared" si="39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8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36"/>
        <v>0</v>
      </c>
      <c r="AJ267" s="2">
        <f t="shared" si="37"/>
        <v>0</v>
      </c>
      <c r="AK267" s="2">
        <f t="shared" si="35"/>
        <v>5.4600000000000009</v>
      </c>
      <c r="AL267" s="5">
        <f t="shared" si="39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38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36"/>
        <v>0</v>
      </c>
      <c r="AJ268" s="2">
        <f t="shared" si="37"/>
        <v>0</v>
      </c>
      <c r="AK268" s="2">
        <f t="shared" si="35"/>
        <v>5.8948999999999998</v>
      </c>
      <c r="AL268" s="5">
        <f t="shared" si="39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8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36"/>
        <v>0</v>
      </c>
      <c r="AG269" s="2">
        <v>25.2</v>
      </c>
      <c r="AJ269" s="2">
        <f t="shared" si="37"/>
        <v>0</v>
      </c>
      <c r="AK269" s="2">
        <f t="shared" si="35"/>
        <v>54.269999999999996</v>
      </c>
      <c r="AL269" s="5">
        <f t="shared" si="39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8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36"/>
        <v>0</v>
      </c>
      <c r="AG270" s="2">
        <v>6.6266999999999996</v>
      </c>
      <c r="AH270" s="2">
        <v>12</v>
      </c>
      <c r="AJ270" s="2">
        <f t="shared" si="37"/>
        <v>0</v>
      </c>
      <c r="AK270" s="2">
        <f t="shared" si="35"/>
        <v>5.3733000000000004</v>
      </c>
      <c r="AL270" s="5">
        <f t="shared" si="39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8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36"/>
        <v>0</v>
      </c>
      <c r="AG271" s="2">
        <v>10.6</v>
      </c>
      <c r="AH271" s="2">
        <v>18</v>
      </c>
      <c r="AJ271" s="2">
        <f t="shared" si="37"/>
        <v>0</v>
      </c>
      <c r="AK271" s="2">
        <f t="shared" si="35"/>
        <v>54</v>
      </c>
      <c r="AL271" s="5">
        <f t="shared" si="39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8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36"/>
        <v>0</v>
      </c>
      <c r="AG272" s="2">
        <v>1.1122000000000001</v>
      </c>
      <c r="AH272" s="2">
        <v>3</v>
      </c>
      <c r="AJ272" s="2">
        <f t="shared" si="37"/>
        <v>0</v>
      </c>
      <c r="AK272" s="2">
        <f t="shared" si="35"/>
        <v>37.756</v>
      </c>
      <c r="AL272" s="5">
        <f t="shared" si="39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8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36"/>
        <v>0</v>
      </c>
      <c r="AG273" s="2">
        <v>1.4114</v>
      </c>
      <c r="AH273" s="2">
        <v>3</v>
      </c>
      <c r="AJ273" s="2">
        <f t="shared" si="37"/>
        <v>0</v>
      </c>
      <c r="AK273" s="2">
        <f t="shared" si="35"/>
        <v>3.9543999999999997</v>
      </c>
      <c r="AL273" s="5">
        <f t="shared" si="39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8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36"/>
        <v>0</v>
      </c>
      <c r="AG274" s="2">
        <v>8.1999999999999993</v>
      </c>
      <c r="AH274" s="2">
        <v>13</v>
      </c>
      <c r="AJ274" s="2">
        <f t="shared" si="37"/>
        <v>0</v>
      </c>
      <c r="AK274" s="2">
        <f t="shared" si="35"/>
        <v>28</v>
      </c>
      <c r="AL274" s="5">
        <f t="shared" si="39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8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36"/>
        <v>0</v>
      </c>
      <c r="AG275" s="2">
        <v>15.020300000000001</v>
      </c>
      <c r="AH275" s="2">
        <v>27.6</v>
      </c>
      <c r="AJ275" s="2">
        <f t="shared" si="37"/>
        <v>0</v>
      </c>
      <c r="AK275" s="2">
        <f t="shared" si="35"/>
        <v>39.837599999999995</v>
      </c>
      <c r="AL275" s="5">
        <f t="shared" si="39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8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36"/>
        <v>0</v>
      </c>
      <c r="AJ276" s="2">
        <f t="shared" si="37"/>
        <v>0</v>
      </c>
      <c r="AK276" s="2">
        <f t="shared" si="35"/>
        <v>35.519999999999996</v>
      </c>
      <c r="AL276" s="5">
        <f t="shared" si="39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8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36"/>
        <v>0</v>
      </c>
      <c r="AJ277" s="2">
        <f t="shared" si="37"/>
        <v>0</v>
      </c>
      <c r="AK277" s="2">
        <f t="shared" si="35"/>
        <v>6.6399999999999864</v>
      </c>
      <c r="AL277" s="5">
        <f t="shared" si="39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8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36"/>
        <v>0</v>
      </c>
      <c r="AG278" s="2">
        <v>6.6266999999999996</v>
      </c>
      <c r="AH278" s="2">
        <v>12</v>
      </c>
      <c r="AJ278" s="2">
        <f t="shared" si="37"/>
        <v>0</v>
      </c>
      <c r="AK278" s="2">
        <f t="shared" si="35"/>
        <v>4.3733000000000004</v>
      </c>
      <c r="AL278" s="5">
        <f t="shared" si="39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38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36"/>
        <v>0</v>
      </c>
      <c r="AJ279" s="2">
        <f t="shared" si="37"/>
        <v>0</v>
      </c>
      <c r="AK279" s="2">
        <f t="shared" si="35"/>
        <v>17.505000000000003</v>
      </c>
      <c r="AL279" s="5">
        <f t="shared" si="39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8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36"/>
        <v>0</v>
      </c>
      <c r="AG280" s="2">
        <v>7.2217000000000002</v>
      </c>
      <c r="AH280" s="2">
        <v>14.4</v>
      </c>
      <c r="AJ280" s="2">
        <f t="shared" si="37"/>
        <v>0</v>
      </c>
      <c r="AK280" s="2">
        <f t="shared" si="35"/>
        <v>5.3182999999999989</v>
      </c>
      <c r="AL280" s="5">
        <f t="shared" si="39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38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36"/>
        <v>0</v>
      </c>
      <c r="AJ281" s="2">
        <f t="shared" si="37"/>
        <v>0</v>
      </c>
      <c r="AK281" s="2">
        <f t="shared" si="35"/>
        <v>7.125</v>
      </c>
      <c r="AL281" s="5">
        <f t="shared" si="39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38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36"/>
        <v>0</v>
      </c>
      <c r="AJ282" s="2">
        <f t="shared" si="37"/>
        <v>0</v>
      </c>
      <c r="AK282" s="2">
        <f t="shared" si="35"/>
        <v>7.7649999999999988</v>
      </c>
      <c r="AL282" s="5">
        <f t="shared" si="39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38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36"/>
        <v>0</v>
      </c>
      <c r="AJ283" s="2">
        <f t="shared" si="37"/>
        <v>0</v>
      </c>
      <c r="AK283" s="2">
        <f t="shared" si="35"/>
        <v>9.3933</v>
      </c>
      <c r="AL283" s="5">
        <f t="shared" si="39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8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36"/>
        <v>0</v>
      </c>
      <c r="AG284" s="2">
        <v>9.14</v>
      </c>
      <c r="AH284" s="2">
        <v>16</v>
      </c>
      <c r="AJ284" s="2">
        <f t="shared" si="37"/>
        <v>0</v>
      </c>
      <c r="AK284" s="2">
        <f t="shared" si="35"/>
        <v>3.8600000000000012</v>
      </c>
      <c r="AL284" s="5">
        <f t="shared" si="39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38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36"/>
        <v>0</v>
      </c>
      <c r="AJ285" s="2">
        <f t="shared" si="37"/>
        <v>0</v>
      </c>
      <c r="AK285" s="2">
        <f t="shared" ref="AK285:AK315" si="40">T285-W285</f>
        <v>11.95</v>
      </c>
      <c r="AL285" s="5">
        <f t="shared" si="39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38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36"/>
        <v>0</v>
      </c>
      <c r="AJ286" s="2">
        <f t="shared" si="37"/>
        <v>0</v>
      </c>
      <c r="AK286" s="2">
        <f t="shared" si="40"/>
        <v>1.5150000000000001</v>
      </c>
      <c r="AL286" s="5">
        <f t="shared" si="39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8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36"/>
        <v>0</v>
      </c>
      <c r="AJ287" s="2">
        <f t="shared" si="37"/>
        <v>0</v>
      </c>
      <c r="AK287" s="2">
        <f t="shared" si="40"/>
        <v>22.027999999999999</v>
      </c>
      <c r="AL287" s="5">
        <f t="shared" si="39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8"/>
        <v>1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36"/>
        <v>0</v>
      </c>
      <c r="AJ288" s="2">
        <f t="shared" si="37"/>
        <v>0</v>
      </c>
      <c r="AK288" s="2">
        <f t="shared" si="40"/>
        <v>15.12</v>
      </c>
      <c r="AL288" s="5">
        <f t="shared" si="39"/>
        <v>1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36"/>
        <v>0</v>
      </c>
      <c r="AG289" s="2">
        <v>10.2346</v>
      </c>
      <c r="AH289" s="2">
        <v>18</v>
      </c>
      <c r="AJ289" s="2">
        <f t="shared" si="37"/>
        <v>0</v>
      </c>
      <c r="AK289" s="2">
        <f t="shared" si="40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36"/>
        <v>0</v>
      </c>
      <c r="AG290" s="2">
        <v>5.2972999999999999</v>
      </c>
      <c r="AH290" s="2">
        <v>10.8</v>
      </c>
      <c r="AJ290" s="2">
        <f t="shared" si="37"/>
        <v>0</v>
      </c>
      <c r="AK290" s="2">
        <f t="shared" si="40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36"/>
        <v>0</v>
      </c>
      <c r="AJ291" s="2">
        <f t="shared" si="37"/>
        <v>0</v>
      </c>
      <c r="AK291" s="2">
        <f t="shared" si="40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36"/>
        <v>0</v>
      </c>
      <c r="AG292" s="2">
        <v>1.8320000000000001</v>
      </c>
      <c r="AH292" s="2">
        <v>2.4</v>
      </c>
      <c r="AJ292" s="2">
        <f t="shared" si="37"/>
        <v>0</v>
      </c>
      <c r="AK292" s="2">
        <f t="shared" si="40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36"/>
        <v>0</v>
      </c>
      <c r="AG293" s="2">
        <v>15.020300000000001</v>
      </c>
      <c r="AH293" s="2">
        <v>27.6</v>
      </c>
      <c r="AJ293" s="2">
        <f t="shared" si="37"/>
        <v>0</v>
      </c>
      <c r="AK293" s="2">
        <f t="shared" si="40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36"/>
        <v>0</v>
      </c>
      <c r="AJ294" s="2">
        <f t="shared" si="37"/>
        <v>0</v>
      </c>
      <c r="AK294" s="2">
        <f t="shared" si="40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36"/>
        <v>0</v>
      </c>
      <c r="AJ295" s="2">
        <f t="shared" si="37"/>
        <v>0</v>
      </c>
      <c r="AK295" s="2">
        <f t="shared" si="40"/>
        <v>899</v>
      </c>
      <c r="AL295" s="5">
        <f t="shared" ref="AL295:AL315" si="41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36"/>
        <v>0</v>
      </c>
      <c r="AJ296" s="2">
        <f t="shared" si="37"/>
        <v>0</v>
      </c>
      <c r="AK296" s="2">
        <f t="shared" si="40"/>
        <v>0</v>
      </c>
      <c r="AL296" s="5" t="e">
        <f t="shared" si="41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2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36"/>
        <v>0</v>
      </c>
      <c r="AG297" s="2">
        <v>7.2217000000000002</v>
      </c>
      <c r="AH297" s="2">
        <v>14.4</v>
      </c>
      <c r="AJ297" s="2">
        <f t="shared" si="37"/>
        <v>0</v>
      </c>
      <c r="AK297" s="2">
        <f t="shared" si="40"/>
        <v>5.9782999999999991</v>
      </c>
      <c r="AL297" s="5">
        <f t="shared" si="41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2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36"/>
        <v>0</v>
      </c>
      <c r="AJ298" s="2">
        <f t="shared" si="37"/>
        <v>0</v>
      </c>
      <c r="AK298" s="2">
        <f t="shared" si="40"/>
        <v>8.7550000000000008</v>
      </c>
      <c r="AL298" s="5">
        <f t="shared" si="41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2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36"/>
        <v>0</v>
      </c>
      <c r="AJ299" s="2">
        <f t="shared" si="37"/>
        <v>0</v>
      </c>
      <c r="AK299" s="2">
        <f t="shared" si="40"/>
        <v>8.6732999999999993</v>
      </c>
      <c r="AL299" s="5">
        <f t="shared" si="41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2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36"/>
        <v>0</v>
      </c>
      <c r="AG300" s="2">
        <v>8.1999999999999993</v>
      </c>
      <c r="AH300" s="2">
        <v>13</v>
      </c>
      <c r="AJ300" s="2">
        <f t="shared" si="37"/>
        <v>0</v>
      </c>
      <c r="AK300" s="2">
        <f t="shared" si="40"/>
        <v>4.7999999999999989</v>
      </c>
      <c r="AL300" s="5">
        <f t="shared" si="41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2"/>
        <v>0.30127731092436982</v>
      </c>
      <c r="Z301" s="2" t="s">
        <v>104</v>
      </c>
      <c r="AA301" s="2" t="s">
        <v>616</v>
      </c>
      <c r="AB301" s="2" t="s">
        <v>3437</v>
      </c>
      <c r="AC301" s="2" t="s">
        <v>114</v>
      </c>
      <c r="AF301" s="2">
        <f t="shared" si="36"/>
        <v>0</v>
      </c>
      <c r="AG301" s="2">
        <v>4157.3999999999996</v>
      </c>
      <c r="AJ301" s="2">
        <f t="shared" si="37"/>
        <v>0</v>
      </c>
      <c r="AK301" s="2">
        <f t="shared" si="40"/>
        <v>1792.6000000000004</v>
      </c>
      <c r="AL301" s="5">
        <f t="shared" si="41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2"/>
        <v>0.4</v>
      </c>
      <c r="Z302" s="2" t="s">
        <v>3226</v>
      </c>
      <c r="AA302" s="2" t="s">
        <v>46</v>
      </c>
      <c r="AB302" s="2" t="s">
        <v>60</v>
      </c>
      <c r="AC302" s="2" t="s">
        <v>3331</v>
      </c>
      <c r="AF302" s="2">
        <f t="shared" si="36"/>
        <v>0</v>
      </c>
      <c r="AJ302" s="2">
        <f t="shared" si="37"/>
        <v>0</v>
      </c>
      <c r="AK302" s="2">
        <f t="shared" si="40"/>
        <v>46.400000000000006</v>
      </c>
      <c r="AL302" s="5">
        <f t="shared" si="41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2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36"/>
        <v>0</v>
      </c>
      <c r="AJ303" s="2">
        <f t="shared" si="37"/>
        <v>0</v>
      </c>
      <c r="AK303" s="2">
        <f t="shared" si="40"/>
        <v>17.505000000000003</v>
      </c>
      <c r="AL303" s="5">
        <f t="shared" si="41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2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36"/>
        <v>0</v>
      </c>
      <c r="AG304" s="2">
        <v>10.6</v>
      </c>
      <c r="AH304" s="2">
        <v>18</v>
      </c>
      <c r="AJ304" s="2">
        <f t="shared" si="37"/>
        <v>0</v>
      </c>
      <c r="AK304" s="2">
        <f t="shared" si="40"/>
        <v>54</v>
      </c>
      <c r="AL304" s="5">
        <f t="shared" si="41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2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36"/>
        <v>0</v>
      </c>
      <c r="AG305" s="2">
        <v>9.14</v>
      </c>
      <c r="AH305" s="2">
        <v>16</v>
      </c>
      <c r="AJ305" s="2">
        <f t="shared" si="37"/>
        <v>0</v>
      </c>
      <c r="AK305" s="2">
        <f t="shared" si="40"/>
        <v>11.580000000000002</v>
      </c>
      <c r="AL305" s="5">
        <f t="shared" si="41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2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36"/>
        <v>0</v>
      </c>
      <c r="AG306" s="2">
        <v>8.1999999999999993</v>
      </c>
      <c r="AH306" s="2">
        <v>13</v>
      </c>
      <c r="AJ306" s="2">
        <f t="shared" si="37"/>
        <v>0</v>
      </c>
      <c r="AK306" s="2">
        <f t="shared" si="40"/>
        <v>9.5999999999999979</v>
      </c>
      <c r="AL306" s="5">
        <f t="shared" si="41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2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36"/>
        <v>0</v>
      </c>
      <c r="AJ307" s="2">
        <f t="shared" si="37"/>
        <v>0</v>
      </c>
      <c r="AK307" s="2">
        <f t="shared" si="40"/>
        <v>3.7024999999999997</v>
      </c>
      <c r="AL307" s="5">
        <f t="shared" si="41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2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36"/>
        <v>0</v>
      </c>
      <c r="AJ308" s="2">
        <f t="shared" si="37"/>
        <v>0</v>
      </c>
      <c r="AK308" s="2">
        <f t="shared" si="40"/>
        <v>12.161</v>
      </c>
      <c r="AL308" s="5">
        <f t="shared" si="41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2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36"/>
        <v>0</v>
      </c>
      <c r="AG309" s="2">
        <v>12.938599999999999</v>
      </c>
      <c r="AJ309" s="2">
        <f t="shared" si="37"/>
        <v>0</v>
      </c>
      <c r="AK309" s="2">
        <f t="shared" si="40"/>
        <v>13.911400000000002</v>
      </c>
      <c r="AL309" s="5">
        <f t="shared" si="41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2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36"/>
        <v>0</v>
      </c>
      <c r="AG310" s="2">
        <v>25.57</v>
      </c>
      <c r="AJ310" s="2">
        <f t="shared" si="37"/>
        <v>0</v>
      </c>
      <c r="AK310" s="2">
        <f t="shared" si="40"/>
        <v>13.93</v>
      </c>
      <c r="AL310" s="5">
        <f t="shared" si="41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2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36"/>
        <v>0</v>
      </c>
      <c r="AG311" s="2">
        <v>5.33</v>
      </c>
      <c r="AJ311" s="2">
        <f t="shared" si="37"/>
        <v>0</v>
      </c>
      <c r="AK311" s="2">
        <f t="shared" si="40"/>
        <v>17.899999999999999</v>
      </c>
      <c r="AL311" s="5">
        <f t="shared" si="41"/>
        <v>0.62675070028011204</v>
      </c>
    </row>
    <row r="312" spans="1:38" x14ac:dyDescent="0.2">
      <c r="A312" s="2">
        <v>2025</v>
      </c>
      <c r="B312" s="2">
        <v>1</v>
      </c>
      <c r="C312" s="2" t="s">
        <v>3455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2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36"/>
        <v>0</v>
      </c>
      <c r="AG312" s="2">
        <v>117.453</v>
      </c>
      <c r="AH312" s="2">
        <v>220</v>
      </c>
      <c r="AJ312" s="2">
        <f t="shared" si="37"/>
        <v>0</v>
      </c>
      <c r="AK312" s="2">
        <f t="shared" si="40"/>
        <v>66.546999999999997</v>
      </c>
      <c r="AL312" s="5">
        <f t="shared" si="41"/>
        <v>0.36166847826086956</v>
      </c>
    </row>
    <row r="313" spans="1:38" x14ac:dyDescent="0.2">
      <c r="A313" s="2">
        <v>2025</v>
      </c>
      <c r="B313" s="2">
        <v>1</v>
      </c>
      <c r="C313" s="2" t="s">
        <v>3455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2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36"/>
        <v>0</v>
      </c>
      <c r="AJ313" s="2">
        <f t="shared" si="37"/>
        <v>0</v>
      </c>
      <c r="AK313" s="2">
        <f t="shared" si="40"/>
        <v>0</v>
      </c>
      <c r="AL313" s="5">
        <f t="shared" si="41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2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36"/>
        <v>0</v>
      </c>
      <c r="AG314" s="2">
        <v>117.453</v>
      </c>
      <c r="AH314" s="2">
        <v>220</v>
      </c>
      <c r="AJ314" s="2">
        <f t="shared" si="37"/>
        <v>0</v>
      </c>
      <c r="AK314" s="2">
        <f t="shared" si="40"/>
        <v>75.746999999999986</v>
      </c>
      <c r="AL314" s="5">
        <f t="shared" si="41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2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36"/>
        <v>0</v>
      </c>
      <c r="AJ315" s="2">
        <f t="shared" si="37"/>
        <v>0</v>
      </c>
      <c r="AK315" s="2">
        <f t="shared" si="40"/>
        <v>0</v>
      </c>
      <c r="AL315" s="5">
        <f t="shared" si="41"/>
        <v>0</v>
      </c>
    </row>
    <row r="316" spans="1:38" x14ac:dyDescent="0.2">
      <c r="A316" s="2">
        <v>2025</v>
      </c>
      <c r="B316" s="2">
        <v>1</v>
      </c>
      <c r="C316" s="2" t="s">
        <v>3306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36"/>
        <v>0</v>
      </c>
      <c r="AJ316" s="2">
        <f t="shared" si="37"/>
        <v>0</v>
      </c>
      <c r="AK316" s="2">
        <f>T316+(W316)</f>
        <v>-77.89</v>
      </c>
      <c r="AL316" s="18">
        <f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3306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3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36"/>
        <v>0</v>
      </c>
      <c r="AJ317" s="2">
        <f t="shared" si="37"/>
        <v>0</v>
      </c>
      <c r="AK317" s="2">
        <f t="shared" ref="AK317:AK326" si="44">T317-W317</f>
        <v>624.59659999999997</v>
      </c>
      <c r="AL317" s="5">
        <f t="shared" ref="AL317:AL326" si="45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3306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3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36"/>
        <v>0</v>
      </c>
      <c r="AJ318" s="2">
        <f t="shared" si="37"/>
        <v>0</v>
      </c>
      <c r="AK318" s="2">
        <f t="shared" si="44"/>
        <v>43.969999999999992</v>
      </c>
      <c r="AL318" s="5">
        <f t="shared" si="45"/>
        <v>0.50938368860055605</v>
      </c>
    </row>
    <row r="319" spans="1:38" x14ac:dyDescent="0.2">
      <c r="A319" s="2">
        <v>2025</v>
      </c>
      <c r="B319" s="2">
        <v>1</v>
      </c>
      <c r="C319" s="2" t="s">
        <v>3306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3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36"/>
        <v>0</v>
      </c>
      <c r="AJ319" s="2">
        <f t="shared" si="37"/>
        <v>0</v>
      </c>
      <c r="AK319" s="2">
        <f t="shared" si="44"/>
        <v>93.6</v>
      </c>
      <c r="AL319" s="5">
        <f t="shared" si="45"/>
        <v>0.6</v>
      </c>
    </row>
    <row r="320" spans="1:38" x14ac:dyDescent="0.2">
      <c r="A320" s="2">
        <v>2025</v>
      </c>
      <c r="B320" s="2">
        <v>1</v>
      </c>
      <c r="C320" s="2" t="s">
        <v>3306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3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36"/>
        <v>0</v>
      </c>
      <c r="AJ320" s="2">
        <f t="shared" si="37"/>
        <v>0</v>
      </c>
      <c r="AK320" s="2">
        <f t="shared" si="44"/>
        <v>25</v>
      </c>
      <c r="AL320" s="5">
        <f t="shared" si="45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3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36"/>
        <v>0</v>
      </c>
      <c r="AJ321" s="2">
        <f t="shared" si="37"/>
        <v>0</v>
      </c>
      <c r="AK321" s="2">
        <f t="shared" si="44"/>
        <v>31.990000000000002</v>
      </c>
      <c r="AL321" s="5">
        <f t="shared" si="45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3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46">AJ322</f>
        <v>0</v>
      </c>
      <c r="AJ322" s="2">
        <f t="shared" ref="AJ322:AJ385" si="47">AI322*T322</f>
        <v>0</v>
      </c>
      <c r="AK322" s="2">
        <f t="shared" si="44"/>
        <v>60.3</v>
      </c>
      <c r="AL322" s="5">
        <f t="shared" si="45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3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46"/>
        <v>0</v>
      </c>
      <c r="AJ323" s="2">
        <f t="shared" si="47"/>
        <v>0</v>
      </c>
      <c r="AK323" s="2">
        <f t="shared" si="44"/>
        <v>22.5</v>
      </c>
      <c r="AL323" s="5">
        <f t="shared" si="45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3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46"/>
        <v>0</v>
      </c>
      <c r="AG324" s="2">
        <v>77</v>
      </c>
      <c r="AJ324" s="2">
        <f t="shared" si="47"/>
        <v>0</v>
      </c>
      <c r="AK324" s="2">
        <f t="shared" si="44"/>
        <v>217</v>
      </c>
      <c r="AL324" s="5">
        <f t="shared" si="45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3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46"/>
        <v>0</v>
      </c>
      <c r="AG325" s="2">
        <v>119.33</v>
      </c>
      <c r="AH325" s="2">
        <v>220</v>
      </c>
      <c r="AJ325" s="2">
        <f t="shared" si="47"/>
        <v>0</v>
      </c>
      <c r="AK325" s="2">
        <f t="shared" si="44"/>
        <v>92.27</v>
      </c>
      <c r="AL325" s="5">
        <f t="shared" si="45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3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46"/>
        <v>0</v>
      </c>
      <c r="AG326" s="2">
        <v>1.1399999999999999</v>
      </c>
      <c r="AH326" s="2">
        <v>1.1399999999999999</v>
      </c>
      <c r="AJ326" s="2">
        <f t="shared" si="47"/>
        <v>0</v>
      </c>
      <c r="AK326" s="2">
        <f t="shared" si="44"/>
        <v>0</v>
      </c>
      <c r="AL326" s="5">
        <f t="shared" si="45"/>
        <v>0</v>
      </c>
    </row>
    <row r="327" spans="1:38" x14ac:dyDescent="0.2">
      <c r="A327" s="2">
        <v>2025</v>
      </c>
      <c r="B327" s="2">
        <v>1</v>
      </c>
      <c r="C327" s="2" t="s">
        <v>3455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46"/>
        <v>0</v>
      </c>
      <c r="AJ327" s="2">
        <f t="shared" si="47"/>
        <v>0</v>
      </c>
      <c r="AK327" s="2">
        <f>T327+(W327)</f>
        <v>-93.9</v>
      </c>
      <c r="AL327" s="18">
        <f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3455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46"/>
        <v>0</v>
      </c>
      <c r="AJ328" s="2">
        <f t="shared" si="47"/>
        <v>0</v>
      </c>
      <c r="AK328" s="2">
        <f>T328+(W328)</f>
        <v>0</v>
      </c>
      <c r="AL328" s="18">
        <f>SIGN(T328)*((ABS(T328)-W328)/ABS(T328))</f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48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46"/>
        <v>0</v>
      </c>
      <c r="AG329" s="2">
        <v>121.46</v>
      </c>
      <c r="AH329" s="2">
        <v>210</v>
      </c>
      <c r="AJ329" s="2">
        <f t="shared" si="47"/>
        <v>0</v>
      </c>
      <c r="AK329" s="2">
        <f t="shared" ref="AK329:AK360" si="49">T329-W329</f>
        <v>90.14</v>
      </c>
      <c r="AL329" s="5">
        <f t="shared" ref="AL329:AL360" si="50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8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46"/>
        <v>0</v>
      </c>
      <c r="AJ330" s="2">
        <f t="shared" si="47"/>
        <v>0</v>
      </c>
      <c r="AK330" s="2">
        <f t="shared" si="49"/>
        <v>77.245000000000005</v>
      </c>
      <c r="AL330" s="5">
        <f t="shared" si="50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8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46"/>
        <v>0</v>
      </c>
      <c r="AJ331" s="2">
        <f t="shared" si="47"/>
        <v>0</v>
      </c>
      <c r="AK331" s="2">
        <f t="shared" si="49"/>
        <v>0</v>
      </c>
      <c r="AL331" s="5">
        <f t="shared" si="50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8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46"/>
        <v>0</v>
      </c>
      <c r="AG332" s="2">
        <v>29.27</v>
      </c>
      <c r="AH332" s="2">
        <v>60</v>
      </c>
      <c r="AJ332" s="2">
        <f t="shared" si="47"/>
        <v>0</v>
      </c>
      <c r="AK332" s="2">
        <f t="shared" si="49"/>
        <v>30.73</v>
      </c>
      <c r="AL332" s="5">
        <f t="shared" si="50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48"/>
        <v>0.29411764705882354</v>
      </c>
      <c r="Z333" s="2" t="s">
        <v>169</v>
      </c>
      <c r="AA333" s="2" t="s">
        <v>169</v>
      </c>
      <c r="AF333" s="2">
        <f t="shared" si="46"/>
        <v>0</v>
      </c>
      <c r="AJ333" s="2">
        <f t="shared" si="47"/>
        <v>0</v>
      </c>
      <c r="AK333" s="2">
        <f t="shared" si="49"/>
        <v>2.5</v>
      </c>
      <c r="AL333" s="5">
        <f t="shared" si="50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48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46"/>
        <v>0</v>
      </c>
      <c r="AJ334" s="2">
        <f t="shared" si="47"/>
        <v>0</v>
      </c>
      <c r="AK334" s="2">
        <f t="shared" si="49"/>
        <v>9.715799999999998</v>
      </c>
      <c r="AL334" s="5">
        <f t="shared" si="50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8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46"/>
        <v>0</v>
      </c>
      <c r="AJ335" s="2">
        <f t="shared" si="47"/>
        <v>0</v>
      </c>
      <c r="AK335" s="2">
        <f t="shared" si="49"/>
        <v>24.995000000000001</v>
      </c>
      <c r="AL335" s="5">
        <f t="shared" si="50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8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46"/>
        <v>0</v>
      </c>
      <c r="AG336" s="2">
        <f>10958.19+575</f>
        <v>11533.19</v>
      </c>
      <c r="AJ336" s="2">
        <f t="shared" si="47"/>
        <v>0</v>
      </c>
      <c r="AK336" s="2">
        <f t="shared" si="49"/>
        <v>7626.619999999999</v>
      </c>
      <c r="AL336" s="5">
        <f t="shared" si="50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8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46"/>
        <v>0</v>
      </c>
      <c r="AG337" s="2">
        <v>104.49</v>
      </c>
      <c r="AH337" s="2">
        <v>220</v>
      </c>
      <c r="AJ337" s="2">
        <f t="shared" si="47"/>
        <v>0</v>
      </c>
      <c r="AK337" s="2">
        <f t="shared" si="49"/>
        <v>79.510000000000005</v>
      </c>
      <c r="AL337" s="5">
        <f t="shared" si="50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8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46"/>
        <v>0</v>
      </c>
      <c r="AG338" s="2">
        <v>122.446</v>
      </c>
      <c r="AH338" s="2">
        <v>230</v>
      </c>
      <c r="AJ338" s="2">
        <f t="shared" si="47"/>
        <v>0</v>
      </c>
      <c r="AK338" s="2">
        <f t="shared" si="49"/>
        <v>92.554000000000002</v>
      </c>
      <c r="AL338" s="5">
        <f t="shared" si="50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8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46"/>
        <v>0</v>
      </c>
      <c r="AG339" s="2">
        <v>147.86000000000001</v>
      </c>
      <c r="AH339" s="2">
        <v>250</v>
      </c>
      <c r="AJ339" s="2">
        <f t="shared" si="47"/>
        <v>0</v>
      </c>
      <c r="AK339" s="2">
        <f t="shared" si="49"/>
        <v>82.139999999999986</v>
      </c>
      <c r="AL339" s="5">
        <f t="shared" si="50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8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46"/>
        <v>0</v>
      </c>
      <c r="AJ340" s="2">
        <f t="shared" si="47"/>
        <v>0</v>
      </c>
      <c r="AK340" s="2">
        <f t="shared" si="49"/>
        <v>0</v>
      </c>
      <c r="AL340" s="5">
        <f t="shared" si="50"/>
        <v>0</v>
      </c>
    </row>
    <row r="341" spans="1:38" x14ac:dyDescent="0.2">
      <c r="A341" s="2">
        <v>2025</v>
      </c>
      <c r="B341" s="2">
        <v>2</v>
      </c>
      <c r="C341" s="2" t="s">
        <v>3401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8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46"/>
        <v>0</v>
      </c>
      <c r="AJ341" s="2">
        <f t="shared" si="47"/>
        <v>0</v>
      </c>
      <c r="AK341" s="2">
        <f t="shared" si="49"/>
        <v>400</v>
      </c>
      <c r="AL341" s="5">
        <f t="shared" si="50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8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46"/>
        <v>0</v>
      </c>
      <c r="AG342" s="2">
        <v>246.77</v>
      </c>
      <c r="AJ342" s="2">
        <f t="shared" si="47"/>
        <v>0</v>
      </c>
      <c r="AK342" s="2">
        <f t="shared" si="49"/>
        <v>271.52</v>
      </c>
      <c r="AL342" s="5">
        <f t="shared" si="50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8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46"/>
        <v>0</v>
      </c>
      <c r="AJ343" s="2">
        <f t="shared" si="47"/>
        <v>0</v>
      </c>
      <c r="AK343" s="2">
        <f t="shared" si="49"/>
        <v>30</v>
      </c>
      <c r="AL343" s="5">
        <f t="shared" si="50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8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46"/>
        <v>0</v>
      </c>
      <c r="AJ344" s="2">
        <f t="shared" si="47"/>
        <v>0</v>
      </c>
      <c r="AK344" s="2">
        <f t="shared" si="49"/>
        <v>25</v>
      </c>
      <c r="AL344" s="5">
        <f t="shared" si="50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8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46"/>
        <v>0</v>
      </c>
      <c r="AG345" s="2">
        <v>12.1</v>
      </c>
      <c r="AH345" s="2">
        <v>22.2</v>
      </c>
      <c r="AJ345" s="2">
        <f t="shared" si="47"/>
        <v>0</v>
      </c>
      <c r="AK345" s="2">
        <f t="shared" si="49"/>
        <v>20.2</v>
      </c>
      <c r="AL345" s="5">
        <f t="shared" si="50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8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46"/>
        <v>0</v>
      </c>
      <c r="AG346" s="2">
        <v>3.7357999999999998</v>
      </c>
      <c r="AH346" s="2">
        <v>9</v>
      </c>
      <c r="AJ346" s="2">
        <f t="shared" si="47"/>
        <v>0</v>
      </c>
      <c r="AK346" s="2">
        <f t="shared" si="49"/>
        <v>16.256799999999998</v>
      </c>
      <c r="AL346" s="5">
        <f t="shared" si="50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8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46"/>
        <v>0</v>
      </c>
      <c r="AG347" s="2">
        <v>0.85609999999999997</v>
      </c>
      <c r="AH347" s="2">
        <v>1.8</v>
      </c>
      <c r="AJ347" s="2">
        <f t="shared" si="47"/>
        <v>0</v>
      </c>
      <c r="AK347" s="2">
        <f t="shared" si="49"/>
        <v>18.878</v>
      </c>
      <c r="AL347" s="5">
        <f t="shared" si="50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8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46"/>
        <v>0</v>
      </c>
      <c r="AG348" s="2">
        <v>3.7357999999999998</v>
      </c>
      <c r="AH348" s="2">
        <v>9</v>
      </c>
      <c r="AJ348" s="2">
        <f t="shared" si="47"/>
        <v>0</v>
      </c>
      <c r="AK348" s="2">
        <f t="shared" si="49"/>
        <v>4.0641999999999996</v>
      </c>
      <c r="AL348" s="5">
        <f t="shared" si="50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8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46"/>
        <v>0</v>
      </c>
      <c r="AG349" s="2">
        <v>7.2217000000000002</v>
      </c>
      <c r="AH349" s="2">
        <v>14.4</v>
      </c>
      <c r="AJ349" s="2">
        <f t="shared" si="47"/>
        <v>0</v>
      </c>
      <c r="AK349" s="2">
        <f t="shared" si="49"/>
        <v>5.9782999999999991</v>
      </c>
      <c r="AL349" s="5">
        <f t="shared" si="50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48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46"/>
        <v>0</v>
      </c>
      <c r="AJ350" s="2">
        <f t="shared" si="47"/>
        <v>0</v>
      </c>
      <c r="AK350" s="2">
        <f t="shared" si="49"/>
        <v>8.7550000000000008</v>
      </c>
      <c r="AL350" s="5">
        <f t="shared" si="50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48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46"/>
        <v>0</v>
      </c>
      <c r="AJ351" s="2">
        <f t="shared" si="47"/>
        <v>0</v>
      </c>
      <c r="AK351" s="2">
        <f t="shared" si="49"/>
        <v>10.593299999999999</v>
      </c>
      <c r="AL351" s="5">
        <f t="shared" si="50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48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46"/>
        <v>0</v>
      </c>
      <c r="AJ352" s="2">
        <f t="shared" si="47"/>
        <v>0</v>
      </c>
      <c r="AK352" s="2">
        <f t="shared" si="49"/>
        <v>12.575099999999999</v>
      </c>
      <c r="AL352" s="5">
        <f t="shared" si="50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48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46"/>
        <v>0</v>
      </c>
      <c r="AJ353" s="2">
        <f t="shared" si="47"/>
        <v>0</v>
      </c>
      <c r="AK353" s="2">
        <f t="shared" si="49"/>
        <v>7.5654000000000003</v>
      </c>
      <c r="AL353" s="5">
        <f t="shared" si="50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48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46"/>
        <v>0</v>
      </c>
      <c r="AJ354" s="2">
        <f t="shared" si="47"/>
        <v>0</v>
      </c>
      <c r="AK354" s="2">
        <f t="shared" si="49"/>
        <v>8.6732999999999993</v>
      </c>
      <c r="AL354" s="5">
        <f t="shared" si="50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48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46"/>
        <v>0</v>
      </c>
      <c r="AJ355" s="2">
        <f t="shared" si="47"/>
        <v>0</v>
      </c>
      <c r="AK355" s="2">
        <f t="shared" si="49"/>
        <v>9.9395999999999987</v>
      </c>
      <c r="AL355" s="5">
        <f t="shared" si="50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8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46"/>
        <v>0</v>
      </c>
      <c r="AG356" s="2">
        <v>10.6</v>
      </c>
      <c r="AH356" s="2">
        <v>18</v>
      </c>
      <c r="AJ356" s="2">
        <f t="shared" si="47"/>
        <v>0</v>
      </c>
      <c r="AK356" s="2">
        <f t="shared" si="49"/>
        <v>8.4</v>
      </c>
      <c r="AL356" s="5">
        <f t="shared" si="50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8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46"/>
        <v>0</v>
      </c>
      <c r="AG357" s="2">
        <v>15.494999999999999</v>
      </c>
      <c r="AH357" s="2">
        <v>36</v>
      </c>
      <c r="AJ357" s="2">
        <f t="shared" si="47"/>
        <v>0</v>
      </c>
      <c r="AK357" s="2">
        <f t="shared" si="49"/>
        <v>17.505000000000003</v>
      </c>
      <c r="AL357" s="5">
        <f t="shared" si="50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48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46"/>
        <v>0</v>
      </c>
      <c r="AG358" s="2">
        <v>7.9611999999999998</v>
      </c>
      <c r="AH358" s="2">
        <v>14.4</v>
      </c>
      <c r="AJ358" s="2">
        <f t="shared" si="47"/>
        <v>0</v>
      </c>
      <c r="AK358" s="2">
        <f t="shared" si="49"/>
        <v>7.0388000000000002</v>
      </c>
      <c r="AL358" s="5">
        <f t="shared" si="50"/>
        <v>0.46925333333333336</v>
      </c>
    </row>
    <row r="359" spans="1:38" x14ac:dyDescent="0.2">
      <c r="A359" s="2">
        <v>2025</v>
      </c>
      <c r="B359" s="2">
        <v>2</v>
      </c>
      <c r="C359" s="2" t="s">
        <v>3307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46"/>
        <v>0</v>
      </c>
      <c r="AJ359" s="2">
        <f t="shared" si="47"/>
        <v>0</v>
      </c>
      <c r="AK359" s="2">
        <f t="shared" si="49"/>
        <v>-614.66999999999996</v>
      </c>
    </row>
    <row r="360" spans="1:38" x14ac:dyDescent="0.2">
      <c r="A360" s="2">
        <v>2025</v>
      </c>
      <c r="B360" s="2">
        <v>2</v>
      </c>
      <c r="C360" s="2" t="s">
        <v>3307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1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46"/>
        <v>0</v>
      </c>
      <c r="AJ360" s="2">
        <f t="shared" si="47"/>
        <v>0</v>
      </c>
      <c r="AK360" s="2">
        <f t="shared" si="49"/>
        <v>1036.8</v>
      </c>
      <c r="AL360" s="5">
        <f t="shared" si="50"/>
        <v>0.33882352941176469</v>
      </c>
    </row>
    <row r="361" spans="1:38" x14ac:dyDescent="0.2">
      <c r="A361" s="2">
        <v>2025</v>
      </c>
      <c r="B361" s="2">
        <v>2</v>
      </c>
      <c r="C361" s="2" t="s">
        <v>3307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1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46"/>
        <v>0</v>
      </c>
      <c r="AJ361" s="2">
        <f t="shared" si="47"/>
        <v>0</v>
      </c>
      <c r="AK361" s="2">
        <f t="shared" ref="AK361:AK392" si="52">T361-W361</f>
        <v>1023.1600000000001</v>
      </c>
      <c r="AL361" s="5">
        <f t="shared" ref="AL361:AL392" si="53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1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46"/>
        <v>0</v>
      </c>
      <c r="AJ362" s="2">
        <f t="shared" si="47"/>
        <v>0</v>
      </c>
      <c r="AK362" s="2">
        <f t="shared" si="52"/>
        <v>355.75549999999998</v>
      </c>
      <c r="AL362" s="5">
        <f t="shared" si="53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1"/>
        <v>0.26286545454545451</v>
      </c>
      <c r="Z363" s="2" t="s">
        <v>104</v>
      </c>
      <c r="AA363" s="2" t="s">
        <v>616</v>
      </c>
      <c r="AB363" s="2" t="s">
        <v>3489</v>
      </c>
      <c r="AC363" s="2" t="s">
        <v>114</v>
      </c>
      <c r="AF363" s="2">
        <f t="shared" si="46"/>
        <v>0</v>
      </c>
      <c r="AJ363" s="2">
        <f t="shared" si="47"/>
        <v>0</v>
      </c>
      <c r="AK363" s="2">
        <f t="shared" si="52"/>
        <v>1445.7599999999998</v>
      </c>
      <c r="AL363" s="5">
        <f t="shared" si="53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1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46"/>
        <v>0</v>
      </c>
      <c r="AJ364" s="2">
        <f t="shared" si="47"/>
        <v>0</v>
      </c>
      <c r="AK364" s="2">
        <f t="shared" si="52"/>
        <v>818.07000000000016</v>
      </c>
      <c r="AL364" s="5">
        <f t="shared" si="53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1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46"/>
        <v>0</v>
      </c>
      <c r="AJ365" s="2">
        <f t="shared" si="47"/>
        <v>0</v>
      </c>
      <c r="AK365" s="2">
        <f t="shared" si="52"/>
        <v>118.18399999999997</v>
      </c>
      <c r="AL365" s="5">
        <f t="shared" si="53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1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46"/>
        <v>0</v>
      </c>
      <c r="AJ366" s="2">
        <f t="shared" si="47"/>
        <v>0</v>
      </c>
      <c r="AK366" s="2">
        <f t="shared" si="52"/>
        <v>18.75</v>
      </c>
      <c r="AL366" s="5">
        <f t="shared" si="53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1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46"/>
        <v>0</v>
      </c>
      <c r="AJ367" s="2">
        <f t="shared" si="47"/>
        <v>0</v>
      </c>
      <c r="AK367" s="2">
        <f t="shared" si="52"/>
        <v>134.48000000000002</v>
      </c>
      <c r="AL367" s="5">
        <f t="shared" si="53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1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46"/>
        <v>0</v>
      </c>
      <c r="AJ368" s="2">
        <f t="shared" si="47"/>
        <v>0</v>
      </c>
      <c r="AK368" s="2">
        <f t="shared" si="52"/>
        <v>58.949999999999996</v>
      </c>
      <c r="AL368" s="5">
        <f t="shared" si="53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1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46"/>
        <v>0</v>
      </c>
      <c r="AJ369" s="2">
        <f t="shared" si="47"/>
        <v>0</v>
      </c>
      <c r="AK369" s="2">
        <f t="shared" si="52"/>
        <v>45</v>
      </c>
      <c r="AL369" s="5">
        <f t="shared" si="53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1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46"/>
        <v>0</v>
      </c>
      <c r="AJ370" s="2">
        <f t="shared" si="47"/>
        <v>0</v>
      </c>
      <c r="AK370" s="2">
        <f t="shared" si="52"/>
        <v>26.700000000000003</v>
      </c>
      <c r="AL370" s="5">
        <f t="shared" si="53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1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46"/>
        <v>0</v>
      </c>
      <c r="AJ371" s="2">
        <f t="shared" si="47"/>
        <v>0</v>
      </c>
      <c r="AK371" s="2">
        <f t="shared" si="52"/>
        <v>5.2332999999999998</v>
      </c>
      <c r="AL371" s="5">
        <f t="shared" si="53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1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46"/>
        <v>0</v>
      </c>
      <c r="AJ372" s="2">
        <f t="shared" si="47"/>
        <v>0</v>
      </c>
      <c r="AK372" s="2">
        <f t="shared" si="52"/>
        <v>178</v>
      </c>
      <c r="AL372" s="5">
        <f t="shared" si="53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1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46"/>
        <v>0</v>
      </c>
      <c r="AJ373" s="2">
        <f t="shared" si="47"/>
        <v>0</v>
      </c>
      <c r="AK373" s="2">
        <f t="shared" si="52"/>
        <v>109.13999999999999</v>
      </c>
      <c r="AL373" s="5">
        <f t="shared" si="53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1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46"/>
        <v>0</v>
      </c>
      <c r="AJ374" s="2">
        <f t="shared" si="47"/>
        <v>0</v>
      </c>
      <c r="AK374" s="2">
        <f t="shared" si="52"/>
        <v>0</v>
      </c>
      <c r="AL374" s="5">
        <f t="shared" si="53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1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46"/>
        <v>0</v>
      </c>
      <c r="AG375" s="2">
        <v>110.68</v>
      </c>
      <c r="AH375" s="2">
        <v>210</v>
      </c>
      <c r="AJ375" s="2">
        <f t="shared" si="47"/>
        <v>0</v>
      </c>
      <c r="AK375" s="2">
        <f t="shared" si="52"/>
        <v>73.319999999999993</v>
      </c>
      <c r="AL375" s="5">
        <f t="shared" si="53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1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46"/>
        <v>0</v>
      </c>
      <c r="AJ376" s="2">
        <f t="shared" si="47"/>
        <v>0</v>
      </c>
      <c r="AK376" s="2">
        <f t="shared" si="52"/>
        <v>0</v>
      </c>
      <c r="AL376" s="5">
        <f t="shared" si="53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1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46"/>
        <v>0</v>
      </c>
      <c r="AJ377" s="2">
        <f t="shared" si="47"/>
        <v>0</v>
      </c>
      <c r="AK377" s="2">
        <f t="shared" si="52"/>
        <v>23.734599999999997</v>
      </c>
      <c r="AL377" s="5">
        <f t="shared" si="53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1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46"/>
        <v>0</v>
      </c>
      <c r="AJ378" s="2">
        <f t="shared" si="47"/>
        <v>0</v>
      </c>
      <c r="AK378" s="2">
        <f t="shared" si="52"/>
        <v>12.575099999999999</v>
      </c>
      <c r="AL378" s="5">
        <f t="shared" si="53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1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46"/>
        <v>0</v>
      </c>
      <c r="AG379" s="2">
        <v>9.14</v>
      </c>
      <c r="AH379" s="2">
        <v>16</v>
      </c>
      <c r="AJ379" s="2">
        <f t="shared" si="47"/>
        <v>0</v>
      </c>
      <c r="AK379" s="2">
        <f t="shared" si="52"/>
        <v>14.300000000000004</v>
      </c>
      <c r="AL379" s="5">
        <f t="shared" si="53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1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46"/>
        <v>0</v>
      </c>
      <c r="AJ380" s="2">
        <f t="shared" si="47"/>
        <v>0</v>
      </c>
      <c r="AK380" s="2">
        <f t="shared" si="52"/>
        <v>19.300000000000004</v>
      </c>
      <c r="AL380" s="5">
        <f t="shared" si="53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1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46"/>
        <v>0</v>
      </c>
      <c r="AG381" s="2">
        <v>15.020300000000001</v>
      </c>
      <c r="AH381" s="2">
        <v>27.6</v>
      </c>
      <c r="AJ381" s="2">
        <f t="shared" si="47"/>
        <v>0</v>
      </c>
      <c r="AK381" s="2">
        <f t="shared" si="52"/>
        <v>19.439099999999996</v>
      </c>
      <c r="AL381" s="5">
        <f t="shared" si="53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1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46"/>
        <v>0</v>
      </c>
      <c r="AJ382" s="2">
        <f t="shared" si="47"/>
        <v>0</v>
      </c>
      <c r="AK382" s="2">
        <f t="shared" si="52"/>
        <v>30</v>
      </c>
      <c r="AL382" s="5">
        <f t="shared" si="53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1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46"/>
        <v>0</v>
      </c>
      <c r="AJ383" s="2">
        <f t="shared" si="47"/>
        <v>0</v>
      </c>
      <c r="AK383" s="2">
        <f t="shared" si="52"/>
        <v>18.75</v>
      </c>
      <c r="AL383" s="5">
        <f t="shared" si="53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1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46"/>
        <v>0</v>
      </c>
      <c r="AG384" s="2">
        <v>13.59</v>
      </c>
      <c r="AJ384" s="2">
        <f t="shared" si="47"/>
        <v>0</v>
      </c>
      <c r="AK384" s="2">
        <f t="shared" si="52"/>
        <v>14.649999999999999</v>
      </c>
      <c r="AL384" s="5">
        <f t="shared" si="53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1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46"/>
        <v>0</v>
      </c>
      <c r="AG385" s="2">
        <f>9.75+0.63</f>
        <v>10.38</v>
      </c>
      <c r="AJ385" s="2">
        <f t="shared" si="47"/>
        <v>0</v>
      </c>
      <c r="AK385" s="2">
        <f t="shared" si="52"/>
        <v>9.8899999999999988</v>
      </c>
      <c r="AL385" s="5">
        <f t="shared" si="53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1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54">AJ386</f>
        <v>0</v>
      </c>
      <c r="AG386" s="2">
        <v>117.453</v>
      </c>
      <c r="AH386" s="2">
        <v>220</v>
      </c>
      <c r="AJ386" s="2">
        <f t="shared" ref="AJ386:AJ449" si="55">AI386*T386</f>
        <v>0</v>
      </c>
      <c r="AK386" s="2">
        <f t="shared" si="52"/>
        <v>97.546999999999997</v>
      </c>
      <c r="AL386" s="5">
        <f t="shared" si="53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1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54"/>
        <v>0</v>
      </c>
      <c r="AG387" s="2">
        <v>1.1399999999999999</v>
      </c>
      <c r="AH387" s="2">
        <v>1.1399999999999999</v>
      </c>
      <c r="AJ387" s="2">
        <f t="shared" si="55"/>
        <v>0</v>
      </c>
      <c r="AK387" s="2">
        <f t="shared" si="52"/>
        <v>0</v>
      </c>
      <c r="AL387" s="5">
        <f t="shared" si="53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1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54"/>
        <v>0</v>
      </c>
      <c r="AJ388" s="2">
        <f t="shared" si="55"/>
        <v>0</v>
      </c>
      <c r="AK388" s="2">
        <f t="shared" si="52"/>
        <v>705.45999999999992</v>
      </c>
      <c r="AL388" s="5">
        <f t="shared" si="53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1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54"/>
        <v>0</v>
      </c>
      <c r="AJ389" s="2">
        <f t="shared" si="55"/>
        <v>0</v>
      </c>
      <c r="AK389" s="2">
        <f t="shared" si="52"/>
        <v>166.8</v>
      </c>
      <c r="AL389" s="5">
        <f t="shared" si="53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1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54"/>
        <v>0</v>
      </c>
      <c r="AJ390" s="2">
        <f t="shared" si="55"/>
        <v>0</v>
      </c>
      <c r="AK390" s="2">
        <f t="shared" si="52"/>
        <v>25</v>
      </c>
      <c r="AL390" s="5">
        <f t="shared" si="53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1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54"/>
        <v>0</v>
      </c>
      <c r="AJ391" s="2">
        <f t="shared" si="55"/>
        <v>0</v>
      </c>
      <c r="AK391" s="2">
        <f t="shared" si="52"/>
        <v>22.027999999999999</v>
      </c>
      <c r="AL391" s="5">
        <f t="shared" si="53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1"/>
        <v>-0.2</v>
      </c>
      <c r="Z392" s="2" t="s">
        <v>169</v>
      </c>
      <c r="AA392" s="2" t="s">
        <v>169</v>
      </c>
      <c r="AF392" s="2">
        <f t="shared" si="54"/>
        <v>0</v>
      </c>
      <c r="AJ392" s="2">
        <f t="shared" si="55"/>
        <v>0</v>
      </c>
      <c r="AK392" s="2">
        <f t="shared" si="52"/>
        <v>-1</v>
      </c>
      <c r="AL392" s="5">
        <f t="shared" si="53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1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54"/>
        <v>0</v>
      </c>
      <c r="AJ393" s="2">
        <f t="shared" si="55"/>
        <v>0</v>
      </c>
      <c r="AK393" s="2">
        <f t="shared" ref="AK393:AK424" si="56">T393-W393</f>
        <v>127.01000000000002</v>
      </c>
      <c r="AL393" s="5">
        <f t="shared" ref="AL393:AL424" si="57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1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54"/>
        <v>0</v>
      </c>
      <c r="AJ394" s="2">
        <f t="shared" si="55"/>
        <v>0</v>
      </c>
      <c r="AK394" s="2">
        <f t="shared" si="56"/>
        <v>0</v>
      </c>
      <c r="AL394" s="5">
        <f t="shared" si="57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1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54"/>
        <v>0</v>
      </c>
      <c r="AJ395" s="2">
        <f t="shared" si="55"/>
        <v>0</v>
      </c>
      <c r="AK395" s="2">
        <f t="shared" si="56"/>
        <v>39.11999999999999</v>
      </c>
      <c r="AL395" s="5">
        <f t="shared" si="57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1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54"/>
        <v>0</v>
      </c>
      <c r="AJ396" s="2">
        <f t="shared" si="55"/>
        <v>0</v>
      </c>
      <c r="AK396" s="2">
        <f t="shared" si="56"/>
        <v>31.049999999999997</v>
      </c>
      <c r="AL396" s="5">
        <f t="shared" si="57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1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54"/>
        <v>0</v>
      </c>
      <c r="AJ397" s="2">
        <f t="shared" si="55"/>
        <v>0</v>
      </c>
      <c r="AK397" s="2">
        <f t="shared" si="56"/>
        <v>45</v>
      </c>
      <c r="AL397" s="5">
        <f t="shared" si="57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1"/>
        <v>1</v>
      </c>
      <c r="Z398" s="2" t="s">
        <v>119</v>
      </c>
      <c r="AA398" s="2" t="s">
        <v>3379</v>
      </c>
      <c r="AF398" s="2">
        <f t="shared" si="54"/>
        <v>0</v>
      </c>
      <c r="AJ398" s="2">
        <f t="shared" si="55"/>
        <v>0</v>
      </c>
      <c r="AK398" s="2">
        <f t="shared" si="56"/>
        <v>135</v>
      </c>
      <c r="AL398" s="5">
        <f t="shared" si="57"/>
        <v>1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1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54"/>
        <v>0</v>
      </c>
      <c r="AJ399" s="2">
        <f t="shared" si="55"/>
        <v>0</v>
      </c>
      <c r="AK399" s="2">
        <f t="shared" si="56"/>
        <v>362.28680000000003</v>
      </c>
      <c r="AL399" s="5">
        <f t="shared" si="57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54"/>
        <v>0</v>
      </c>
      <c r="AJ400" s="2">
        <f t="shared" si="55"/>
        <v>0</v>
      </c>
      <c r="AK400" s="2">
        <f t="shared" si="56"/>
        <v>0</v>
      </c>
      <c r="AL400" s="5" t="e">
        <f t="shared" si="57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58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54"/>
        <v>0</v>
      </c>
      <c r="AJ401" s="2">
        <f t="shared" si="55"/>
        <v>0</v>
      </c>
      <c r="AK401" s="2">
        <f t="shared" si="56"/>
        <v>45</v>
      </c>
      <c r="AL401" s="5">
        <f t="shared" si="57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8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54"/>
        <v>0</v>
      </c>
      <c r="AJ402" s="2">
        <f t="shared" si="55"/>
        <v>0</v>
      </c>
      <c r="AK402" s="2">
        <f t="shared" si="56"/>
        <v>1.2200000000000002</v>
      </c>
      <c r="AL402" s="5">
        <f t="shared" si="57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8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54"/>
        <v>0</v>
      </c>
      <c r="AJ403" s="2">
        <f t="shared" si="55"/>
        <v>0</v>
      </c>
      <c r="AK403" s="2">
        <f t="shared" si="56"/>
        <v>1.4700000000000006</v>
      </c>
      <c r="AL403" s="5">
        <f t="shared" si="57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8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54"/>
        <v>0</v>
      </c>
      <c r="AJ404" s="2">
        <f t="shared" si="55"/>
        <v>0</v>
      </c>
      <c r="AK404" s="2">
        <f t="shared" si="56"/>
        <v>1.4700000000000006</v>
      </c>
      <c r="AL404" s="5">
        <f t="shared" si="57"/>
        <v>0.24915254237288145</v>
      </c>
    </row>
    <row r="405" spans="1:38" x14ac:dyDescent="0.2">
      <c r="A405" s="2">
        <v>2025</v>
      </c>
      <c r="B405" s="2">
        <v>2</v>
      </c>
      <c r="C405" s="2" t="s">
        <v>3307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8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54"/>
        <v>0</v>
      </c>
      <c r="AG405" s="2">
        <v>10.6</v>
      </c>
      <c r="AH405" s="2">
        <v>18</v>
      </c>
      <c r="AJ405" s="2">
        <f t="shared" si="55"/>
        <v>0</v>
      </c>
      <c r="AK405" s="2">
        <f t="shared" si="56"/>
        <v>14.8</v>
      </c>
      <c r="AL405" s="5">
        <f t="shared" si="57"/>
        <v>0.41111111111111115</v>
      </c>
    </row>
    <row r="406" spans="1:38" x14ac:dyDescent="0.2">
      <c r="A406" s="2">
        <v>2025</v>
      </c>
      <c r="B406" s="2">
        <v>2</v>
      </c>
      <c r="C406" s="2" t="s">
        <v>3307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8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54"/>
        <v>0</v>
      </c>
      <c r="AG406" s="2">
        <v>8.1999999999999993</v>
      </c>
      <c r="AH406" s="2">
        <v>13</v>
      </c>
      <c r="AJ406" s="2">
        <f t="shared" si="55"/>
        <v>0</v>
      </c>
      <c r="AK406" s="2">
        <f t="shared" si="56"/>
        <v>4.7999999999999989</v>
      </c>
      <c r="AL406" s="5">
        <f t="shared" si="57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8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54"/>
        <v>0</v>
      </c>
      <c r="AG407" s="2">
        <v>117.453</v>
      </c>
      <c r="AH407" s="2">
        <v>220</v>
      </c>
      <c r="AJ407" s="2">
        <f t="shared" si="55"/>
        <v>0</v>
      </c>
      <c r="AK407" s="2">
        <f t="shared" si="56"/>
        <v>92.546999999999997</v>
      </c>
      <c r="AL407" s="5">
        <f t="shared" si="57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8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54"/>
        <v>0</v>
      </c>
      <c r="AJ408" s="2">
        <f t="shared" si="55"/>
        <v>0</v>
      </c>
      <c r="AK408" s="2">
        <f t="shared" si="56"/>
        <v>0</v>
      </c>
      <c r="AL408" s="5">
        <f t="shared" si="57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8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54"/>
        <v>0</v>
      </c>
      <c r="AG409" s="2">
        <v>7.2217000000000002</v>
      </c>
      <c r="AH409" s="2">
        <v>14.4</v>
      </c>
      <c r="AJ409" s="2">
        <f t="shared" si="55"/>
        <v>0</v>
      </c>
      <c r="AK409" s="2">
        <f t="shared" si="56"/>
        <v>5.9782999999999991</v>
      </c>
      <c r="AL409" s="5">
        <f t="shared" si="57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58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54"/>
        <v>0</v>
      </c>
      <c r="AG410" s="2">
        <v>9.0749999999999993</v>
      </c>
      <c r="AJ410" s="2">
        <f t="shared" si="55"/>
        <v>0</v>
      </c>
      <c r="AK410" s="2">
        <f t="shared" si="56"/>
        <v>21.375000000000004</v>
      </c>
      <c r="AL410" s="5">
        <f t="shared" si="57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58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54"/>
        <v>0</v>
      </c>
      <c r="AG411" s="2">
        <v>16.224900000000002</v>
      </c>
      <c r="AJ411" s="2">
        <f t="shared" si="55"/>
        <v>0</v>
      </c>
      <c r="AK411" s="2">
        <f t="shared" si="56"/>
        <v>25.150199999999998</v>
      </c>
      <c r="AL411" s="5">
        <f t="shared" si="57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8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54"/>
        <v>0</v>
      </c>
      <c r="AJ412" s="2">
        <f t="shared" si="55"/>
        <v>0</v>
      </c>
      <c r="AK412" s="2">
        <f t="shared" si="56"/>
        <v>75.140000000000015</v>
      </c>
      <c r="AL412" s="5">
        <f t="shared" si="57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8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54"/>
        <v>0</v>
      </c>
      <c r="AG413" s="2">
        <v>1.1399999999999999</v>
      </c>
      <c r="AH413" s="2">
        <v>1.1399999999999999</v>
      </c>
      <c r="AJ413" s="2">
        <f t="shared" si="55"/>
        <v>0</v>
      </c>
      <c r="AK413" s="2">
        <f t="shared" si="56"/>
        <v>0</v>
      </c>
      <c r="AL413" s="5">
        <f t="shared" si="57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8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54"/>
        <v>0</v>
      </c>
      <c r="AJ414" s="2">
        <f t="shared" si="55"/>
        <v>0</v>
      </c>
      <c r="AK414" s="2">
        <f t="shared" si="56"/>
        <v>75.140000000000015</v>
      </c>
      <c r="AL414" s="5">
        <f t="shared" si="57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8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54"/>
        <v>0</v>
      </c>
      <c r="AJ415" s="2">
        <f t="shared" si="55"/>
        <v>0</v>
      </c>
      <c r="AK415" s="2">
        <f t="shared" si="56"/>
        <v>0</v>
      </c>
      <c r="AL415" s="5">
        <f t="shared" si="57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58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54"/>
        <v>0</v>
      </c>
      <c r="AJ416" s="2">
        <f t="shared" si="55"/>
        <v>0</v>
      </c>
      <c r="AK416" s="2">
        <f t="shared" si="56"/>
        <v>72.618399999999994</v>
      </c>
      <c r="AL416" s="5">
        <f t="shared" si="57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8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54"/>
        <v>0</v>
      </c>
      <c r="AJ417" s="2">
        <f t="shared" si="55"/>
        <v>0</v>
      </c>
      <c r="AK417" s="2">
        <f t="shared" si="56"/>
        <v>3.339999999999999</v>
      </c>
      <c r="AL417" s="5">
        <f t="shared" si="57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8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54"/>
        <v>0</v>
      </c>
      <c r="AG418" s="2">
        <v>10.67</v>
      </c>
      <c r="AH418" s="2">
        <v>21</v>
      </c>
      <c r="AJ418" s="2">
        <f t="shared" si="55"/>
        <v>0</v>
      </c>
      <c r="AK418" s="2">
        <f t="shared" si="56"/>
        <v>7.33</v>
      </c>
      <c r="AL418" s="5">
        <f t="shared" si="57"/>
        <v>0.40722222222222221</v>
      </c>
    </row>
    <row r="419" spans="1:38" x14ac:dyDescent="0.2">
      <c r="A419" s="2">
        <v>2025</v>
      </c>
      <c r="B419" s="2">
        <v>2</v>
      </c>
      <c r="C419" s="2" t="s">
        <v>3303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3370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8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54"/>
        <v>0</v>
      </c>
      <c r="AJ419" s="2">
        <f t="shared" si="55"/>
        <v>0</v>
      </c>
      <c r="AK419" s="2">
        <f t="shared" si="56"/>
        <v>22.027999999999999</v>
      </c>
      <c r="AL419" s="5">
        <f t="shared" si="57"/>
        <v>0.48875083203905034</v>
      </c>
    </row>
    <row r="420" spans="1:38" x14ac:dyDescent="0.2">
      <c r="A420" s="2">
        <v>2025</v>
      </c>
      <c r="B420" s="2">
        <v>2</v>
      </c>
      <c r="C420" s="2" t="s">
        <v>3303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3370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8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54"/>
        <v>0</v>
      </c>
      <c r="AJ420" s="2">
        <f t="shared" si="55"/>
        <v>0</v>
      </c>
      <c r="AK420" s="2">
        <f t="shared" si="56"/>
        <v>34.904200000000003</v>
      </c>
      <c r="AL420" s="5">
        <f t="shared" si="57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58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54"/>
        <v>0</v>
      </c>
      <c r="AJ421" s="2">
        <f t="shared" si="55"/>
        <v>0</v>
      </c>
      <c r="AK421" s="2">
        <f t="shared" si="56"/>
        <v>134.47999999999999</v>
      </c>
      <c r="AL421" s="5">
        <f t="shared" si="57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58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54"/>
        <v>0</v>
      </c>
      <c r="AJ422" s="2">
        <f t="shared" si="55"/>
        <v>0</v>
      </c>
      <c r="AK422" s="2">
        <f t="shared" si="56"/>
        <v>385.03999999999996</v>
      </c>
      <c r="AL422" s="5">
        <f t="shared" si="57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58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54"/>
        <v>0</v>
      </c>
      <c r="AJ423" s="2">
        <f t="shared" si="55"/>
        <v>0</v>
      </c>
      <c r="AK423" s="2">
        <f t="shared" si="56"/>
        <v>19.329999999999998</v>
      </c>
      <c r="AL423" s="5">
        <f t="shared" si="57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8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54"/>
        <v>0</v>
      </c>
      <c r="AJ424" s="2">
        <f t="shared" si="55"/>
        <v>0</v>
      </c>
      <c r="AK424" s="2">
        <f t="shared" si="56"/>
        <v>50</v>
      </c>
      <c r="AL424" s="5">
        <f t="shared" si="57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8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54"/>
        <v>0</v>
      </c>
      <c r="AJ425" s="2">
        <f t="shared" si="55"/>
        <v>0</v>
      </c>
      <c r="AK425" s="2">
        <f t="shared" ref="AK425:AK456" si="59">T425-W425</f>
        <v>9.759999999999998</v>
      </c>
      <c r="AL425" s="5">
        <f t="shared" ref="AL425:AL454" si="60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8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54"/>
        <v>0</v>
      </c>
      <c r="AJ426" s="2">
        <f t="shared" si="55"/>
        <v>0</v>
      </c>
      <c r="AK426" s="2">
        <f t="shared" si="59"/>
        <v>25.730000000000004</v>
      </c>
      <c r="AL426" s="5">
        <f t="shared" si="60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58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54"/>
        <v>0</v>
      </c>
      <c r="AJ427" s="2">
        <f t="shared" si="55"/>
        <v>0</v>
      </c>
      <c r="AK427" s="2">
        <f t="shared" si="59"/>
        <v>8.9599999999999991</v>
      </c>
      <c r="AL427" s="5">
        <f t="shared" si="60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8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54"/>
        <v>0</v>
      </c>
      <c r="AG428" s="2">
        <v>8.1999999999999993</v>
      </c>
      <c r="AH428" s="2">
        <v>13</v>
      </c>
      <c r="AJ428" s="2">
        <f t="shared" si="55"/>
        <v>0</v>
      </c>
      <c r="AK428" s="2">
        <f t="shared" si="59"/>
        <v>4.7999999999999989</v>
      </c>
      <c r="AL428" s="5">
        <f t="shared" si="60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8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54"/>
        <v>0</v>
      </c>
      <c r="AG429" s="2">
        <f>110.125+11.77</f>
        <v>121.895</v>
      </c>
      <c r="AJ429" s="2">
        <f t="shared" si="55"/>
        <v>0</v>
      </c>
      <c r="AK429" s="2">
        <f t="shared" si="59"/>
        <v>144.85500000000002</v>
      </c>
      <c r="AL429" s="5">
        <f t="shared" si="60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8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54"/>
        <v>0</v>
      </c>
      <c r="AJ430" s="2">
        <f t="shared" si="55"/>
        <v>0</v>
      </c>
      <c r="AK430" s="2">
        <f t="shared" si="59"/>
        <v>0</v>
      </c>
      <c r="AL430" s="5">
        <f t="shared" si="60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58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54"/>
        <v>0</v>
      </c>
      <c r="AJ431" s="2">
        <f t="shared" si="55"/>
        <v>0</v>
      </c>
      <c r="AK431" s="2">
        <f t="shared" si="59"/>
        <v>25.356000000000002</v>
      </c>
      <c r="AL431" s="5">
        <f t="shared" si="60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8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54"/>
        <v>0</v>
      </c>
      <c r="AJ432" s="2">
        <f t="shared" si="55"/>
        <v>0</v>
      </c>
      <c r="AK432" s="2">
        <f t="shared" si="59"/>
        <v>30</v>
      </c>
      <c r="AL432" s="5">
        <f t="shared" si="60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1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54"/>
        <v>0</v>
      </c>
      <c r="AJ433" s="2">
        <f t="shared" si="55"/>
        <v>0</v>
      </c>
      <c r="AK433" s="2">
        <f t="shared" si="59"/>
        <v>25</v>
      </c>
      <c r="AL433" s="5">
        <f t="shared" si="60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1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54"/>
        <v>0</v>
      </c>
      <c r="AJ434" s="2">
        <f t="shared" si="55"/>
        <v>0</v>
      </c>
      <c r="AK434" s="2">
        <f t="shared" si="59"/>
        <v>43.432500000000005</v>
      </c>
      <c r="AL434" s="5">
        <f t="shared" si="60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1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54"/>
        <v>0</v>
      </c>
      <c r="AJ435" s="2">
        <f t="shared" si="55"/>
        <v>0</v>
      </c>
      <c r="AK435" s="2">
        <f t="shared" si="59"/>
        <v>45.599999999999994</v>
      </c>
      <c r="AL435" s="5">
        <f t="shared" si="60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1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54"/>
        <v>0</v>
      </c>
      <c r="AJ436" s="2">
        <f t="shared" si="55"/>
        <v>0</v>
      </c>
      <c r="AK436" s="2">
        <f t="shared" si="59"/>
        <v>18.75</v>
      </c>
      <c r="AL436" s="5">
        <f t="shared" si="60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1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54"/>
        <v>0</v>
      </c>
      <c r="AG437" s="2">
        <v>117.453</v>
      </c>
      <c r="AH437" s="2">
        <v>220</v>
      </c>
      <c r="AJ437" s="2">
        <f t="shared" si="55"/>
        <v>0</v>
      </c>
      <c r="AK437" s="2">
        <f t="shared" si="59"/>
        <v>92.546999999999997</v>
      </c>
      <c r="AL437" s="5">
        <f t="shared" si="60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1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54"/>
        <v>0</v>
      </c>
      <c r="AJ438" s="2">
        <f t="shared" si="55"/>
        <v>0</v>
      </c>
      <c r="AK438" s="2">
        <f t="shared" si="59"/>
        <v>0</v>
      </c>
      <c r="AL438" s="5">
        <f t="shared" si="60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1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54"/>
        <v>0</v>
      </c>
      <c r="AG439" s="2">
        <v>121.46</v>
      </c>
      <c r="AH439" s="2">
        <v>210</v>
      </c>
      <c r="AJ439" s="2">
        <f t="shared" si="55"/>
        <v>0</v>
      </c>
      <c r="AK439" s="2">
        <f t="shared" si="59"/>
        <v>98.54</v>
      </c>
      <c r="AL439" s="5">
        <f t="shared" si="60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1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54"/>
        <v>0</v>
      </c>
      <c r="AJ440" s="2">
        <f t="shared" si="55"/>
        <v>0</v>
      </c>
      <c r="AK440" s="2">
        <f t="shared" si="59"/>
        <v>0</v>
      </c>
      <c r="AL440" s="5">
        <f t="shared" si="60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1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54"/>
        <v>0</v>
      </c>
      <c r="AG441" s="2">
        <v>10.2346</v>
      </c>
      <c r="AH441" s="2">
        <v>18</v>
      </c>
      <c r="AJ441" s="2">
        <f t="shared" si="55"/>
        <v>0</v>
      </c>
      <c r="AK441" s="2">
        <f t="shared" si="59"/>
        <v>2.4000000000000004</v>
      </c>
      <c r="AL441" s="5">
        <f t="shared" si="60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1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54"/>
        <v>0</v>
      </c>
      <c r="AG442" s="2">
        <v>3.7357999999999998</v>
      </c>
      <c r="AH442" s="2">
        <v>9</v>
      </c>
      <c r="AJ442" s="2">
        <f t="shared" si="55"/>
        <v>0</v>
      </c>
      <c r="AK442" s="2">
        <f t="shared" si="59"/>
        <v>4.0641999999999996</v>
      </c>
      <c r="AL442" s="5">
        <f t="shared" si="60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1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54"/>
        <v>0</v>
      </c>
      <c r="AG443" s="2">
        <v>8.1999999999999993</v>
      </c>
      <c r="AH443" s="2">
        <v>13</v>
      </c>
      <c r="AJ443" s="2">
        <f t="shared" si="55"/>
        <v>0</v>
      </c>
      <c r="AK443" s="2">
        <f t="shared" si="59"/>
        <v>9.5999999999999979</v>
      </c>
      <c r="AL443" s="5">
        <f t="shared" si="60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1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54"/>
        <v>0</v>
      </c>
      <c r="AG444" s="2">
        <v>15.020300000000001</v>
      </c>
      <c r="AH444" s="2">
        <v>27.6</v>
      </c>
      <c r="AJ444" s="2">
        <f t="shared" si="55"/>
        <v>0</v>
      </c>
      <c r="AK444" s="2">
        <f t="shared" si="59"/>
        <v>5.9796999999999993</v>
      </c>
      <c r="AL444" s="5">
        <f t="shared" si="60"/>
        <v>0.28474761904761903</v>
      </c>
    </row>
    <row r="445" spans="1:38" x14ac:dyDescent="0.2">
      <c r="A445" s="2">
        <v>2025</v>
      </c>
      <c r="B445" s="2">
        <v>2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1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54"/>
        <v>0</v>
      </c>
      <c r="AJ445" s="2">
        <f t="shared" si="55"/>
        <v>0</v>
      </c>
      <c r="AK445" s="2">
        <f t="shared" si="59"/>
        <v>7.3945999999999987</v>
      </c>
      <c r="AL445" s="5">
        <f t="shared" si="60"/>
        <v>0.45393492940454261</v>
      </c>
    </row>
    <row r="446" spans="1:38" x14ac:dyDescent="0.2">
      <c r="A446" s="2">
        <v>2025</v>
      </c>
      <c r="B446" s="2">
        <v>2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1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54"/>
        <v>0</v>
      </c>
      <c r="AJ446" s="2">
        <f t="shared" si="55"/>
        <v>0</v>
      </c>
      <c r="AK446" s="2">
        <f t="shared" si="59"/>
        <v>63.9</v>
      </c>
      <c r="AL446" s="5">
        <f t="shared" si="60"/>
        <v>0.6</v>
      </c>
    </row>
    <row r="447" spans="1:38" x14ac:dyDescent="0.2">
      <c r="A447" s="2">
        <v>2025</v>
      </c>
      <c r="B447" s="2">
        <v>2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1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54"/>
        <v>0</v>
      </c>
      <c r="AJ447" s="2">
        <f t="shared" si="55"/>
        <v>0</v>
      </c>
      <c r="AK447" s="2">
        <f t="shared" si="59"/>
        <v>22.5</v>
      </c>
      <c r="AL447" s="5">
        <f t="shared" si="60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1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54"/>
        <v>0</v>
      </c>
      <c r="AJ448" s="2">
        <f t="shared" si="55"/>
        <v>0</v>
      </c>
      <c r="AK448" s="2">
        <f t="shared" si="59"/>
        <v>813.00750000000016</v>
      </c>
      <c r="AL448" s="5">
        <f t="shared" si="60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1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54"/>
        <v>0</v>
      </c>
      <c r="AJ449" s="2">
        <f t="shared" si="55"/>
        <v>0</v>
      </c>
      <c r="AK449" s="2">
        <f t="shared" si="59"/>
        <v>91.022500000000008</v>
      </c>
      <c r="AL449" s="5">
        <f t="shared" si="60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1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2">AJ450</f>
        <v>0</v>
      </c>
      <c r="AG450" s="2">
        <v>122.446</v>
      </c>
      <c r="AH450" s="2">
        <v>230</v>
      </c>
      <c r="AJ450" s="2">
        <f t="shared" ref="AJ450:AJ513" si="63">AI450*T450</f>
        <v>0</v>
      </c>
      <c r="AK450" s="2">
        <f t="shared" si="59"/>
        <v>97.554000000000002</v>
      </c>
      <c r="AL450" s="5">
        <f t="shared" si="60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1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2"/>
        <v>0</v>
      </c>
      <c r="AJ451" s="2">
        <f t="shared" si="63"/>
        <v>0</v>
      </c>
      <c r="AK451" s="2">
        <f t="shared" si="59"/>
        <v>0</v>
      </c>
      <c r="AL451" s="5">
        <f t="shared" si="60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1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2"/>
        <v>0</v>
      </c>
      <c r="AG452" s="2">
        <v>120.636</v>
      </c>
      <c r="AH452" s="2">
        <v>220</v>
      </c>
      <c r="AJ452" s="2">
        <f t="shared" si="63"/>
        <v>0</v>
      </c>
      <c r="AK452" s="2">
        <f t="shared" si="59"/>
        <v>79.364000000000004</v>
      </c>
      <c r="AL452" s="5">
        <f t="shared" si="60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1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2"/>
        <v>0</v>
      </c>
      <c r="AG453" s="2">
        <v>1.1399999999999999</v>
      </c>
      <c r="AH453" s="2">
        <v>1.1399999999999999</v>
      </c>
      <c r="AJ453" s="2">
        <f t="shared" si="63"/>
        <v>0</v>
      </c>
      <c r="AK453" s="2">
        <f t="shared" si="59"/>
        <v>0</v>
      </c>
      <c r="AL453" s="5">
        <f t="shared" si="60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1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2"/>
        <v>0</v>
      </c>
      <c r="AJ454" s="2">
        <f t="shared" si="63"/>
        <v>0</v>
      </c>
      <c r="AK454" s="2">
        <f t="shared" si="59"/>
        <v>22.027999999999999</v>
      </c>
      <c r="AL454" s="5">
        <f t="shared" si="60"/>
        <v>0.48875083203905034</v>
      </c>
    </row>
    <row r="455" spans="1:38" x14ac:dyDescent="0.2">
      <c r="A455" s="2">
        <v>2025</v>
      </c>
      <c r="B455" s="2">
        <v>2</v>
      </c>
      <c r="C455" s="2" t="s">
        <v>3307</v>
      </c>
      <c r="D455" s="2" t="s">
        <v>3305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3304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2"/>
        <v>0</v>
      </c>
      <c r="AJ455" s="2">
        <f t="shared" si="63"/>
        <v>0</v>
      </c>
      <c r="AK455" s="2">
        <f t="shared" si="59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3303</v>
      </c>
      <c r="D456" s="2" t="s">
        <v>3302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3301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64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2"/>
        <v>0</v>
      </c>
      <c r="AG456" s="2">
        <v>1244.2445</v>
      </c>
      <c r="AJ456" s="2">
        <f t="shared" si="63"/>
        <v>0</v>
      </c>
      <c r="AK456" s="2">
        <f t="shared" si="59"/>
        <v>255.75549999999998</v>
      </c>
      <c r="AL456" s="5">
        <f t="shared" ref="AL456:AL489" si="65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3307</v>
      </c>
      <c r="D457" s="2" t="s">
        <v>3305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3304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64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2"/>
        <v>0</v>
      </c>
      <c r="AJ457" s="2">
        <f t="shared" si="63"/>
        <v>0</v>
      </c>
      <c r="AK457" s="2">
        <f t="shared" ref="AK457:AK489" si="66">T457-W457</f>
        <v>6660.1200000000008</v>
      </c>
      <c r="AL457" s="5">
        <f t="shared" si="65"/>
        <v>0.40985353846153849</v>
      </c>
    </row>
    <row r="458" spans="1:38" x14ac:dyDescent="0.2">
      <c r="A458" s="2">
        <v>2025</v>
      </c>
      <c r="B458" s="2">
        <v>2</v>
      </c>
      <c r="C458" s="2" t="s">
        <v>3307</v>
      </c>
      <c r="D458" s="2" t="s">
        <v>3308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64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2"/>
        <v>0</v>
      </c>
      <c r="AJ458" s="2">
        <f t="shared" si="63"/>
        <v>0</v>
      </c>
      <c r="AK458" s="2">
        <f t="shared" si="66"/>
        <v>5320.6</v>
      </c>
      <c r="AL458" s="5">
        <f t="shared" si="65"/>
        <v>0.33274546591619764</v>
      </c>
    </row>
    <row r="459" spans="1:38" x14ac:dyDescent="0.2">
      <c r="A459" s="2">
        <v>2025</v>
      </c>
      <c r="B459" s="2">
        <v>2</v>
      </c>
      <c r="C459" s="2" t="s">
        <v>3303</v>
      </c>
      <c r="D459" s="2" t="s">
        <v>3302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3301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64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2"/>
        <v>0</v>
      </c>
      <c r="AJ459" s="2">
        <f t="shared" si="63"/>
        <v>0</v>
      </c>
      <c r="AK459" s="2">
        <f t="shared" si="66"/>
        <v>1157.3699999999999</v>
      </c>
      <c r="AL459" s="5">
        <f t="shared" si="65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64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2"/>
        <v>0</v>
      </c>
      <c r="AJ460" s="2">
        <f t="shared" si="63"/>
        <v>0</v>
      </c>
      <c r="AK460" s="2">
        <f t="shared" si="66"/>
        <v>60</v>
      </c>
      <c r="AL460" s="5">
        <f t="shared" si="65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64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2"/>
        <v>0</v>
      </c>
      <c r="AJ461" s="2">
        <f t="shared" si="63"/>
        <v>0</v>
      </c>
      <c r="AK461" s="2">
        <f t="shared" si="66"/>
        <v>68.75</v>
      </c>
      <c r="AL461" s="5">
        <f t="shared" si="65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64"/>
        <v>1</v>
      </c>
      <c r="Z462" s="2" t="s">
        <v>119</v>
      </c>
      <c r="AA462" s="2" t="s">
        <v>3379</v>
      </c>
      <c r="AF462" s="2">
        <f t="shared" si="62"/>
        <v>0</v>
      </c>
      <c r="AJ462" s="2">
        <f t="shared" si="63"/>
        <v>0</v>
      </c>
      <c r="AK462" s="2">
        <f t="shared" si="66"/>
        <v>105.73</v>
      </c>
      <c r="AL462" s="5">
        <f t="shared" si="65"/>
        <v>1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64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2"/>
        <v>0</v>
      </c>
      <c r="AG463" s="2">
        <v>6.6266999999999996</v>
      </c>
      <c r="AH463" s="2">
        <v>12</v>
      </c>
      <c r="AJ463" s="2">
        <f t="shared" si="63"/>
        <v>0</v>
      </c>
      <c r="AK463" s="2">
        <f t="shared" si="66"/>
        <v>5.3733000000000004</v>
      </c>
      <c r="AL463" s="5">
        <f t="shared" si="65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64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2"/>
        <v>0</v>
      </c>
      <c r="AG464" s="2">
        <v>10.6</v>
      </c>
      <c r="AH464" s="2">
        <v>18</v>
      </c>
      <c r="AJ464" s="2">
        <f t="shared" si="63"/>
        <v>0</v>
      </c>
      <c r="AK464" s="2">
        <f t="shared" si="66"/>
        <v>14.8</v>
      </c>
      <c r="AL464" s="5">
        <f t="shared" si="65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64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2"/>
        <v>0</v>
      </c>
      <c r="AG465" s="2">
        <v>9.14</v>
      </c>
      <c r="AH465" s="2">
        <v>16</v>
      </c>
      <c r="AJ465" s="2">
        <f t="shared" si="63"/>
        <v>0</v>
      </c>
      <c r="AK465" s="2">
        <f t="shared" si="66"/>
        <v>3.8600000000000012</v>
      </c>
      <c r="AL465" s="5">
        <f t="shared" si="65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64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2"/>
        <v>0</v>
      </c>
      <c r="AG466" s="2">
        <v>117.453</v>
      </c>
      <c r="AH466" s="2">
        <v>220</v>
      </c>
      <c r="AJ466" s="2">
        <f t="shared" si="63"/>
        <v>0</v>
      </c>
      <c r="AK466" s="2">
        <f t="shared" si="66"/>
        <v>82.546999999999997</v>
      </c>
      <c r="AL466" s="5">
        <f t="shared" si="65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64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2"/>
        <v>0</v>
      </c>
      <c r="AJ467" s="2">
        <f t="shared" si="63"/>
        <v>0</v>
      </c>
      <c r="AK467" s="2">
        <f t="shared" si="66"/>
        <v>0</v>
      </c>
      <c r="AL467" s="5">
        <f t="shared" si="65"/>
        <v>0</v>
      </c>
    </row>
    <row r="468" spans="1:38" x14ac:dyDescent="0.2">
      <c r="A468" s="2">
        <v>2025</v>
      </c>
      <c r="B468" s="2">
        <v>2</v>
      </c>
      <c r="D468" s="2" t="s">
        <v>847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F468" s="2">
        <f t="shared" si="62"/>
        <v>0</v>
      </c>
      <c r="AJ468" s="2">
        <f t="shared" si="63"/>
        <v>0</v>
      </c>
      <c r="AK468" s="2">
        <f t="shared" si="66"/>
        <v>0</v>
      </c>
      <c r="AL468" s="5" t="e">
        <f t="shared" si="65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2"/>
        <v>0</v>
      </c>
      <c r="AJ469" s="2">
        <f t="shared" si="63"/>
        <v>0</v>
      </c>
      <c r="AK469" s="2">
        <f t="shared" si="66"/>
        <v>0</v>
      </c>
      <c r="AL469" s="5" t="e">
        <f t="shared" si="65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7">(T470-W470)/T470</f>
        <v>1</v>
      </c>
      <c r="Z470" s="2" t="s">
        <v>119</v>
      </c>
      <c r="AA470" s="2" t="s">
        <v>3379</v>
      </c>
      <c r="AF470" s="2">
        <f t="shared" si="62"/>
        <v>0</v>
      </c>
      <c r="AJ470" s="2">
        <f t="shared" si="63"/>
        <v>0</v>
      </c>
      <c r="AK470" s="2">
        <f t="shared" si="66"/>
        <v>17.47</v>
      </c>
      <c r="AL470" s="5">
        <f t="shared" si="65"/>
        <v>1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7"/>
        <v>1</v>
      </c>
      <c r="Z471" s="2" t="s">
        <v>119</v>
      </c>
      <c r="AA471" s="2" t="s">
        <v>492</v>
      </c>
      <c r="AF471" s="2">
        <f t="shared" si="62"/>
        <v>0</v>
      </c>
      <c r="AJ471" s="2">
        <f t="shared" si="63"/>
        <v>0</v>
      </c>
      <c r="AK471" s="2">
        <f t="shared" si="66"/>
        <v>650</v>
      </c>
      <c r="AL471" s="5">
        <f t="shared" si="65"/>
        <v>1</v>
      </c>
    </row>
    <row r="472" spans="1:38" x14ac:dyDescent="0.2">
      <c r="A472" s="2">
        <v>2025</v>
      </c>
      <c r="B472" s="2">
        <v>2</v>
      </c>
      <c r="D472" s="2" t="s">
        <v>850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7"/>
        <v>0.85955555555555563</v>
      </c>
      <c r="Z472" s="2" t="s">
        <v>3226</v>
      </c>
      <c r="AA472" s="2" t="s">
        <v>155</v>
      </c>
      <c r="AB472" s="2" t="s">
        <v>3381</v>
      </c>
      <c r="AC472" s="2" t="s">
        <v>77</v>
      </c>
      <c r="AF472" s="2">
        <f t="shared" si="62"/>
        <v>0</v>
      </c>
      <c r="AJ472" s="2">
        <f t="shared" si="63"/>
        <v>0</v>
      </c>
      <c r="AK472" s="2">
        <f t="shared" si="66"/>
        <v>193.4</v>
      </c>
      <c r="AL472" s="5">
        <f t="shared" si="65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7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2"/>
        <v>0</v>
      </c>
      <c r="AG473" s="2">
        <v>9.3000000000000007</v>
      </c>
      <c r="AH473" s="2">
        <v>21</v>
      </c>
      <c r="AJ473" s="2">
        <f t="shared" si="63"/>
        <v>0</v>
      </c>
      <c r="AK473" s="2">
        <f t="shared" si="66"/>
        <v>8.6999999999999993</v>
      </c>
      <c r="AL473" s="5">
        <f t="shared" si="65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67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2"/>
        <v>0</v>
      </c>
      <c r="AJ474" s="2">
        <f t="shared" si="63"/>
        <v>0</v>
      </c>
      <c r="AK474" s="2">
        <f t="shared" si="66"/>
        <v>9.2650000000000006</v>
      </c>
      <c r="AL474" s="5">
        <f t="shared" si="65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67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2"/>
        <v>0</v>
      </c>
      <c r="AG475" s="2">
        <v>10.2346</v>
      </c>
      <c r="AH475" s="2">
        <v>18</v>
      </c>
      <c r="AJ475" s="2">
        <f t="shared" si="63"/>
        <v>0</v>
      </c>
      <c r="AK475" s="2">
        <f t="shared" si="66"/>
        <v>2.4000000000000004</v>
      </c>
      <c r="AL475" s="5">
        <f t="shared" si="65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67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2"/>
        <v>0</v>
      </c>
      <c r="AJ476" s="2">
        <f t="shared" si="63"/>
        <v>0</v>
      </c>
      <c r="AK476" s="2">
        <f t="shared" si="66"/>
        <v>8.8000000000000007</v>
      </c>
      <c r="AL476" s="5">
        <f t="shared" si="65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7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2"/>
        <v>0</v>
      </c>
      <c r="AJ477" s="2">
        <f t="shared" si="63"/>
        <v>0</v>
      </c>
      <c r="AK477" s="2">
        <f t="shared" si="66"/>
        <v>99.75</v>
      </c>
      <c r="AL477" s="5">
        <f t="shared" si="65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7"/>
        <v>1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2"/>
        <v>0</v>
      </c>
      <c r="AJ478" s="2">
        <f t="shared" si="63"/>
        <v>0</v>
      </c>
      <c r="AK478" s="2">
        <f t="shared" si="66"/>
        <v>-80.349999999999994</v>
      </c>
      <c r="AL478" s="5">
        <f t="shared" si="65"/>
        <v>1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7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2"/>
        <v>0</v>
      </c>
      <c r="AG479" s="2">
        <v>10.6</v>
      </c>
      <c r="AH479" s="2">
        <v>18</v>
      </c>
      <c r="AJ479" s="2">
        <f t="shared" si="63"/>
        <v>0</v>
      </c>
      <c r="AK479" s="2">
        <f t="shared" si="66"/>
        <v>14.8</v>
      </c>
      <c r="AL479" s="5">
        <f t="shared" si="65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7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2"/>
        <v>0</v>
      </c>
      <c r="AJ480" s="2">
        <f t="shared" si="63"/>
        <v>0</v>
      </c>
      <c r="AK480" s="2">
        <f t="shared" si="66"/>
        <v>4.04</v>
      </c>
      <c r="AL480" s="5">
        <f t="shared" si="65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7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2"/>
        <v>0</v>
      </c>
      <c r="AJ481" s="2">
        <f t="shared" si="63"/>
        <v>0</v>
      </c>
      <c r="AK481" s="2">
        <f t="shared" si="66"/>
        <v>28.709999999999994</v>
      </c>
      <c r="AL481" s="5">
        <f t="shared" si="65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7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2"/>
        <v>0</v>
      </c>
      <c r="AG482" s="2">
        <v>10.67</v>
      </c>
      <c r="AH482" s="2">
        <v>21</v>
      </c>
      <c r="AJ482" s="2">
        <f t="shared" si="63"/>
        <v>0</v>
      </c>
      <c r="AK482" s="2">
        <f t="shared" si="66"/>
        <v>7.33</v>
      </c>
      <c r="AL482" s="5">
        <f t="shared" si="65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7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2"/>
        <v>0</v>
      </c>
      <c r="AG483" s="2">
        <v>6.6266999999999996</v>
      </c>
      <c r="AH483" s="2">
        <v>12</v>
      </c>
      <c r="AJ483" s="2">
        <f t="shared" si="63"/>
        <v>0</v>
      </c>
      <c r="AK483" s="2">
        <f t="shared" si="66"/>
        <v>43.733000000000004</v>
      </c>
      <c r="AL483" s="5">
        <f t="shared" si="65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67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2"/>
        <v>0</v>
      </c>
      <c r="AG484" s="2">
        <v>10.2346</v>
      </c>
      <c r="AH484" s="2">
        <v>18</v>
      </c>
      <c r="AJ484" s="2">
        <f t="shared" si="63"/>
        <v>0</v>
      </c>
      <c r="AK484" s="2">
        <f t="shared" si="66"/>
        <v>2.4000000000000004</v>
      </c>
      <c r="AL484" s="5">
        <f t="shared" si="65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7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2"/>
        <v>0</v>
      </c>
      <c r="AG485" s="2">
        <v>14.12</v>
      </c>
      <c r="AH485" s="2">
        <v>28.8</v>
      </c>
      <c r="AJ485" s="2">
        <f t="shared" si="63"/>
        <v>0</v>
      </c>
      <c r="AK485" s="2">
        <f t="shared" si="66"/>
        <v>12.28</v>
      </c>
      <c r="AL485" s="5">
        <f t="shared" si="65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7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2"/>
        <v>0</v>
      </c>
      <c r="AJ486" s="2">
        <f t="shared" si="63"/>
        <v>0</v>
      </c>
      <c r="AK486" s="2">
        <f t="shared" si="66"/>
        <v>30</v>
      </c>
      <c r="AL486" s="5">
        <f t="shared" si="65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7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2"/>
        <v>0</v>
      </c>
      <c r="AJ487" s="2">
        <f t="shared" si="63"/>
        <v>0</v>
      </c>
      <c r="AK487" s="2">
        <f t="shared" si="66"/>
        <v>25</v>
      </c>
      <c r="AL487" s="5">
        <f t="shared" si="65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2"/>
        <v>0</v>
      </c>
      <c r="AJ488" s="2">
        <f t="shared" si="63"/>
        <v>0</v>
      </c>
      <c r="AK488" s="2">
        <f t="shared" si="66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2"/>
        <v>0</v>
      </c>
      <c r="AJ489" s="2">
        <f t="shared" si="63"/>
        <v>0</v>
      </c>
      <c r="AK489" s="2">
        <f t="shared" si="66"/>
        <v>1470.81</v>
      </c>
      <c r="AL489" s="5">
        <f t="shared" si="65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119</v>
      </c>
      <c r="AA490" s="2" t="s">
        <v>142</v>
      </c>
      <c r="AF490" s="2">
        <f t="shared" si="62"/>
        <v>0</v>
      </c>
      <c r="AJ490" s="2">
        <f t="shared" si="63"/>
        <v>0</v>
      </c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68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2"/>
        <v>0</v>
      </c>
      <c r="AG491" s="2">
        <v>10.2346</v>
      </c>
      <c r="AH491" s="2">
        <v>18</v>
      </c>
      <c r="AJ491" s="2">
        <f t="shared" si="63"/>
        <v>0</v>
      </c>
      <c r="AK491" s="2">
        <f t="shared" ref="AK491:AK528" si="69">T491-W491</f>
        <v>2.4000000000000004</v>
      </c>
      <c r="AL491" s="5">
        <f t="shared" ref="AL491:AL528" si="70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68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2"/>
        <v>0</v>
      </c>
      <c r="AJ492" s="2">
        <f t="shared" si="63"/>
        <v>0</v>
      </c>
      <c r="AK492" s="2">
        <f t="shared" si="69"/>
        <v>8.8000000000000007</v>
      </c>
      <c r="AL492" s="5">
        <f t="shared" si="70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68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2"/>
        <v>0</v>
      </c>
      <c r="AJ493" s="2">
        <f t="shared" si="63"/>
        <v>0</v>
      </c>
      <c r="AK493" s="2">
        <f t="shared" si="69"/>
        <v>10.569199999999999</v>
      </c>
      <c r="AL493" s="5">
        <f t="shared" si="70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8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2"/>
        <v>0</v>
      </c>
      <c r="AG494" s="2">
        <v>10.6</v>
      </c>
      <c r="AH494" s="2">
        <v>18</v>
      </c>
      <c r="AJ494" s="2">
        <f t="shared" si="63"/>
        <v>0</v>
      </c>
      <c r="AK494" s="2">
        <f t="shared" si="69"/>
        <v>14.8</v>
      </c>
      <c r="AL494" s="5">
        <f t="shared" si="70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8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2"/>
        <v>0</v>
      </c>
      <c r="AG495" s="2">
        <v>117.453</v>
      </c>
      <c r="AH495" s="2">
        <v>220</v>
      </c>
      <c r="AJ495" s="2">
        <f t="shared" si="63"/>
        <v>0</v>
      </c>
      <c r="AK495" s="2">
        <f t="shared" si="69"/>
        <v>72.466999999999985</v>
      </c>
      <c r="AL495" s="5">
        <f t="shared" si="70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8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2"/>
        <v>0</v>
      </c>
      <c r="AG496" s="2">
        <v>1.1399999999999999</v>
      </c>
      <c r="AH496" s="2">
        <v>1.1399999999999999</v>
      </c>
      <c r="AJ496" s="2">
        <f t="shared" si="63"/>
        <v>0</v>
      </c>
      <c r="AK496" s="2">
        <f t="shared" si="69"/>
        <v>0</v>
      </c>
      <c r="AL496" s="5">
        <f t="shared" si="70"/>
        <v>0</v>
      </c>
    </row>
    <row r="497" spans="1:38" x14ac:dyDescent="0.2">
      <c r="A497" s="2">
        <v>2025</v>
      </c>
      <c r="B497" s="2">
        <v>2</v>
      </c>
      <c r="C497" s="2" t="s">
        <v>3307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8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2"/>
        <v>0</v>
      </c>
      <c r="AJ497" s="2">
        <f t="shared" si="63"/>
        <v>0</v>
      </c>
      <c r="AK497" s="2">
        <f t="shared" si="69"/>
        <v>2459.4300000000003</v>
      </c>
      <c r="AL497" s="5">
        <f t="shared" si="70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8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2"/>
        <v>0</v>
      </c>
      <c r="AG498" s="2">
        <v>10.6</v>
      </c>
      <c r="AH498" s="2">
        <v>18</v>
      </c>
      <c r="AJ498" s="2">
        <f t="shared" si="63"/>
        <v>0</v>
      </c>
      <c r="AK498" s="2">
        <f t="shared" si="69"/>
        <v>108</v>
      </c>
      <c r="AL498" s="5">
        <f t="shared" si="70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8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2"/>
        <v>0</v>
      </c>
      <c r="AG499" s="2">
        <v>8.1999999999999993</v>
      </c>
      <c r="AH499" s="2">
        <v>13</v>
      </c>
      <c r="AJ499" s="2">
        <f t="shared" si="63"/>
        <v>0</v>
      </c>
      <c r="AK499" s="2">
        <f t="shared" si="69"/>
        <v>46</v>
      </c>
      <c r="AL499" s="5">
        <f t="shared" si="70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8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2"/>
        <v>0</v>
      </c>
      <c r="AG500" s="2">
        <v>117.453</v>
      </c>
      <c r="AH500" s="2">
        <v>220</v>
      </c>
      <c r="AJ500" s="2">
        <f t="shared" si="63"/>
        <v>0</v>
      </c>
      <c r="AK500" s="2">
        <f t="shared" si="69"/>
        <v>72.546999999999997</v>
      </c>
      <c r="AL500" s="5">
        <f t="shared" si="70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8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2"/>
        <v>0</v>
      </c>
      <c r="AJ501" s="2">
        <f t="shared" si="63"/>
        <v>0</v>
      </c>
      <c r="AK501" s="2">
        <f t="shared" si="69"/>
        <v>0</v>
      </c>
      <c r="AL501" s="5">
        <f t="shared" si="70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8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2"/>
        <v>0</v>
      </c>
      <c r="AG502" s="2">
        <v>117.453</v>
      </c>
      <c r="AH502" s="2">
        <v>220</v>
      </c>
      <c r="AJ502" s="2">
        <f t="shared" si="63"/>
        <v>0</v>
      </c>
      <c r="AK502" s="2">
        <f t="shared" si="69"/>
        <v>97.546999999999997</v>
      </c>
      <c r="AL502" s="5">
        <f t="shared" si="70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8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2"/>
        <v>0</v>
      </c>
      <c r="AJ503" s="2">
        <f t="shared" si="63"/>
        <v>0</v>
      </c>
      <c r="AK503" s="2">
        <f t="shared" si="69"/>
        <v>0</v>
      </c>
      <c r="AL503" s="5">
        <f t="shared" si="70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8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2"/>
        <v>0</v>
      </c>
      <c r="AJ504" s="2">
        <f t="shared" si="63"/>
        <v>0</v>
      </c>
      <c r="AK504" s="2">
        <f t="shared" si="69"/>
        <v>106.83</v>
      </c>
      <c r="AL504" s="5">
        <f t="shared" si="70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8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2"/>
        <v>0</v>
      </c>
      <c r="AJ505" s="2">
        <f t="shared" si="63"/>
        <v>0</v>
      </c>
      <c r="AK505" s="2">
        <f t="shared" si="69"/>
        <v>0</v>
      </c>
      <c r="AL505" s="5">
        <f t="shared" si="70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8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2"/>
        <v>0</v>
      </c>
      <c r="AG506" s="2">
        <v>1.4114</v>
      </c>
      <c r="AH506" s="2">
        <v>3</v>
      </c>
      <c r="AJ506" s="2">
        <f t="shared" si="63"/>
        <v>0</v>
      </c>
      <c r="AK506" s="2">
        <f t="shared" si="69"/>
        <v>19.771999999999998</v>
      </c>
      <c r="AL506" s="5">
        <f t="shared" si="70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8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2"/>
        <v>0</v>
      </c>
      <c r="AG507" s="2">
        <v>3.7357999999999998</v>
      </c>
      <c r="AH507" s="2">
        <v>9</v>
      </c>
      <c r="AJ507" s="2">
        <f t="shared" si="63"/>
        <v>0</v>
      </c>
      <c r="AK507" s="2">
        <f t="shared" si="69"/>
        <v>4.0641999999999996</v>
      </c>
      <c r="AL507" s="5">
        <f t="shared" si="70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8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2"/>
        <v>0</v>
      </c>
      <c r="AJ508" s="2">
        <f t="shared" si="63"/>
        <v>0</v>
      </c>
      <c r="AK508" s="2">
        <f t="shared" si="69"/>
        <v>59.808399999999999</v>
      </c>
      <c r="AL508" s="5">
        <f t="shared" si="70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2"/>
        <v>0</v>
      </c>
      <c r="AJ509" s="2">
        <f t="shared" si="63"/>
        <v>0</v>
      </c>
      <c r="AK509" s="2">
        <f t="shared" si="69"/>
        <v>-15.12</v>
      </c>
      <c r="AL509" s="5">
        <f t="shared" si="70"/>
        <v>1</v>
      </c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1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2"/>
        <v>0</v>
      </c>
      <c r="AG510" s="2">
        <v>120.636</v>
      </c>
      <c r="AH510" s="2">
        <v>220</v>
      </c>
      <c r="AJ510" s="2">
        <f t="shared" si="63"/>
        <v>0</v>
      </c>
      <c r="AK510" s="2">
        <f t="shared" si="69"/>
        <v>69.364000000000004</v>
      </c>
      <c r="AL510" s="5">
        <f t="shared" si="70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1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2"/>
        <v>0</v>
      </c>
      <c r="AJ511" s="2">
        <f t="shared" si="63"/>
        <v>0</v>
      </c>
      <c r="AK511" s="2">
        <f t="shared" si="69"/>
        <v>0</v>
      </c>
      <c r="AL511" s="5">
        <f t="shared" si="70"/>
        <v>0</v>
      </c>
    </row>
    <row r="512" spans="1:38" x14ac:dyDescent="0.2">
      <c r="A512" s="2">
        <v>2025</v>
      </c>
      <c r="B512" s="2">
        <v>2</v>
      </c>
      <c r="C512" s="2" t="s">
        <v>3471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1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2"/>
        <v>0</v>
      </c>
      <c r="AG512" s="2">
        <v>9.14</v>
      </c>
      <c r="AH512" s="2">
        <v>16</v>
      </c>
      <c r="AJ512" s="2">
        <f t="shared" si="63"/>
        <v>0</v>
      </c>
      <c r="AK512" s="2">
        <f t="shared" si="69"/>
        <v>13.600000000000009</v>
      </c>
      <c r="AL512" s="5">
        <f t="shared" si="70"/>
        <v>0.1295238095238096</v>
      </c>
    </row>
    <row r="513" spans="1:38" x14ac:dyDescent="0.2">
      <c r="A513" s="2">
        <v>2025</v>
      </c>
      <c r="B513" s="2">
        <v>2</v>
      </c>
      <c r="C513" s="2" t="s">
        <v>3471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1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2"/>
        <v>0</v>
      </c>
      <c r="AG513" s="2">
        <v>8.1999999999999993</v>
      </c>
      <c r="AH513" s="2">
        <v>13</v>
      </c>
      <c r="AJ513" s="2">
        <f t="shared" si="63"/>
        <v>0</v>
      </c>
      <c r="AK513" s="2">
        <f t="shared" si="69"/>
        <v>23</v>
      </c>
      <c r="AL513" s="5">
        <f t="shared" si="70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1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72">AJ514</f>
        <v>0</v>
      </c>
      <c r="AG514" s="2">
        <v>42.36</v>
      </c>
      <c r="AJ514" s="2">
        <f t="shared" ref="AJ514:AJ577" si="73">AI514*T514</f>
        <v>0</v>
      </c>
      <c r="AK514" s="2">
        <f t="shared" si="69"/>
        <v>38.340000000000003</v>
      </c>
      <c r="AL514" s="5">
        <f t="shared" si="70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71"/>
        <v>1</v>
      </c>
      <c r="Z515" s="2" t="s">
        <v>119</v>
      </c>
      <c r="AA515" s="2" t="s">
        <v>3379</v>
      </c>
      <c r="AF515" s="2">
        <f t="shared" si="72"/>
        <v>0</v>
      </c>
      <c r="AJ515" s="2">
        <f t="shared" si="73"/>
        <v>0</v>
      </c>
      <c r="AK515" s="2">
        <f t="shared" si="69"/>
        <v>135</v>
      </c>
      <c r="AL515" s="5">
        <f t="shared" si="70"/>
        <v>1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1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72"/>
        <v>0</v>
      </c>
      <c r="AG516" s="2">
        <v>9.14</v>
      </c>
      <c r="AH516" s="2">
        <v>16</v>
      </c>
      <c r="AJ516" s="2">
        <f t="shared" si="73"/>
        <v>0</v>
      </c>
      <c r="AK516" s="2">
        <f t="shared" si="69"/>
        <v>11.580000000000002</v>
      </c>
      <c r="AL516" s="5">
        <f t="shared" si="70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1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72"/>
        <v>0</v>
      </c>
      <c r="AG517" s="2">
        <v>8.1999999999999993</v>
      </c>
      <c r="AH517" s="2">
        <v>13</v>
      </c>
      <c r="AJ517" s="2">
        <f t="shared" si="73"/>
        <v>0</v>
      </c>
      <c r="AK517" s="2">
        <f t="shared" si="69"/>
        <v>11.399999999999999</v>
      </c>
      <c r="AL517" s="5">
        <f t="shared" si="70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1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72"/>
        <v>0</v>
      </c>
      <c r="AG518" s="2">
        <v>15.020300000000001</v>
      </c>
      <c r="AH518" s="2">
        <v>27.6</v>
      </c>
      <c r="AJ518" s="2">
        <f t="shared" si="73"/>
        <v>0</v>
      </c>
      <c r="AK518" s="2">
        <f t="shared" si="69"/>
        <v>5.9796999999999993</v>
      </c>
      <c r="AL518" s="5">
        <f t="shared" si="70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1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72"/>
        <v>0</v>
      </c>
      <c r="AJ519" s="2">
        <f t="shared" si="73"/>
        <v>0</v>
      </c>
      <c r="AK519" s="2">
        <f t="shared" si="69"/>
        <v>88.953200000000038</v>
      </c>
      <c r="AL519" s="5">
        <f t="shared" si="70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1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72"/>
        <v>0</v>
      </c>
      <c r="AJ520" s="2">
        <f t="shared" si="73"/>
        <v>0</v>
      </c>
      <c r="AK520" s="2">
        <f t="shared" si="69"/>
        <v>225</v>
      </c>
      <c r="AL520" s="5">
        <f t="shared" si="70"/>
        <v>0.25</v>
      </c>
    </row>
    <row r="521" spans="1:38" x14ac:dyDescent="0.2">
      <c r="A521" s="2">
        <v>2025</v>
      </c>
      <c r="B521" s="2">
        <v>2</v>
      </c>
      <c r="C521" s="2" t="s">
        <v>3401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1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72"/>
        <v>0</v>
      </c>
      <c r="AJ521" s="2">
        <f t="shared" si="73"/>
        <v>0</v>
      </c>
      <c r="AK521" s="2">
        <f t="shared" si="69"/>
        <v>138.01999999999998</v>
      </c>
      <c r="AL521" s="5">
        <f t="shared" si="70"/>
        <v>0.53084615384615375</v>
      </c>
    </row>
    <row r="522" spans="1:38" x14ac:dyDescent="0.2">
      <c r="A522" s="2">
        <v>2025</v>
      </c>
      <c r="B522" s="2">
        <v>2</v>
      </c>
      <c r="C522" s="2" t="s">
        <v>3401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1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72"/>
        <v>0</v>
      </c>
      <c r="AG522" s="2">
        <v>1.1399999999999999</v>
      </c>
      <c r="AH522" s="2">
        <v>1.1399999999999999</v>
      </c>
      <c r="AJ522" s="2">
        <f t="shared" si="73"/>
        <v>0</v>
      </c>
      <c r="AK522" s="2">
        <f t="shared" si="69"/>
        <v>0</v>
      </c>
      <c r="AL522" s="5">
        <f t="shared" si="70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1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72"/>
        <v>0</v>
      </c>
      <c r="AJ523" s="2">
        <f t="shared" si="73"/>
        <v>0</v>
      </c>
      <c r="AK523" s="2">
        <f t="shared" si="69"/>
        <v>354.09659999999997</v>
      </c>
      <c r="AL523" s="5">
        <f t="shared" si="70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1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72"/>
        <v>0</v>
      </c>
      <c r="AJ524" s="2">
        <f t="shared" si="73"/>
        <v>0</v>
      </c>
      <c r="AK524" s="2">
        <f t="shared" si="69"/>
        <v>70.199999999999989</v>
      </c>
      <c r="AL524" s="5">
        <f t="shared" si="70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1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72"/>
        <v>0</v>
      </c>
      <c r="AJ525" s="2">
        <f t="shared" si="73"/>
        <v>0</v>
      </c>
      <c r="AK525" s="2">
        <f t="shared" si="69"/>
        <v>50</v>
      </c>
      <c r="AL525" s="5">
        <f t="shared" si="70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1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72"/>
        <v>0</v>
      </c>
      <c r="AG526" s="2">
        <v>10.6</v>
      </c>
      <c r="AH526" s="2">
        <v>18</v>
      </c>
      <c r="AJ526" s="2">
        <f t="shared" si="73"/>
        <v>0</v>
      </c>
      <c r="AK526" s="2">
        <f t="shared" si="69"/>
        <v>7.4</v>
      </c>
      <c r="AL526" s="5">
        <f t="shared" si="70"/>
        <v>0.41111111111111115</v>
      </c>
    </row>
    <row r="527" spans="1:38" x14ac:dyDescent="0.2">
      <c r="A527" s="2">
        <v>2025</v>
      </c>
      <c r="B527" s="2">
        <v>2</v>
      </c>
      <c r="C527" s="2" t="s">
        <v>3401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1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72"/>
        <v>0</v>
      </c>
      <c r="AG527" s="2">
        <v>117.453</v>
      </c>
      <c r="AH527" s="2">
        <v>220</v>
      </c>
      <c r="AJ527" s="2">
        <f t="shared" si="73"/>
        <v>0</v>
      </c>
      <c r="AK527" s="2">
        <f t="shared" si="69"/>
        <v>87.546999999999997</v>
      </c>
      <c r="AL527" s="5">
        <f t="shared" si="70"/>
        <v>0.42705853658536586</v>
      </c>
    </row>
    <row r="528" spans="1:38" x14ac:dyDescent="0.2">
      <c r="A528" s="2">
        <v>2025</v>
      </c>
      <c r="B528" s="2">
        <v>2</v>
      </c>
      <c r="C528" s="2" t="s">
        <v>3401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1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72"/>
        <v>0</v>
      </c>
      <c r="AJ528" s="2">
        <f t="shared" si="73"/>
        <v>0</v>
      </c>
      <c r="AK528" s="2">
        <f t="shared" si="69"/>
        <v>0</v>
      </c>
      <c r="AL528" s="5">
        <f t="shared" si="70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72"/>
        <v>0</v>
      </c>
      <c r="AG529" s="2">
        <v>121.46</v>
      </c>
      <c r="AH529" s="2">
        <v>210</v>
      </c>
      <c r="AJ529" s="2">
        <f t="shared" si="73"/>
        <v>0</v>
      </c>
      <c r="AK529" s="2">
        <f>T529+(W529)</f>
        <v>-90.14</v>
      </c>
      <c r="AL529" s="18">
        <f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72"/>
        <v>0</v>
      </c>
      <c r="AJ530" s="2">
        <f t="shared" si="73"/>
        <v>0</v>
      </c>
      <c r="AK530" s="2">
        <f>T530+(W530)</f>
        <v>0</v>
      </c>
      <c r="AL530" s="34">
        <f>SIGN(T530)*((ABS(T530)-W530)/ABS(T530))</f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74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72"/>
        <v>0</v>
      </c>
      <c r="AJ531" s="2">
        <f t="shared" si="73"/>
        <v>0</v>
      </c>
      <c r="AK531" s="2">
        <f t="shared" ref="AK531:AK561" si="75">T531-W531</f>
        <v>483.69659999999999</v>
      </c>
      <c r="AL531" s="5">
        <f t="shared" ref="AL531:AL561" si="76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74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72"/>
        <v>0</v>
      </c>
      <c r="AJ532" s="2">
        <f t="shared" si="73"/>
        <v>0</v>
      </c>
      <c r="AK532" s="2">
        <f t="shared" si="75"/>
        <v>49.350000000000023</v>
      </c>
      <c r="AL532" s="5">
        <f t="shared" si="76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74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72"/>
        <v>0</v>
      </c>
      <c r="AJ533" s="2">
        <f t="shared" si="73"/>
        <v>0</v>
      </c>
      <c r="AK533" s="2">
        <f t="shared" si="75"/>
        <v>158</v>
      </c>
      <c r="AL533" s="5">
        <f t="shared" si="76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77">T534</f>
        <v>16.8</v>
      </c>
      <c r="W534" s="2">
        <f>9.2346*S534</f>
        <v>9.2346000000000004</v>
      </c>
      <c r="X534" s="5">
        <f t="shared" si="74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72"/>
        <v>0</v>
      </c>
      <c r="AJ534" s="2">
        <f t="shared" si="73"/>
        <v>0</v>
      </c>
      <c r="AK534" s="2">
        <f t="shared" si="75"/>
        <v>7.5654000000000003</v>
      </c>
      <c r="AL534" s="5">
        <f t="shared" si="76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77"/>
        <v>19.2</v>
      </c>
      <c r="W535" s="2">
        <f>10.5267*S535</f>
        <v>10.5267</v>
      </c>
      <c r="X535" s="5">
        <f t="shared" si="74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72"/>
        <v>0</v>
      </c>
      <c r="AJ535" s="2">
        <f t="shared" si="73"/>
        <v>0</v>
      </c>
      <c r="AK535" s="2">
        <f t="shared" si="75"/>
        <v>8.6732999999999993</v>
      </c>
      <c r="AL535" s="5">
        <f t="shared" si="76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77"/>
        <v>110</v>
      </c>
      <c r="W536" s="2">
        <f>0.082*S536</f>
        <v>82</v>
      </c>
      <c r="X536" s="5">
        <f t="shared" si="74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72"/>
        <v>0</v>
      </c>
      <c r="AG536" s="2">
        <v>8.1999999999999993</v>
      </c>
      <c r="AH536" s="2">
        <v>13</v>
      </c>
      <c r="AJ536" s="2">
        <f t="shared" si="73"/>
        <v>0</v>
      </c>
      <c r="AK536" s="2">
        <f t="shared" si="75"/>
        <v>28</v>
      </c>
      <c r="AL536" s="5">
        <f t="shared" si="76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77"/>
        <v>21</v>
      </c>
      <c r="W537" s="2">
        <f>7.9612*S537</f>
        <v>7.9611999999999998</v>
      </c>
      <c r="X537" s="5">
        <f t="shared" si="74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72"/>
        <v>0</v>
      </c>
      <c r="AG537" s="2">
        <v>7.9611999999999998</v>
      </c>
      <c r="AH537" s="2">
        <v>14.4</v>
      </c>
      <c r="AJ537" s="2">
        <f t="shared" si="73"/>
        <v>0</v>
      </c>
      <c r="AK537" s="2">
        <f t="shared" si="75"/>
        <v>13.0388</v>
      </c>
      <c r="AL537" s="5">
        <f t="shared" si="76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77"/>
        <v>21</v>
      </c>
      <c r="W538" s="2">
        <f>15.0203*S538</f>
        <v>15.020300000000001</v>
      </c>
      <c r="X538" s="5">
        <f t="shared" si="74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72"/>
        <v>0</v>
      </c>
      <c r="AG538" s="2">
        <v>15.020300000000001</v>
      </c>
      <c r="AH538" s="2">
        <v>27.6</v>
      </c>
      <c r="AJ538" s="2">
        <f t="shared" si="73"/>
        <v>0</v>
      </c>
      <c r="AK538" s="2">
        <f t="shared" si="75"/>
        <v>5.9796999999999993</v>
      </c>
      <c r="AL538" s="5">
        <f t="shared" si="76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77"/>
        <v>3.6</v>
      </c>
      <c r="W539" s="2">
        <f>0.0251*S539</f>
        <v>2.5100000000000002</v>
      </c>
      <c r="X539" s="5">
        <f t="shared" si="74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72"/>
        <v>0</v>
      </c>
      <c r="AJ539" s="2">
        <f t="shared" si="73"/>
        <v>0</v>
      </c>
      <c r="AK539" s="2">
        <f t="shared" si="75"/>
        <v>1.0899999999999999</v>
      </c>
      <c r="AL539" s="5">
        <f t="shared" si="76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77"/>
        <v>6</v>
      </c>
      <c r="W540" s="2">
        <v>2.94</v>
      </c>
      <c r="X540" s="5">
        <f t="shared" si="74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72"/>
        <v>0</v>
      </c>
      <c r="AJ540" s="2">
        <f t="shared" si="73"/>
        <v>0</v>
      </c>
      <c r="AK540" s="2">
        <f t="shared" si="75"/>
        <v>3.06</v>
      </c>
      <c r="AL540" s="5">
        <f t="shared" si="76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74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72"/>
        <v>0</v>
      </c>
      <c r="AJ541" s="2">
        <f t="shared" si="73"/>
        <v>0</v>
      </c>
      <c r="AK541" s="2">
        <f t="shared" si="75"/>
        <v>58.480099999999993</v>
      </c>
      <c r="AL541" s="5">
        <f t="shared" si="76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74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72"/>
        <v>0</v>
      </c>
      <c r="AG542" s="2">
        <v>117.453</v>
      </c>
      <c r="AH542" s="2">
        <v>220</v>
      </c>
      <c r="AJ542" s="2">
        <f t="shared" si="73"/>
        <v>0</v>
      </c>
      <c r="AK542" s="2">
        <f t="shared" si="75"/>
        <v>185.09399999999999</v>
      </c>
      <c r="AL542" s="5">
        <f t="shared" si="76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74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72"/>
        <v>0</v>
      </c>
      <c r="AJ543" s="2">
        <f t="shared" si="73"/>
        <v>0</v>
      </c>
      <c r="AK543" s="2">
        <f t="shared" si="75"/>
        <v>0</v>
      </c>
      <c r="AL543" s="5">
        <f t="shared" si="76"/>
        <v>0</v>
      </c>
    </row>
    <row r="544" spans="1:38" x14ac:dyDescent="0.2">
      <c r="A544" s="2">
        <v>2025</v>
      </c>
      <c r="B544" s="2">
        <v>3</v>
      </c>
      <c r="C544" s="2" t="s">
        <v>3472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74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72"/>
        <v>0</v>
      </c>
      <c r="AG544" s="2">
        <v>10.6</v>
      </c>
      <c r="AH544" s="2">
        <v>18</v>
      </c>
      <c r="AJ544" s="2">
        <f t="shared" si="73"/>
        <v>0</v>
      </c>
      <c r="AK544" s="2">
        <f t="shared" si="75"/>
        <v>7.4</v>
      </c>
      <c r="AL544" s="5">
        <f t="shared" si="76"/>
        <v>0.41111111111111115</v>
      </c>
    </row>
    <row r="545" spans="1:38" x14ac:dyDescent="0.2">
      <c r="A545" s="2">
        <v>2025</v>
      </c>
      <c r="B545" s="2">
        <v>3</v>
      </c>
      <c r="D545" s="2" t="s">
        <v>940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74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72"/>
        <v>0</v>
      </c>
      <c r="AG545" s="2">
        <v>291.58999999999997</v>
      </c>
      <c r="AH545" s="2">
        <v>450</v>
      </c>
      <c r="AJ545" s="2">
        <f t="shared" si="73"/>
        <v>0</v>
      </c>
      <c r="AK545" s="2">
        <f t="shared" si="75"/>
        <v>328.82000000000005</v>
      </c>
      <c r="AL545" s="5">
        <f t="shared" si="76"/>
        <v>0.36054824561403515</v>
      </c>
    </row>
    <row r="546" spans="1:38" x14ac:dyDescent="0.2">
      <c r="A546" s="2">
        <v>2025</v>
      </c>
      <c r="B546" s="2">
        <v>3</v>
      </c>
      <c r="D546" s="2" t="s">
        <v>940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74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72"/>
        <v>0</v>
      </c>
      <c r="AJ546" s="2">
        <f t="shared" si="73"/>
        <v>0</v>
      </c>
      <c r="AK546" s="2">
        <f t="shared" si="75"/>
        <v>0</v>
      </c>
      <c r="AL546" s="5">
        <f t="shared" si="76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74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72"/>
        <v>0</v>
      </c>
      <c r="AJ547" s="2">
        <f t="shared" si="73"/>
        <v>0</v>
      </c>
      <c r="AK547" s="2">
        <f t="shared" si="75"/>
        <v>7.3649999999999984</v>
      </c>
      <c r="AL547" s="5">
        <f t="shared" si="76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74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72"/>
        <v>0</v>
      </c>
      <c r="AG548" s="2">
        <v>10.6</v>
      </c>
      <c r="AH548" s="2">
        <v>18</v>
      </c>
      <c r="AJ548" s="2">
        <f t="shared" si="73"/>
        <v>0</v>
      </c>
      <c r="AK548" s="2">
        <f t="shared" si="75"/>
        <v>14.8</v>
      </c>
      <c r="AL548" s="5">
        <f t="shared" si="76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74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72"/>
        <v>0</v>
      </c>
      <c r="AG549" s="2">
        <v>8.1999999999999993</v>
      </c>
      <c r="AH549" s="2">
        <v>13</v>
      </c>
      <c r="AJ549" s="2">
        <f t="shared" si="73"/>
        <v>0</v>
      </c>
      <c r="AK549" s="2">
        <f t="shared" si="75"/>
        <v>9.5999999999999979</v>
      </c>
      <c r="AL549" s="5">
        <f t="shared" si="76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74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72"/>
        <v>0</v>
      </c>
      <c r="AJ550" s="2">
        <f t="shared" si="73"/>
        <v>0</v>
      </c>
      <c r="AK550" s="2">
        <f t="shared" si="75"/>
        <v>2.25</v>
      </c>
      <c r="AL550" s="5">
        <f t="shared" si="76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74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72"/>
        <v>0</v>
      </c>
      <c r="AJ551" s="2">
        <f t="shared" si="73"/>
        <v>0</v>
      </c>
      <c r="AK551" s="2">
        <f t="shared" si="75"/>
        <v>11.770000000000001</v>
      </c>
      <c r="AL551" s="5">
        <f t="shared" si="76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74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72"/>
        <v>0</v>
      </c>
      <c r="AJ552" s="2">
        <f t="shared" si="73"/>
        <v>0</v>
      </c>
      <c r="AK552" s="2">
        <f t="shared" si="75"/>
        <v>7.3649999999999984</v>
      </c>
      <c r="AL552" s="5">
        <f t="shared" si="76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74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72"/>
        <v>0</v>
      </c>
      <c r="AJ553" s="2">
        <f t="shared" si="73"/>
        <v>0</v>
      </c>
      <c r="AK553" s="2">
        <f t="shared" si="75"/>
        <v>7.125</v>
      </c>
      <c r="AL553" s="5">
        <f t="shared" si="76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74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72"/>
        <v>0</v>
      </c>
      <c r="AJ554" s="2">
        <f t="shared" si="73"/>
        <v>0</v>
      </c>
      <c r="AK554" s="2">
        <f t="shared" si="75"/>
        <v>17.510000000000002</v>
      </c>
      <c r="AL554" s="5">
        <f t="shared" si="76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74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72"/>
        <v>0</v>
      </c>
      <c r="AG555" s="2">
        <v>8.1999999999999993</v>
      </c>
      <c r="AH555" s="2">
        <v>13</v>
      </c>
      <c r="AJ555" s="2">
        <f t="shared" si="73"/>
        <v>0</v>
      </c>
      <c r="AK555" s="2">
        <f t="shared" si="75"/>
        <v>4.7999999999999989</v>
      </c>
      <c r="AL555" s="5">
        <f t="shared" si="76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74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72"/>
        <v>0</v>
      </c>
      <c r="AJ556" s="2">
        <f t="shared" si="73"/>
        <v>0</v>
      </c>
      <c r="AK556" s="2">
        <f t="shared" si="75"/>
        <v>13.720000000000002</v>
      </c>
      <c r="AL556" s="5">
        <f t="shared" si="76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74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72"/>
        <v>0</v>
      </c>
      <c r="AJ557" s="2">
        <f t="shared" si="73"/>
        <v>0</v>
      </c>
      <c r="AK557" s="2">
        <f t="shared" si="75"/>
        <v>30</v>
      </c>
      <c r="AL557" s="5">
        <f t="shared" si="76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74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72"/>
        <v>0</v>
      </c>
      <c r="AJ558" s="2">
        <f t="shared" si="73"/>
        <v>0</v>
      </c>
      <c r="AK558" s="2">
        <f t="shared" si="75"/>
        <v>37.5</v>
      </c>
      <c r="AL558" s="5">
        <f t="shared" si="76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74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72"/>
        <v>0</v>
      </c>
      <c r="AG559" s="2">
        <v>6.6266999999999996</v>
      </c>
      <c r="AH559" s="2">
        <v>12</v>
      </c>
      <c r="AJ559" s="2">
        <f t="shared" si="73"/>
        <v>0</v>
      </c>
      <c r="AK559" s="2">
        <f t="shared" si="75"/>
        <v>5.3733000000000004</v>
      </c>
      <c r="AL559" s="5">
        <f t="shared" si="76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74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72"/>
        <v>0</v>
      </c>
      <c r="AJ560" s="2">
        <f t="shared" si="73"/>
        <v>0</v>
      </c>
      <c r="AK560" s="2">
        <f t="shared" si="75"/>
        <v>3.06</v>
      </c>
      <c r="AL560" s="5">
        <f t="shared" si="76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74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72"/>
        <v>0</v>
      </c>
      <c r="AJ561" s="2">
        <f t="shared" si="73"/>
        <v>0</v>
      </c>
      <c r="AK561" s="2">
        <f t="shared" si="75"/>
        <v>3.4948999999999999</v>
      </c>
      <c r="AL561" s="5">
        <f t="shared" si="76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72"/>
        <v>0</v>
      </c>
      <c r="AG562" s="2">
        <v>187.99</v>
      </c>
      <c r="AJ562" s="2">
        <f t="shared" si="73"/>
        <v>0</v>
      </c>
      <c r="AK562" s="2">
        <f>T562+(W562)</f>
        <v>-157.01</v>
      </c>
      <c r="AL562" s="18">
        <f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72"/>
        <v>0</v>
      </c>
      <c r="AJ563" s="2">
        <f t="shared" si="73"/>
        <v>0</v>
      </c>
      <c r="AK563" s="2">
        <f>T563+(W563)</f>
        <v>0</v>
      </c>
      <c r="AL563" s="18">
        <f>SIGN(T563)*((ABS(T563)-W563)/ABS(T563))</f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7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72"/>
        <v>0</v>
      </c>
      <c r="AG564" s="2">
        <v>10.38</v>
      </c>
      <c r="AJ564" s="2">
        <f t="shared" si="73"/>
        <v>0</v>
      </c>
      <c r="AK564" s="2">
        <f t="shared" ref="AK564:AK627" si="79">T564-W564</f>
        <v>6.99</v>
      </c>
      <c r="AL564" s="5">
        <f t="shared" ref="AL564:AL595" si="8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72"/>
        <v>0</v>
      </c>
      <c r="AG565" s="2">
        <v>14.4</v>
      </c>
      <c r="AJ565" s="2">
        <f t="shared" si="73"/>
        <v>0</v>
      </c>
      <c r="AK565" s="2">
        <f t="shared" si="79"/>
        <v>16.920000000000002</v>
      </c>
      <c r="AL565" s="5">
        <f t="shared" si="8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7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72"/>
        <v>0</v>
      </c>
      <c r="AJ566" s="2">
        <f t="shared" si="73"/>
        <v>0</v>
      </c>
      <c r="AK566" s="2">
        <f t="shared" si="79"/>
        <v>711.51099999999997</v>
      </c>
      <c r="AL566" s="5">
        <f t="shared" si="8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72"/>
        <v>0</v>
      </c>
      <c r="AJ567" s="2">
        <f t="shared" si="73"/>
        <v>0</v>
      </c>
      <c r="AK567" s="2">
        <f t="shared" si="79"/>
        <v>4230.6000000000004</v>
      </c>
      <c r="AL567" s="5">
        <f t="shared" si="8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78"/>
        <v>0.26286545454545451</v>
      </c>
      <c r="Z568" s="2" t="s">
        <v>104</v>
      </c>
      <c r="AA568" s="2" t="s">
        <v>616</v>
      </c>
      <c r="AB568" s="2" t="s">
        <v>3489</v>
      </c>
      <c r="AC568" s="2" t="s">
        <v>114</v>
      </c>
      <c r="AF568" s="2">
        <f t="shared" si="72"/>
        <v>0</v>
      </c>
      <c r="AJ568" s="2">
        <f t="shared" si="73"/>
        <v>0</v>
      </c>
      <c r="AK568" s="2">
        <f t="shared" si="79"/>
        <v>1445.7599999999998</v>
      </c>
      <c r="AL568" s="5">
        <f t="shared" si="8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72"/>
        <v>0</v>
      </c>
      <c r="AG569" s="2">
        <v>6468.73</v>
      </c>
      <c r="AJ569" s="2">
        <f t="shared" si="73"/>
        <v>0</v>
      </c>
      <c r="AK569" s="2">
        <f t="shared" si="79"/>
        <v>3431.2700000000004</v>
      </c>
      <c r="AL569" s="5">
        <f t="shared" si="8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7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72"/>
        <v>0</v>
      </c>
      <c r="AJ570" s="2">
        <f t="shared" si="73"/>
        <v>0</v>
      </c>
      <c r="AK570" s="2">
        <f t="shared" si="79"/>
        <v>818.07000000000016</v>
      </c>
      <c r="AL570" s="5">
        <f t="shared" si="8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7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72"/>
        <v>0</v>
      </c>
      <c r="AJ571" s="2">
        <f t="shared" si="73"/>
        <v>0</v>
      </c>
      <c r="AK571" s="2">
        <f t="shared" si="79"/>
        <v>257.36999999999989</v>
      </c>
      <c r="AL571" s="5">
        <f t="shared" si="8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72"/>
        <v>0</v>
      </c>
      <c r="AJ572" s="2">
        <f t="shared" si="73"/>
        <v>0</v>
      </c>
      <c r="AK572" s="2">
        <f t="shared" si="79"/>
        <v>354.09659999999997</v>
      </c>
      <c r="AL572" s="5">
        <f t="shared" si="8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72"/>
        <v>0</v>
      </c>
      <c r="AJ573" s="2">
        <f t="shared" si="73"/>
        <v>0</v>
      </c>
      <c r="AK573" s="2">
        <f t="shared" si="79"/>
        <v>45</v>
      </c>
      <c r="AL573" s="5">
        <f t="shared" si="8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72"/>
        <v>0</v>
      </c>
      <c r="AJ574" s="2">
        <f t="shared" si="73"/>
        <v>0</v>
      </c>
      <c r="AK574" s="2">
        <f t="shared" si="79"/>
        <v>25</v>
      </c>
      <c r="AL574" s="5">
        <f t="shared" si="8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72"/>
        <v>0</v>
      </c>
      <c r="AG575" s="2">
        <v>9.14</v>
      </c>
      <c r="AH575" s="2">
        <v>16</v>
      </c>
      <c r="AJ575" s="2">
        <f t="shared" si="73"/>
        <v>0</v>
      </c>
      <c r="AK575" s="2">
        <f t="shared" si="79"/>
        <v>28.600000000000009</v>
      </c>
      <c r="AL575" s="5">
        <f t="shared" si="8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72"/>
        <v>0</v>
      </c>
      <c r="AJ576" s="2">
        <f t="shared" si="73"/>
        <v>0</v>
      </c>
      <c r="AK576" s="2">
        <f t="shared" si="79"/>
        <v>217.33</v>
      </c>
      <c r="AL576" s="5">
        <f t="shared" si="8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72"/>
        <v>0</v>
      </c>
      <c r="AJ577" s="2">
        <f t="shared" si="73"/>
        <v>0</v>
      </c>
      <c r="AK577" s="2">
        <f t="shared" si="79"/>
        <v>0</v>
      </c>
      <c r="AL577" s="5">
        <f t="shared" si="8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81">AJ578</f>
        <v>0</v>
      </c>
      <c r="AG578" s="2">
        <v>1.77</v>
      </c>
      <c r="AH578" s="2">
        <v>5</v>
      </c>
      <c r="AJ578" s="2">
        <f t="shared" ref="AJ578:AJ641" si="82">AI578*T578</f>
        <v>0</v>
      </c>
      <c r="AK578" s="2">
        <f t="shared" si="79"/>
        <v>22.3</v>
      </c>
      <c r="AL578" s="5">
        <f t="shared" si="8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7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81"/>
        <v>0</v>
      </c>
      <c r="AJ579" s="2">
        <f t="shared" si="82"/>
        <v>0</v>
      </c>
      <c r="AK579" s="2">
        <f t="shared" si="79"/>
        <v>40.800000000000011</v>
      </c>
      <c r="AL579" s="5">
        <f t="shared" si="8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7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81"/>
        <v>0</v>
      </c>
      <c r="AJ580" s="2">
        <f t="shared" si="82"/>
        <v>0</v>
      </c>
      <c r="AK580" s="2">
        <f t="shared" si="79"/>
        <v>127.53719999999998</v>
      </c>
      <c r="AL580" s="5">
        <f t="shared" si="8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7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81"/>
        <v>0</v>
      </c>
      <c r="AJ581" s="2">
        <f t="shared" si="82"/>
        <v>0</v>
      </c>
      <c r="AK581" s="2">
        <f t="shared" si="79"/>
        <v>201.31599999999997</v>
      </c>
      <c r="AL581" s="5">
        <f t="shared" si="8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81"/>
        <v>0</v>
      </c>
      <c r="AJ582" s="2">
        <f t="shared" si="82"/>
        <v>0</v>
      </c>
      <c r="AK582" s="2">
        <f t="shared" si="79"/>
        <v>30</v>
      </c>
      <c r="AL582" s="5">
        <f t="shared" si="8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81"/>
        <v>0</v>
      </c>
      <c r="AJ583" s="2">
        <f t="shared" si="82"/>
        <v>0</v>
      </c>
      <c r="AK583" s="2">
        <f t="shared" si="79"/>
        <v>25</v>
      </c>
      <c r="AL583" s="5">
        <f t="shared" si="8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81"/>
        <v>0</v>
      </c>
      <c r="AG584" s="2">
        <f>37.85+0.16</f>
        <v>38.01</v>
      </c>
      <c r="AJ584" s="2">
        <f t="shared" si="82"/>
        <v>0</v>
      </c>
      <c r="AK584" s="2">
        <f t="shared" si="79"/>
        <v>38.920000000000009</v>
      </c>
      <c r="AL584" s="5">
        <f t="shared" si="8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81"/>
        <v>0</v>
      </c>
      <c r="AJ585" s="2">
        <f t="shared" si="82"/>
        <v>0</v>
      </c>
      <c r="AK585" s="2">
        <f t="shared" si="79"/>
        <v>117</v>
      </c>
      <c r="AL585" s="5">
        <f t="shared" si="8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81"/>
        <v>0</v>
      </c>
      <c r="AJ586" s="2">
        <f t="shared" si="82"/>
        <v>0</v>
      </c>
      <c r="AK586" s="2">
        <f t="shared" si="79"/>
        <v>50</v>
      </c>
      <c r="AL586" s="5">
        <f t="shared" si="8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81"/>
        <v>0</v>
      </c>
      <c r="AG587" s="2">
        <v>15.020300000000001</v>
      </c>
      <c r="AH587" s="2">
        <v>27.6</v>
      </c>
      <c r="AJ587" s="2">
        <f t="shared" si="82"/>
        <v>0</v>
      </c>
      <c r="AK587" s="2">
        <f t="shared" si="79"/>
        <v>23.918799999999997</v>
      </c>
      <c r="AL587" s="5">
        <f t="shared" si="8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81"/>
        <v>0</v>
      </c>
      <c r="AG588" s="2">
        <v>6.6266999999999996</v>
      </c>
      <c r="AH588" s="2">
        <v>12</v>
      </c>
      <c r="AJ588" s="2">
        <f t="shared" si="82"/>
        <v>0</v>
      </c>
      <c r="AK588" s="2">
        <f t="shared" si="79"/>
        <v>10.746600000000001</v>
      </c>
      <c r="AL588" s="5">
        <f t="shared" si="8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81"/>
        <v>0</v>
      </c>
      <c r="AG589" s="2">
        <v>9.14</v>
      </c>
      <c r="AH589" s="2">
        <v>16</v>
      </c>
      <c r="AJ589" s="2">
        <f t="shared" si="82"/>
        <v>0</v>
      </c>
      <c r="AK589" s="2">
        <f t="shared" si="79"/>
        <v>3.8600000000000012</v>
      </c>
      <c r="AL589" s="5">
        <f t="shared" si="8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81"/>
        <v>0</v>
      </c>
      <c r="AJ590" s="2">
        <f t="shared" si="82"/>
        <v>0</v>
      </c>
      <c r="AK590" s="2">
        <f t="shared" si="79"/>
        <v>5.04</v>
      </c>
      <c r="AL590" s="5">
        <f t="shared" si="8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81"/>
        <v>0</v>
      </c>
      <c r="AG591" s="2">
        <v>117.453</v>
      </c>
      <c r="AH591" s="2">
        <v>220</v>
      </c>
      <c r="AJ591" s="2">
        <f t="shared" si="82"/>
        <v>0</v>
      </c>
      <c r="AK591" s="2">
        <f t="shared" si="79"/>
        <v>92.546999999999997</v>
      </c>
      <c r="AL591" s="5">
        <f t="shared" si="8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81"/>
        <v>0</v>
      </c>
      <c r="AG592" s="2">
        <v>1.1399999999999999</v>
      </c>
      <c r="AH592" s="2">
        <v>1.1399999999999999</v>
      </c>
      <c r="AJ592" s="2">
        <f t="shared" si="82"/>
        <v>0</v>
      </c>
      <c r="AK592" s="2">
        <f t="shared" si="79"/>
        <v>0</v>
      </c>
      <c r="AL592" s="5">
        <f t="shared" si="8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81"/>
        <v>0</v>
      </c>
      <c r="AG593" s="2">
        <v>0.7</v>
      </c>
      <c r="AJ593" s="2">
        <f t="shared" si="82"/>
        <v>0</v>
      </c>
      <c r="AK593" s="2">
        <f t="shared" si="79"/>
        <v>28.8</v>
      </c>
      <c r="AL593" s="5">
        <f t="shared" si="8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78"/>
        <v>-9.0909090909090912E-2</v>
      </c>
      <c r="Z594" s="2" t="s">
        <v>169</v>
      </c>
      <c r="AA594" s="2" t="s">
        <v>169</v>
      </c>
      <c r="AF594" s="2">
        <f t="shared" si="81"/>
        <v>0</v>
      </c>
      <c r="AJ594" s="2">
        <f t="shared" si="82"/>
        <v>0</v>
      </c>
      <c r="AK594" s="2">
        <f t="shared" si="79"/>
        <v>-0.5</v>
      </c>
      <c r="AL594" s="5">
        <f t="shared" si="8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7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81"/>
        <v>0</v>
      </c>
      <c r="AJ595" s="2">
        <f t="shared" si="82"/>
        <v>0</v>
      </c>
      <c r="AK595" s="2">
        <f t="shared" si="79"/>
        <v>1224.5</v>
      </c>
      <c r="AL595" s="5">
        <f t="shared" si="8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8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81"/>
        <v>0</v>
      </c>
      <c r="AJ596" s="2">
        <f t="shared" si="82"/>
        <v>0</v>
      </c>
      <c r="AK596" s="2">
        <f t="shared" si="79"/>
        <v>168.61</v>
      </c>
      <c r="AL596" s="5">
        <f t="shared" ref="AL596:AL627" si="8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8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81"/>
        <v>0</v>
      </c>
      <c r="AJ597" s="2">
        <f t="shared" si="82"/>
        <v>0</v>
      </c>
      <c r="AK597" s="2">
        <f t="shared" si="79"/>
        <v>78.599999999999994</v>
      </c>
      <c r="AL597" s="5">
        <f t="shared" si="8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8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81"/>
        <v>0</v>
      </c>
      <c r="AJ598" s="2">
        <f t="shared" si="82"/>
        <v>0</v>
      </c>
      <c r="AK598" s="2">
        <f t="shared" si="79"/>
        <v>100</v>
      </c>
      <c r="AL598" s="5">
        <f t="shared" si="8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83"/>
        <v>1</v>
      </c>
      <c r="Z599" s="2" t="s">
        <v>119</v>
      </c>
      <c r="AA599" s="2" t="s">
        <v>3379</v>
      </c>
      <c r="AF599" s="2">
        <f t="shared" si="81"/>
        <v>0</v>
      </c>
      <c r="AJ599" s="2">
        <f t="shared" si="82"/>
        <v>0</v>
      </c>
      <c r="AK599" s="2">
        <f t="shared" si="79"/>
        <v>194.29</v>
      </c>
      <c r="AL599" s="5">
        <f t="shared" si="84"/>
        <v>1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8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81"/>
        <v>0</v>
      </c>
      <c r="AJ600" s="2">
        <f t="shared" si="82"/>
        <v>0</v>
      </c>
      <c r="AK600" s="2">
        <f t="shared" si="79"/>
        <v>86.389999999999986</v>
      </c>
      <c r="AL600" s="5">
        <f t="shared" si="8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8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81"/>
        <v>0</v>
      </c>
      <c r="AG601" s="2">
        <v>1.1399999999999999</v>
      </c>
      <c r="AH601" s="2">
        <v>1.1399999999999999</v>
      </c>
      <c r="AJ601" s="2">
        <f t="shared" si="82"/>
        <v>0</v>
      </c>
      <c r="AK601" s="2">
        <f t="shared" si="79"/>
        <v>0</v>
      </c>
      <c r="AL601" s="5">
        <f t="shared" si="84"/>
        <v>0</v>
      </c>
    </row>
    <row r="602" spans="1:38" x14ac:dyDescent="0.2">
      <c r="A602" s="2">
        <v>2025</v>
      </c>
      <c r="B602" s="2">
        <v>3</v>
      </c>
      <c r="C602" s="2" t="s">
        <v>3508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8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81"/>
        <v>0</v>
      </c>
      <c r="AJ602" s="2">
        <f t="shared" si="82"/>
        <v>0</v>
      </c>
      <c r="AK602" s="2">
        <f t="shared" si="79"/>
        <v>21.599999999999994</v>
      </c>
      <c r="AL602" s="5">
        <f t="shared" si="8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8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81"/>
        <v>0</v>
      </c>
      <c r="AG603" s="2">
        <v>117.453</v>
      </c>
      <c r="AH603" s="2">
        <v>220</v>
      </c>
      <c r="AJ603" s="2">
        <f t="shared" si="82"/>
        <v>0</v>
      </c>
      <c r="AK603" s="2">
        <f t="shared" si="79"/>
        <v>92.546999999999997</v>
      </c>
      <c r="AL603" s="5">
        <f t="shared" si="8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8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81"/>
        <v>0</v>
      </c>
      <c r="AJ604" s="2">
        <f t="shared" si="82"/>
        <v>0</v>
      </c>
      <c r="AK604" s="2">
        <f t="shared" si="79"/>
        <v>0</v>
      </c>
      <c r="AL604" s="5">
        <f t="shared" si="8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8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81"/>
        <v>0</v>
      </c>
      <c r="AJ605" s="2">
        <f t="shared" si="82"/>
        <v>0</v>
      </c>
      <c r="AK605" s="2">
        <f t="shared" si="79"/>
        <v>30</v>
      </c>
      <c r="AL605" s="5">
        <f t="shared" si="8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8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81"/>
        <v>0</v>
      </c>
      <c r="AJ606" s="2">
        <f t="shared" si="82"/>
        <v>0</v>
      </c>
      <c r="AK606" s="2">
        <f t="shared" si="79"/>
        <v>50</v>
      </c>
      <c r="AL606" s="5">
        <f t="shared" si="8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83"/>
        <v>1</v>
      </c>
      <c r="Z607" s="2" t="s">
        <v>117</v>
      </c>
      <c r="AA607" s="2" t="s">
        <v>118</v>
      </c>
      <c r="AB607" s="2" t="s">
        <v>1004</v>
      </c>
      <c r="AF607" s="2">
        <f t="shared" si="81"/>
        <v>0</v>
      </c>
      <c r="AJ607" s="2">
        <f t="shared" si="82"/>
        <v>0</v>
      </c>
      <c r="AK607" s="2">
        <f t="shared" si="79"/>
        <v>141.47</v>
      </c>
      <c r="AL607" s="5">
        <f t="shared" si="84"/>
        <v>1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8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81"/>
        <v>0</v>
      </c>
      <c r="AG608" s="2">
        <v>7.2217000000000002</v>
      </c>
      <c r="AH608" s="2">
        <v>14.4</v>
      </c>
      <c r="AJ608" s="2">
        <f t="shared" si="82"/>
        <v>0</v>
      </c>
      <c r="AK608" s="2">
        <f t="shared" si="79"/>
        <v>17.934900000000003</v>
      </c>
      <c r="AL608" s="5">
        <f t="shared" si="8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8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81"/>
        <v>0</v>
      </c>
      <c r="AG609" s="2">
        <v>9.0749999999999993</v>
      </c>
      <c r="AJ609" s="2">
        <f t="shared" si="82"/>
        <v>0</v>
      </c>
      <c r="AK609" s="2">
        <f t="shared" si="79"/>
        <v>7.125</v>
      </c>
      <c r="AL609" s="5">
        <f t="shared" si="8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8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81"/>
        <v>0</v>
      </c>
      <c r="AG610" s="2">
        <v>16.224900000000002</v>
      </c>
      <c r="AJ610" s="2">
        <f t="shared" si="82"/>
        <v>0</v>
      </c>
      <c r="AK610" s="2">
        <f t="shared" si="79"/>
        <v>37.725300000000004</v>
      </c>
      <c r="AL610" s="5">
        <f t="shared" si="8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8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81"/>
        <v>0</v>
      </c>
      <c r="AJ611" s="2">
        <f t="shared" si="82"/>
        <v>0</v>
      </c>
      <c r="AK611" s="2">
        <f t="shared" si="79"/>
        <v>178</v>
      </c>
      <c r="AL611" s="5">
        <f t="shared" si="8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83"/>
        <v>0.4</v>
      </c>
      <c r="Z612" s="2" t="s">
        <v>3226</v>
      </c>
      <c r="AA612" s="2" t="s">
        <v>46</v>
      </c>
      <c r="AB612" s="2" t="s">
        <v>60</v>
      </c>
      <c r="AC612" s="2" t="s">
        <v>3331</v>
      </c>
      <c r="AF612" s="2">
        <f t="shared" si="81"/>
        <v>0</v>
      </c>
      <c r="AJ612" s="2">
        <f t="shared" si="82"/>
        <v>0</v>
      </c>
      <c r="AK612" s="2">
        <f t="shared" si="79"/>
        <v>46.400000000000006</v>
      </c>
      <c r="AL612" s="5">
        <f t="shared" si="8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8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81"/>
        <v>0</v>
      </c>
      <c r="AG613" s="2">
        <v>246.77</v>
      </c>
      <c r="AJ613" s="2">
        <f t="shared" si="82"/>
        <v>0</v>
      </c>
      <c r="AK613" s="2">
        <f t="shared" si="79"/>
        <v>271.52</v>
      </c>
      <c r="AL613" s="5">
        <f t="shared" si="8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8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81"/>
        <v>0</v>
      </c>
      <c r="AJ614" s="2">
        <f t="shared" si="82"/>
        <v>0</v>
      </c>
      <c r="AK614" s="2">
        <f t="shared" si="79"/>
        <v>30</v>
      </c>
      <c r="AL614" s="5">
        <f t="shared" si="8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8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81"/>
        <v>0</v>
      </c>
      <c r="AJ615" s="2">
        <f t="shared" si="82"/>
        <v>0</v>
      </c>
      <c r="AK615" s="2">
        <f t="shared" si="79"/>
        <v>50</v>
      </c>
      <c r="AL615" s="5">
        <f t="shared" si="8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8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81"/>
        <v>0</v>
      </c>
      <c r="AG616" s="2">
        <v>10.6</v>
      </c>
      <c r="AH616" s="2">
        <v>18</v>
      </c>
      <c r="AJ616" s="2">
        <f t="shared" si="82"/>
        <v>0</v>
      </c>
      <c r="AK616" s="2">
        <f t="shared" si="79"/>
        <v>22.200000000000003</v>
      </c>
      <c r="AL616" s="5">
        <f t="shared" si="8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8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81"/>
        <v>0</v>
      </c>
      <c r="AG617" s="2">
        <v>8.1999999999999993</v>
      </c>
      <c r="AH617" s="2">
        <v>13</v>
      </c>
      <c r="AJ617" s="2">
        <f t="shared" si="82"/>
        <v>0</v>
      </c>
      <c r="AK617" s="2">
        <f t="shared" si="79"/>
        <v>3.7999999999999989</v>
      </c>
      <c r="AL617" s="5">
        <f t="shared" si="8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83"/>
        <v>0.25</v>
      </c>
      <c r="Z618" s="2" t="s">
        <v>169</v>
      </c>
      <c r="AA618" s="2" t="s">
        <v>169</v>
      </c>
      <c r="AF618" s="2">
        <f t="shared" si="81"/>
        <v>0</v>
      </c>
      <c r="AJ618" s="2">
        <f t="shared" si="82"/>
        <v>0</v>
      </c>
      <c r="AK618" s="2">
        <f t="shared" si="79"/>
        <v>2</v>
      </c>
      <c r="AL618" s="5">
        <f t="shared" si="8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8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81"/>
        <v>0</v>
      </c>
      <c r="AJ619" s="2">
        <f t="shared" si="82"/>
        <v>0</v>
      </c>
      <c r="AK619" s="2">
        <f t="shared" si="79"/>
        <v>24.75</v>
      </c>
      <c r="AL619" s="5">
        <f t="shared" si="8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8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81"/>
        <v>0</v>
      </c>
      <c r="AJ620" s="2">
        <f t="shared" si="82"/>
        <v>0</v>
      </c>
      <c r="AK620" s="2">
        <f t="shared" si="79"/>
        <v>22.5</v>
      </c>
      <c r="AL620" s="5">
        <f t="shared" si="8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83"/>
        <v>1</v>
      </c>
      <c r="Z621" s="2" t="s">
        <v>119</v>
      </c>
      <c r="AA621" s="2" t="s">
        <v>3379</v>
      </c>
      <c r="AF621" s="2">
        <f t="shared" si="81"/>
        <v>0</v>
      </c>
      <c r="AJ621" s="2">
        <f t="shared" si="82"/>
        <v>0</v>
      </c>
      <c r="AK621" s="2">
        <f t="shared" si="79"/>
        <v>10.8</v>
      </c>
      <c r="AL621" s="5">
        <f t="shared" si="84"/>
        <v>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8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81"/>
        <v>0</v>
      </c>
      <c r="AJ622" s="2">
        <f t="shared" si="82"/>
        <v>0</v>
      </c>
      <c r="AK622" s="2">
        <f t="shared" si="79"/>
        <v>30</v>
      </c>
      <c r="AL622" s="5">
        <f t="shared" si="8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8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81"/>
        <v>0</v>
      </c>
      <c r="AJ623" s="2">
        <f t="shared" si="82"/>
        <v>0</v>
      </c>
      <c r="AK623" s="2">
        <f t="shared" si="79"/>
        <v>25</v>
      </c>
      <c r="AL623" s="5">
        <f t="shared" si="8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8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81"/>
        <v>0</v>
      </c>
      <c r="AJ624" s="2">
        <f t="shared" si="82"/>
        <v>0</v>
      </c>
      <c r="AK624" s="2">
        <f t="shared" si="79"/>
        <v>36.954900000000002</v>
      </c>
      <c r="AL624" s="5">
        <f t="shared" si="8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8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81"/>
        <v>0</v>
      </c>
      <c r="AG625" s="2">
        <v>1.1122000000000001</v>
      </c>
      <c r="AH625" s="2">
        <v>3</v>
      </c>
      <c r="AJ625" s="2">
        <f t="shared" si="82"/>
        <v>0</v>
      </c>
      <c r="AK625" s="2">
        <f t="shared" si="79"/>
        <v>15.102399999999999</v>
      </c>
      <c r="AL625" s="5">
        <f t="shared" si="8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8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81"/>
        <v>0</v>
      </c>
      <c r="AG626" s="2">
        <v>7.9611999999999998</v>
      </c>
      <c r="AH626" s="2">
        <v>14.4</v>
      </c>
      <c r="AJ626" s="2">
        <f t="shared" si="82"/>
        <v>0</v>
      </c>
      <c r="AK626" s="2">
        <f t="shared" si="79"/>
        <v>14.0776</v>
      </c>
      <c r="AL626" s="5">
        <f t="shared" si="8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81"/>
        <v>0</v>
      </c>
      <c r="AG627" s="2">
        <v>10.6</v>
      </c>
      <c r="AH627" s="2">
        <v>18</v>
      </c>
      <c r="AJ627" s="2">
        <f t="shared" si="82"/>
        <v>0</v>
      </c>
      <c r="AK627" s="2">
        <f t="shared" si="79"/>
        <v>7.4</v>
      </c>
      <c r="AL627" s="5">
        <f t="shared" si="8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8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81"/>
        <v>0</v>
      </c>
      <c r="AG628" s="2">
        <v>15.020300000000001</v>
      </c>
      <c r="AH628" s="2">
        <v>27.6</v>
      </c>
      <c r="AJ628" s="2">
        <f t="shared" si="82"/>
        <v>0</v>
      </c>
      <c r="AK628" s="2">
        <f t="shared" ref="AK628:AK691" si="86">T628-W628</f>
        <v>6.9796999999999993</v>
      </c>
      <c r="AL628" s="5">
        <f t="shared" ref="AL628:AL634" si="8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8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81"/>
        <v>0</v>
      </c>
      <c r="AJ629" s="2">
        <f t="shared" si="82"/>
        <v>0</v>
      </c>
      <c r="AK629" s="2">
        <f t="shared" si="86"/>
        <v>8.8000000000000007</v>
      </c>
      <c r="AL629" s="5">
        <f t="shared" si="8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81"/>
        <v>0</v>
      </c>
      <c r="AG630" s="2">
        <v>15.020300000000001</v>
      </c>
      <c r="AH630" s="2">
        <v>27.6</v>
      </c>
      <c r="AJ630" s="2">
        <f t="shared" si="82"/>
        <v>0</v>
      </c>
      <c r="AK630" s="2">
        <f t="shared" si="86"/>
        <v>6.4796999999999993</v>
      </c>
      <c r="AL630" s="5">
        <f t="shared" si="87"/>
        <v>0.30138139534883718</v>
      </c>
    </row>
    <row r="631" spans="1:38" x14ac:dyDescent="0.2">
      <c r="A631" s="2">
        <v>2025</v>
      </c>
      <c r="B631" s="2">
        <v>3</v>
      </c>
      <c r="C631" s="2" t="s">
        <v>3456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81"/>
        <v>0</v>
      </c>
      <c r="AG631" s="2">
        <v>117.453</v>
      </c>
      <c r="AH631" s="2">
        <v>220</v>
      </c>
      <c r="AJ631" s="2">
        <f t="shared" si="82"/>
        <v>0</v>
      </c>
      <c r="AK631" s="2">
        <f t="shared" si="86"/>
        <v>185.09399999999999</v>
      </c>
      <c r="AL631" s="5">
        <f t="shared" si="87"/>
        <v>0.44069999999999998</v>
      </c>
    </row>
    <row r="632" spans="1:38" x14ac:dyDescent="0.2">
      <c r="A632" s="2">
        <v>2025</v>
      </c>
      <c r="B632" s="2">
        <v>3</v>
      </c>
      <c r="C632" s="2" t="s">
        <v>3456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81"/>
        <v>0</v>
      </c>
      <c r="AG632" s="2">
        <v>1.1399999999999999</v>
      </c>
      <c r="AH632" s="2">
        <v>1.1399999999999999</v>
      </c>
      <c r="AJ632" s="2">
        <f t="shared" si="82"/>
        <v>0</v>
      </c>
      <c r="AK632" s="2">
        <f t="shared" si="86"/>
        <v>0</v>
      </c>
      <c r="AL632" s="5">
        <f t="shared" si="8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81"/>
        <v>0</v>
      </c>
      <c r="AJ633" s="2">
        <f t="shared" si="82"/>
        <v>0</v>
      </c>
      <c r="AK633" s="2">
        <f t="shared" si="86"/>
        <v>344.04</v>
      </c>
      <c r="AL633" s="5">
        <f t="shared" si="8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81"/>
        <v>0</v>
      </c>
      <c r="AJ634" s="2">
        <f t="shared" si="82"/>
        <v>0</v>
      </c>
      <c r="AK634" s="2">
        <f t="shared" si="86"/>
        <v>44.4</v>
      </c>
      <c r="AL634" s="5">
        <f t="shared" si="8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81"/>
        <v>0</v>
      </c>
      <c r="AJ635" s="2">
        <f t="shared" si="82"/>
        <v>0</v>
      </c>
      <c r="AK635" s="2">
        <f t="shared" si="8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81"/>
        <v>0</v>
      </c>
      <c r="AJ636" s="2">
        <f t="shared" si="82"/>
        <v>0</v>
      </c>
      <c r="AK636" s="2">
        <f t="shared" si="86"/>
        <v>76.699999999999989</v>
      </c>
      <c r="AL636" s="5">
        <f t="shared" ref="AL636:AL667" si="8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81"/>
        <v>0</v>
      </c>
      <c r="AG637" s="2">
        <v>1.1399999999999999</v>
      </c>
      <c r="AH637" s="2">
        <v>1.1399999999999999</v>
      </c>
      <c r="AJ637" s="2">
        <f t="shared" si="82"/>
        <v>0</v>
      </c>
      <c r="AK637" s="2">
        <f t="shared" si="86"/>
        <v>0</v>
      </c>
      <c r="AL637" s="5">
        <f t="shared" si="8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8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81"/>
        <v>0</v>
      </c>
      <c r="AJ638" s="2">
        <f t="shared" si="82"/>
        <v>0</v>
      </c>
      <c r="AK638" s="2">
        <f t="shared" si="86"/>
        <v>121.05999999999997</v>
      </c>
      <c r="AL638" s="5">
        <f t="shared" si="8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81"/>
        <v>0</v>
      </c>
      <c r="AG639" s="2">
        <v>117.453</v>
      </c>
      <c r="AH639" s="2">
        <v>220</v>
      </c>
      <c r="AJ639" s="2">
        <f t="shared" si="82"/>
        <v>0</v>
      </c>
      <c r="AK639" s="2">
        <f t="shared" si="86"/>
        <v>87.546999999999997</v>
      </c>
      <c r="AL639" s="5">
        <f t="shared" si="8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81"/>
        <v>0</v>
      </c>
      <c r="AJ640" s="2">
        <f t="shared" si="82"/>
        <v>0</v>
      </c>
      <c r="AK640" s="2">
        <f t="shared" si="86"/>
        <v>86.85</v>
      </c>
      <c r="AL640" s="5">
        <f t="shared" si="8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81"/>
        <v>0</v>
      </c>
      <c r="AJ641" s="2">
        <f t="shared" si="82"/>
        <v>0</v>
      </c>
      <c r="AK641" s="2">
        <f t="shared" si="86"/>
        <v>112.5</v>
      </c>
      <c r="AL641" s="5">
        <f t="shared" si="8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90">AJ642</f>
        <v>0</v>
      </c>
      <c r="AJ642" s="2">
        <f t="shared" ref="AJ642:AJ705" si="91">AI642*T642</f>
        <v>0</v>
      </c>
      <c r="AK642" s="2">
        <f t="shared" si="86"/>
        <v>0</v>
      </c>
      <c r="AL642" s="5">
        <f t="shared" si="8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90"/>
        <v>0</v>
      </c>
      <c r="AJ643" s="2">
        <f t="shared" si="91"/>
        <v>0</v>
      </c>
      <c r="AK643" s="2">
        <f t="shared" si="86"/>
        <v>92.15</v>
      </c>
      <c r="AL643" s="5">
        <f t="shared" si="8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90"/>
        <v>0</v>
      </c>
      <c r="AJ644" s="2">
        <f t="shared" si="91"/>
        <v>0</v>
      </c>
      <c r="AK644" s="2">
        <f t="shared" si="86"/>
        <v>0</v>
      </c>
      <c r="AL644" s="5">
        <f t="shared" si="8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8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90"/>
        <v>0</v>
      </c>
      <c r="AJ645" s="2">
        <f t="shared" si="91"/>
        <v>0</v>
      </c>
      <c r="AK645" s="2">
        <f t="shared" si="86"/>
        <v>2414.2067999999999</v>
      </c>
      <c r="AL645" s="5">
        <f t="shared" si="8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90"/>
        <v>0</v>
      </c>
      <c r="AJ646" s="2">
        <f t="shared" si="91"/>
        <v>0</v>
      </c>
      <c r="AK646" s="2">
        <f t="shared" si="86"/>
        <v>30</v>
      </c>
      <c r="AL646" s="5">
        <f t="shared" si="8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90"/>
        <v>0</v>
      </c>
      <c r="AJ647" s="2">
        <f t="shared" si="91"/>
        <v>0</v>
      </c>
      <c r="AK647" s="2">
        <f t="shared" si="86"/>
        <v>50</v>
      </c>
      <c r="AL647" s="5">
        <f t="shared" si="8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90"/>
        <v>0</v>
      </c>
      <c r="AJ648" s="2">
        <f t="shared" si="91"/>
        <v>0</v>
      </c>
      <c r="AK648" s="2">
        <f t="shared" si="86"/>
        <v>42.599999999999994</v>
      </c>
      <c r="AL648" s="5">
        <f t="shared" si="8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90"/>
        <v>0</v>
      </c>
      <c r="AJ649" s="2">
        <f t="shared" si="91"/>
        <v>0</v>
      </c>
      <c r="AK649" s="2">
        <f t="shared" si="86"/>
        <v>37.5</v>
      </c>
      <c r="AL649" s="5">
        <f t="shared" si="8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90"/>
        <v>0</v>
      </c>
      <c r="AG650" s="2">
        <v>119.33</v>
      </c>
      <c r="AH650" s="2">
        <v>220</v>
      </c>
      <c r="AJ650" s="2">
        <f t="shared" si="91"/>
        <v>0</v>
      </c>
      <c r="AK650" s="2">
        <f t="shared" si="86"/>
        <v>90.67</v>
      </c>
      <c r="AL650" s="5">
        <f t="shared" si="8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90"/>
        <v>0</v>
      </c>
      <c r="AG651" s="2">
        <v>113.33</v>
      </c>
      <c r="AH651" s="2">
        <v>220</v>
      </c>
      <c r="AJ651" s="2">
        <f t="shared" si="91"/>
        <v>0</v>
      </c>
      <c r="AK651" s="2">
        <f t="shared" si="86"/>
        <v>96.67</v>
      </c>
      <c r="AL651" s="5">
        <f t="shared" si="8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90"/>
        <v>0</v>
      </c>
      <c r="AG652" s="2">
        <v>1.1399999999999999</v>
      </c>
      <c r="AH652" s="2">
        <v>1.1399999999999999</v>
      </c>
      <c r="AJ652" s="2">
        <f t="shared" si="91"/>
        <v>0</v>
      </c>
      <c r="AK652" s="2">
        <f t="shared" si="86"/>
        <v>0</v>
      </c>
      <c r="AL652" s="5">
        <f t="shared" si="8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90"/>
        <v>0</v>
      </c>
      <c r="AG653" s="2">
        <v>119.33</v>
      </c>
      <c r="AH653" s="2">
        <v>220</v>
      </c>
      <c r="AJ653" s="2">
        <f t="shared" si="91"/>
        <v>0</v>
      </c>
      <c r="AK653" s="2">
        <f t="shared" si="86"/>
        <v>105.67</v>
      </c>
      <c r="AL653" s="5">
        <f t="shared" si="8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90"/>
        <v>0</v>
      </c>
      <c r="AJ654" s="2">
        <f t="shared" si="91"/>
        <v>0</v>
      </c>
      <c r="AK654" s="2">
        <f t="shared" si="86"/>
        <v>0</v>
      </c>
      <c r="AL654" s="5">
        <f t="shared" si="8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90"/>
        <v>0</v>
      </c>
      <c r="AG655" s="2">
        <v>10.6</v>
      </c>
      <c r="AH655" s="2">
        <v>18</v>
      </c>
      <c r="AJ655" s="2">
        <f t="shared" si="91"/>
        <v>0</v>
      </c>
      <c r="AK655" s="2">
        <f t="shared" si="86"/>
        <v>14.8</v>
      </c>
      <c r="AL655" s="5">
        <f t="shared" si="8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90"/>
        <v>0</v>
      </c>
      <c r="AG656" s="2">
        <v>117.453</v>
      </c>
      <c r="AH656" s="2">
        <v>220</v>
      </c>
      <c r="AJ656" s="2">
        <f t="shared" si="91"/>
        <v>0</v>
      </c>
      <c r="AK656" s="2">
        <f t="shared" si="86"/>
        <v>82.546999999999997</v>
      </c>
      <c r="AL656" s="5">
        <f t="shared" si="8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90"/>
        <v>0</v>
      </c>
      <c r="AG657" s="2">
        <v>150.37</v>
      </c>
      <c r="AJ657" s="2">
        <f t="shared" si="91"/>
        <v>0</v>
      </c>
      <c r="AK657" s="2">
        <f t="shared" si="86"/>
        <v>211.52999999999997</v>
      </c>
      <c r="AL657" s="5">
        <f t="shared" si="8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90"/>
        <v>0</v>
      </c>
      <c r="AJ658" s="2">
        <f t="shared" si="91"/>
        <v>0</v>
      </c>
      <c r="AK658" s="2">
        <f t="shared" si="86"/>
        <v>0</v>
      </c>
      <c r="AL658" s="5">
        <f t="shared" si="8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90"/>
        <v>0</v>
      </c>
      <c r="AJ659" s="2">
        <f t="shared" si="91"/>
        <v>0</v>
      </c>
      <c r="AK659" s="2">
        <f t="shared" si="86"/>
        <v>0.96000000000000085</v>
      </c>
      <c r="AL659" s="5">
        <f t="shared" si="8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90"/>
        <v>0</v>
      </c>
      <c r="AJ660" s="2">
        <f t="shared" si="91"/>
        <v>0</v>
      </c>
      <c r="AK660" s="2">
        <f t="shared" si="86"/>
        <v>1.6000000000000005</v>
      </c>
      <c r="AL660" s="5">
        <f t="shared" si="8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90"/>
        <v>0</v>
      </c>
      <c r="AJ661" s="2">
        <f t="shared" si="91"/>
        <v>0</v>
      </c>
      <c r="AK661" s="2">
        <f t="shared" si="86"/>
        <v>0.2200000000000002</v>
      </c>
      <c r="AL661" s="5">
        <f t="shared" si="8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90"/>
        <v>0</v>
      </c>
      <c r="AJ662" s="2">
        <f t="shared" si="91"/>
        <v>0</v>
      </c>
      <c r="AK662" s="2">
        <f t="shared" si="86"/>
        <v>30</v>
      </c>
      <c r="AL662" s="5">
        <f t="shared" si="8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90"/>
        <v>0</v>
      </c>
      <c r="AJ663" s="2">
        <f t="shared" si="91"/>
        <v>0</v>
      </c>
      <c r="AK663" s="2">
        <f t="shared" si="86"/>
        <v>50</v>
      </c>
      <c r="AL663" s="5">
        <f t="shared" si="8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90"/>
        <v>0</v>
      </c>
      <c r="AG664" s="2">
        <v>110.68</v>
      </c>
      <c r="AH664" s="2">
        <v>210</v>
      </c>
      <c r="AJ664" s="2">
        <f t="shared" si="91"/>
        <v>0</v>
      </c>
      <c r="AK664" s="2">
        <f t="shared" si="86"/>
        <v>89.32</v>
      </c>
      <c r="AL664" s="5">
        <f t="shared" si="8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90"/>
        <v>0</v>
      </c>
      <c r="AJ665" s="2">
        <f t="shared" si="91"/>
        <v>0</v>
      </c>
      <c r="AK665" s="2">
        <f t="shared" si="86"/>
        <v>0</v>
      </c>
      <c r="AL665" s="5">
        <f t="shared" si="8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90"/>
        <v>0</v>
      </c>
      <c r="AJ666" s="2">
        <f t="shared" si="91"/>
        <v>0</v>
      </c>
      <c r="AK666" s="2">
        <f t="shared" si="86"/>
        <v>4.6100000000000012</v>
      </c>
      <c r="AL666" s="5">
        <f t="shared" si="8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90"/>
        <v>0</v>
      </c>
      <c r="AJ667" s="2">
        <f t="shared" si="91"/>
        <v>0</v>
      </c>
      <c r="AK667" s="2">
        <f t="shared" si="86"/>
        <v>3.74</v>
      </c>
      <c r="AL667" s="5">
        <f t="shared" si="8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9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90"/>
        <v>0</v>
      </c>
      <c r="AJ668" s="2">
        <f t="shared" si="91"/>
        <v>0</v>
      </c>
      <c r="AK668" s="2">
        <f t="shared" si="86"/>
        <v>99.75</v>
      </c>
      <c r="AL668" s="5">
        <f t="shared" ref="AL668:AL699" si="9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9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90"/>
        <v>0</v>
      </c>
      <c r="AJ669" s="2">
        <f t="shared" si="91"/>
        <v>0</v>
      </c>
      <c r="AK669" s="2">
        <f t="shared" si="86"/>
        <v>7.509999999999998</v>
      </c>
      <c r="AL669" s="5">
        <f t="shared" si="9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9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90"/>
        <v>0</v>
      </c>
      <c r="AJ670" s="2">
        <f t="shared" si="91"/>
        <v>0</v>
      </c>
      <c r="AK670" s="2">
        <f t="shared" si="86"/>
        <v>8.6699999999999982</v>
      </c>
      <c r="AL670" s="5">
        <f t="shared" si="9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9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90"/>
        <v>0</v>
      </c>
      <c r="AG671" s="2">
        <v>8.1999999999999993</v>
      </c>
      <c r="AH671" s="2">
        <v>13</v>
      </c>
      <c r="AJ671" s="2">
        <f t="shared" si="91"/>
        <v>0</v>
      </c>
      <c r="AK671" s="2">
        <f t="shared" si="86"/>
        <v>23</v>
      </c>
      <c r="AL671" s="5">
        <f t="shared" si="9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9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90"/>
        <v>0</v>
      </c>
      <c r="AG672" s="2">
        <v>15.020300000000001</v>
      </c>
      <c r="AH672" s="2">
        <v>27.6</v>
      </c>
      <c r="AJ672" s="2">
        <f t="shared" si="91"/>
        <v>0</v>
      </c>
      <c r="AK672" s="2">
        <f t="shared" si="86"/>
        <v>11.959399999999999</v>
      </c>
      <c r="AL672" s="5">
        <f t="shared" si="9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92"/>
        <v>0.58244117647058824</v>
      </c>
      <c r="Z673" s="2" t="s">
        <v>3226</v>
      </c>
      <c r="AA673" s="2" t="s">
        <v>3382</v>
      </c>
      <c r="AB673" s="2" t="s">
        <v>3383</v>
      </c>
      <c r="AC673" s="2" t="s">
        <v>3384</v>
      </c>
      <c r="AF673" s="2">
        <f t="shared" si="90"/>
        <v>0</v>
      </c>
      <c r="AJ673" s="2">
        <f t="shared" si="91"/>
        <v>0</v>
      </c>
      <c r="AK673" s="2">
        <f t="shared" si="86"/>
        <v>396.06</v>
      </c>
      <c r="AL673" s="5">
        <f t="shared" si="9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9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90"/>
        <v>0</v>
      </c>
      <c r="AJ674" s="2">
        <f t="shared" si="91"/>
        <v>0</v>
      </c>
      <c r="AK674" s="2">
        <f t="shared" si="86"/>
        <v>3.0316000000000001</v>
      </c>
      <c r="AL674" s="5">
        <f t="shared" si="9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9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90"/>
        <v>0</v>
      </c>
      <c r="AJ675" s="2">
        <f t="shared" si="91"/>
        <v>0</v>
      </c>
      <c r="AK675" s="2">
        <f t="shared" si="86"/>
        <v>39.904200000000003</v>
      </c>
      <c r="AL675" s="5">
        <f t="shared" si="9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9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90"/>
        <v>0</v>
      </c>
      <c r="AG676" s="2">
        <v>6.6266999999999996</v>
      </c>
      <c r="AH676" s="2">
        <v>12</v>
      </c>
      <c r="AJ676" s="2">
        <f t="shared" si="91"/>
        <v>0</v>
      </c>
      <c r="AK676" s="2">
        <f t="shared" si="86"/>
        <v>42.986400000000003</v>
      </c>
      <c r="AL676" s="5">
        <f t="shared" si="9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9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90"/>
        <v>0</v>
      </c>
      <c r="AG677" s="2">
        <v>8.1999999999999993</v>
      </c>
      <c r="AH677" s="2">
        <v>13</v>
      </c>
      <c r="AJ677" s="2">
        <f t="shared" si="91"/>
        <v>0</v>
      </c>
      <c r="AK677" s="2">
        <f t="shared" si="86"/>
        <v>4.7999999999999989</v>
      </c>
      <c r="AL677" s="5">
        <f t="shared" si="9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9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90"/>
        <v>0</v>
      </c>
      <c r="AJ678" s="2">
        <f t="shared" si="91"/>
        <v>0</v>
      </c>
      <c r="AK678" s="2">
        <f t="shared" si="86"/>
        <v>21.599999999999994</v>
      </c>
      <c r="AL678" s="5">
        <f t="shared" si="9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9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90"/>
        <v>0</v>
      </c>
      <c r="AG679" s="2">
        <v>117.453</v>
      </c>
      <c r="AH679" s="2">
        <v>220</v>
      </c>
      <c r="AJ679" s="2">
        <f t="shared" si="91"/>
        <v>0</v>
      </c>
      <c r="AK679" s="2">
        <f t="shared" si="86"/>
        <v>92.546999999999997</v>
      </c>
      <c r="AL679" s="5">
        <f t="shared" si="9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9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90"/>
        <v>0</v>
      </c>
      <c r="AJ680" s="2">
        <f t="shared" si="91"/>
        <v>0</v>
      </c>
      <c r="AK680" s="2">
        <f t="shared" si="86"/>
        <v>83.169999999999987</v>
      </c>
      <c r="AL680" s="5">
        <f t="shared" si="9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9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90"/>
        <v>0</v>
      </c>
      <c r="AJ681" s="2">
        <f t="shared" si="91"/>
        <v>0</v>
      </c>
      <c r="AK681" s="2">
        <f t="shared" si="86"/>
        <v>0</v>
      </c>
      <c r="AL681" s="5">
        <f t="shared" si="93"/>
        <v>0</v>
      </c>
    </row>
    <row r="682" spans="1:38" x14ac:dyDescent="0.2">
      <c r="A682" s="2">
        <v>2025</v>
      </c>
      <c r="B682" s="2">
        <v>3</v>
      </c>
      <c r="C682" s="2" t="s">
        <v>3456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9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90"/>
        <v>0</v>
      </c>
      <c r="AJ682" s="2">
        <f t="shared" si="91"/>
        <v>0</v>
      </c>
      <c r="AK682" s="2">
        <f t="shared" si="86"/>
        <v>95.57</v>
      </c>
      <c r="AL682" s="5">
        <f t="shared" si="93"/>
        <v>0.44451162790697674</v>
      </c>
    </row>
    <row r="683" spans="1:38" x14ac:dyDescent="0.2">
      <c r="A683" s="2">
        <v>2025</v>
      </c>
      <c r="B683" s="2">
        <v>3</v>
      </c>
      <c r="C683" s="2" t="s">
        <v>3456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9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90"/>
        <v>0</v>
      </c>
      <c r="AG683" s="2">
        <f>144.14+15.4</f>
        <v>159.54</v>
      </c>
      <c r="AH683" s="2">
        <v>280</v>
      </c>
      <c r="AJ683" s="2">
        <f t="shared" si="91"/>
        <v>0</v>
      </c>
      <c r="AK683" s="2">
        <f t="shared" si="86"/>
        <v>90.460000000000008</v>
      </c>
      <c r="AL683" s="5">
        <f t="shared" si="93"/>
        <v>0.36184000000000005</v>
      </c>
    </row>
    <row r="684" spans="1:38" x14ac:dyDescent="0.2">
      <c r="A684" s="2">
        <v>2025</v>
      </c>
      <c r="B684" s="2">
        <v>3</v>
      </c>
      <c r="C684" s="2" t="s">
        <v>3456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9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90"/>
        <v>0</v>
      </c>
      <c r="AJ684" s="2">
        <f t="shared" si="91"/>
        <v>0</v>
      </c>
      <c r="AK684" s="2">
        <f t="shared" si="86"/>
        <v>0</v>
      </c>
      <c r="AL684" s="5">
        <f t="shared" si="9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9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90"/>
        <v>0</v>
      </c>
      <c r="AG685" s="2">
        <v>74.795000000000002</v>
      </c>
      <c r="AJ685" s="2">
        <f t="shared" si="91"/>
        <v>0</v>
      </c>
      <c r="AK685" s="2">
        <f t="shared" si="86"/>
        <v>61.434999999999988</v>
      </c>
      <c r="AL685" s="5">
        <f t="shared" si="9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9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90"/>
        <v>0</v>
      </c>
      <c r="AG686" s="2">
        <v>37.96</v>
      </c>
      <c r="AJ686" s="2">
        <f t="shared" si="91"/>
        <v>0</v>
      </c>
      <c r="AK686" s="2">
        <f t="shared" si="86"/>
        <v>28.449999999999996</v>
      </c>
      <c r="AL686" s="5">
        <f t="shared" si="9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9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90"/>
        <v>0</v>
      </c>
      <c r="AG687" s="2">
        <v>117.453</v>
      </c>
      <c r="AH687" s="2">
        <v>220</v>
      </c>
      <c r="AJ687" s="2">
        <f t="shared" si="91"/>
        <v>0</v>
      </c>
      <c r="AK687" s="2">
        <f t="shared" si="86"/>
        <v>92.546999999999997</v>
      </c>
      <c r="AL687" s="5">
        <f t="shared" si="9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9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90"/>
        <v>0</v>
      </c>
      <c r="AG688" s="2">
        <v>111.11</v>
      </c>
      <c r="AJ688" s="2">
        <f t="shared" si="91"/>
        <v>0</v>
      </c>
      <c r="AK688" s="2">
        <f t="shared" si="86"/>
        <v>84.844999999999999</v>
      </c>
      <c r="AL688" s="5">
        <f t="shared" si="9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90"/>
        <v>0</v>
      </c>
      <c r="AJ689" s="2">
        <f t="shared" si="91"/>
        <v>0</v>
      </c>
      <c r="AK689" s="2">
        <f t="shared" si="86"/>
        <v>0</v>
      </c>
      <c r="AL689" s="5" t="e">
        <f t="shared" si="9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9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90"/>
        <v>0</v>
      </c>
      <c r="AJ690" s="2">
        <f t="shared" si="91"/>
        <v>0</v>
      </c>
      <c r="AK690" s="2">
        <f t="shared" si="86"/>
        <v>18.75</v>
      </c>
      <c r="AL690" s="5">
        <f t="shared" si="9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9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90"/>
        <v>0</v>
      </c>
      <c r="AG691" s="2">
        <v>1.1399999999999999</v>
      </c>
      <c r="AH691" s="2">
        <v>1.1399999999999999</v>
      </c>
      <c r="AJ691" s="2">
        <f t="shared" si="91"/>
        <v>0</v>
      </c>
      <c r="AK691" s="2">
        <f t="shared" si="86"/>
        <v>0</v>
      </c>
      <c r="AL691" s="5">
        <f t="shared" si="93"/>
        <v>0</v>
      </c>
    </row>
    <row r="692" spans="1:38" x14ac:dyDescent="0.2">
      <c r="A692" s="2">
        <v>2025</v>
      </c>
      <c r="B692" s="2">
        <v>3</v>
      </c>
      <c r="C692" s="2" t="s">
        <v>3503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9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90"/>
        <v>0</v>
      </c>
      <c r="AJ692" s="2">
        <f t="shared" si="91"/>
        <v>0</v>
      </c>
      <c r="AK692" s="2">
        <f t="shared" ref="AK692:AK755" si="95">T692-W692</f>
        <v>795.04</v>
      </c>
      <c r="AL692" s="5">
        <f t="shared" si="93"/>
        <v>0.26872714244188012</v>
      </c>
    </row>
    <row r="693" spans="1:38" x14ac:dyDescent="0.2">
      <c r="A693" s="2">
        <v>2025</v>
      </c>
      <c r="B693" s="2">
        <v>3</v>
      </c>
      <c r="C693" s="2" t="s">
        <v>3503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9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90"/>
        <v>0</v>
      </c>
      <c r="AJ693" s="2">
        <f t="shared" si="91"/>
        <v>0</v>
      </c>
      <c r="AK693" s="2">
        <f t="shared" si="95"/>
        <v>167.27660000000003</v>
      </c>
      <c r="AL693" s="5">
        <f t="shared" si="9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9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90"/>
        <v>0</v>
      </c>
      <c r="AJ694" s="2">
        <f t="shared" si="91"/>
        <v>0</v>
      </c>
      <c r="AK694" s="2">
        <f t="shared" si="95"/>
        <v>39.080000000000005</v>
      </c>
      <c r="AL694" s="5">
        <f t="shared" si="9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9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90"/>
        <v>0</v>
      </c>
      <c r="AG695" s="2">
        <v>120.636</v>
      </c>
      <c r="AH695" s="2">
        <v>220</v>
      </c>
      <c r="AJ695" s="2">
        <f t="shared" si="91"/>
        <v>0</v>
      </c>
      <c r="AK695" s="2">
        <f t="shared" si="95"/>
        <v>99.364000000000004</v>
      </c>
      <c r="AL695" s="5">
        <f t="shared" si="9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9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90"/>
        <v>0</v>
      </c>
      <c r="AJ696" s="2">
        <f t="shared" si="91"/>
        <v>0</v>
      </c>
      <c r="AK696" s="2">
        <f t="shared" si="95"/>
        <v>0</v>
      </c>
      <c r="AL696" s="5">
        <f t="shared" si="9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9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90"/>
        <v>0</v>
      </c>
      <c r="AJ697" s="2">
        <f t="shared" si="91"/>
        <v>0</v>
      </c>
      <c r="AK697" s="2">
        <f t="shared" si="95"/>
        <v>25.356000000000002</v>
      </c>
      <c r="AL697" s="5">
        <f t="shared" si="9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9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90"/>
        <v>0</v>
      </c>
      <c r="AJ698" s="2">
        <f t="shared" si="91"/>
        <v>0</v>
      </c>
      <c r="AK698" s="2">
        <f t="shared" si="95"/>
        <v>30</v>
      </c>
      <c r="AL698" s="5">
        <f t="shared" si="9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9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90"/>
        <v>0</v>
      </c>
      <c r="AJ699" s="2">
        <f t="shared" si="91"/>
        <v>0</v>
      </c>
      <c r="AK699" s="2">
        <f t="shared" si="95"/>
        <v>25</v>
      </c>
      <c r="AL699" s="5">
        <f t="shared" si="9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9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90"/>
        <v>0</v>
      </c>
      <c r="AJ700" s="2">
        <f t="shared" si="91"/>
        <v>0</v>
      </c>
      <c r="AK700" s="2">
        <f t="shared" si="95"/>
        <v>6416.58</v>
      </c>
      <c r="AL700" s="5">
        <f t="shared" ref="AL700:AL731" si="9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9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90"/>
        <v>0</v>
      </c>
      <c r="AJ701" s="2">
        <f t="shared" si="91"/>
        <v>0</v>
      </c>
      <c r="AK701" s="2">
        <f t="shared" si="95"/>
        <v>1255.54</v>
      </c>
      <c r="AL701" s="5">
        <f t="shared" si="9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9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90"/>
        <v>0</v>
      </c>
      <c r="AJ702" s="2">
        <f t="shared" si="91"/>
        <v>0</v>
      </c>
      <c r="AK702" s="2">
        <f t="shared" si="95"/>
        <v>114.67</v>
      </c>
      <c r="AL702" s="5">
        <f t="shared" si="9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9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90"/>
        <v>0</v>
      </c>
      <c r="AJ703" s="2">
        <f t="shared" si="91"/>
        <v>0</v>
      </c>
      <c r="AK703" s="2">
        <f t="shared" si="95"/>
        <v>100</v>
      </c>
      <c r="AL703" s="5">
        <f t="shared" si="9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9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90"/>
        <v>0</v>
      </c>
      <c r="AG704" s="2">
        <v>10</v>
      </c>
      <c r="AH704" s="2">
        <v>21</v>
      </c>
      <c r="AJ704" s="2">
        <f t="shared" si="91"/>
        <v>0</v>
      </c>
      <c r="AK704" s="2">
        <f t="shared" si="95"/>
        <v>8</v>
      </c>
      <c r="AL704" s="5">
        <f t="shared" si="9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9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90"/>
        <v>0</v>
      </c>
      <c r="AG705" s="2">
        <v>10.67</v>
      </c>
      <c r="AH705" s="2">
        <v>21</v>
      </c>
      <c r="AJ705" s="2">
        <f t="shared" si="91"/>
        <v>0</v>
      </c>
      <c r="AK705" s="2">
        <f t="shared" si="95"/>
        <v>7.33</v>
      </c>
      <c r="AL705" s="5">
        <f t="shared" si="9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9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97">AJ706</f>
        <v>0</v>
      </c>
      <c r="AJ706" s="2">
        <f t="shared" ref="AJ706:AJ769" si="98">AI706*T706</f>
        <v>0</v>
      </c>
      <c r="AK706" s="2">
        <f t="shared" si="95"/>
        <v>17.505000000000003</v>
      </c>
      <c r="AL706" s="5">
        <f t="shared" si="9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9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97"/>
        <v>0</v>
      </c>
      <c r="AG707" s="2">
        <v>10.2346</v>
      </c>
      <c r="AH707" s="2">
        <v>18</v>
      </c>
      <c r="AJ707" s="2">
        <f t="shared" si="98"/>
        <v>0</v>
      </c>
      <c r="AK707" s="2">
        <f t="shared" si="95"/>
        <v>2.4000000000000004</v>
      </c>
      <c r="AL707" s="5">
        <f t="shared" si="9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9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97"/>
        <v>0</v>
      </c>
      <c r="AG708" s="2">
        <v>3.7357999999999998</v>
      </c>
      <c r="AH708" s="2">
        <v>9</v>
      </c>
      <c r="AJ708" s="2">
        <f t="shared" si="98"/>
        <v>0</v>
      </c>
      <c r="AK708" s="2">
        <f t="shared" si="95"/>
        <v>4.0641999999999996</v>
      </c>
      <c r="AL708" s="5">
        <f t="shared" si="9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9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97"/>
        <v>0</v>
      </c>
      <c r="AG709" s="2">
        <v>8.1999999999999993</v>
      </c>
      <c r="AH709" s="2">
        <v>13</v>
      </c>
      <c r="AJ709" s="2">
        <f t="shared" si="98"/>
        <v>0</v>
      </c>
      <c r="AK709" s="2">
        <f t="shared" si="95"/>
        <v>23</v>
      </c>
      <c r="AL709" s="5">
        <f t="shared" si="9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9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97"/>
        <v>0</v>
      </c>
      <c r="AG710" s="2">
        <v>15.020300000000001</v>
      </c>
      <c r="AH710" s="2">
        <v>27.6</v>
      </c>
      <c r="AJ710" s="2">
        <f t="shared" si="98"/>
        <v>0</v>
      </c>
      <c r="AK710" s="2">
        <f t="shared" si="95"/>
        <v>79.67519999999999</v>
      </c>
      <c r="AL710" s="5">
        <f t="shared" si="9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9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97"/>
        <v>0</v>
      </c>
      <c r="AG711" s="2">
        <v>6.6266999999999996</v>
      </c>
      <c r="AH711" s="2">
        <v>12</v>
      </c>
      <c r="AJ711" s="2">
        <f t="shared" si="98"/>
        <v>0</v>
      </c>
      <c r="AK711" s="2">
        <f t="shared" si="95"/>
        <v>10.746600000000001</v>
      </c>
      <c r="AL711" s="5">
        <f t="shared" si="9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9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97"/>
        <v>0</v>
      </c>
      <c r="AG712" s="2">
        <v>3.7357999999999998</v>
      </c>
      <c r="AH712" s="2">
        <v>9</v>
      </c>
      <c r="AJ712" s="2">
        <f t="shared" si="98"/>
        <v>0</v>
      </c>
      <c r="AK712" s="2">
        <f t="shared" si="95"/>
        <v>4.0641999999999996</v>
      </c>
      <c r="AL712" s="5">
        <f t="shared" si="9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9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97"/>
        <v>0</v>
      </c>
      <c r="AG713" s="2">
        <v>10.6</v>
      </c>
      <c r="AH713" s="2">
        <v>18</v>
      </c>
      <c r="AJ713" s="2">
        <f t="shared" si="98"/>
        <v>0</v>
      </c>
      <c r="AK713" s="2">
        <f t="shared" si="95"/>
        <v>44</v>
      </c>
      <c r="AL713" s="5">
        <f t="shared" si="9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9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97"/>
        <v>0</v>
      </c>
      <c r="AJ714" s="2">
        <f t="shared" si="98"/>
        <v>0</v>
      </c>
      <c r="AK714" s="2">
        <f t="shared" si="95"/>
        <v>4.5</v>
      </c>
      <c r="AL714" s="5">
        <f t="shared" si="9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9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97"/>
        <v>0</v>
      </c>
      <c r="AG715" s="2">
        <v>2242.31</v>
      </c>
      <c r="AJ715" s="2">
        <f t="shared" si="98"/>
        <v>0</v>
      </c>
      <c r="AK715" s="2">
        <f t="shared" si="95"/>
        <v>207.69000000000005</v>
      </c>
      <c r="AL715" s="5">
        <f t="shared" si="9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9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97"/>
        <v>0</v>
      </c>
      <c r="AJ716" s="2">
        <f t="shared" si="98"/>
        <v>0</v>
      </c>
      <c r="AK716" s="2">
        <f t="shared" si="95"/>
        <v>39.904200000000003</v>
      </c>
      <c r="AL716" s="5">
        <f t="shared" si="9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9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97"/>
        <v>0</v>
      </c>
      <c r="AJ717" s="2">
        <f t="shared" si="98"/>
        <v>0</v>
      </c>
      <c r="AK717" s="2">
        <f t="shared" si="95"/>
        <v>354.09659999999997</v>
      </c>
      <c r="AL717" s="5">
        <f t="shared" si="9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9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97"/>
        <v>0</v>
      </c>
      <c r="AG718" s="2">
        <v>3.7357999999999998</v>
      </c>
      <c r="AH718" s="2">
        <v>9</v>
      </c>
      <c r="AJ718" s="2">
        <f t="shared" si="98"/>
        <v>0</v>
      </c>
      <c r="AK718" s="2">
        <f t="shared" si="95"/>
        <v>21.056800000000003</v>
      </c>
      <c r="AL718" s="5">
        <f t="shared" si="9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9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97"/>
        <v>0</v>
      </c>
      <c r="AJ719" s="2">
        <f t="shared" si="98"/>
        <v>0</v>
      </c>
      <c r="AK719" s="2">
        <f t="shared" si="95"/>
        <v>30</v>
      </c>
      <c r="AL719" s="5">
        <f t="shared" si="9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9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97"/>
        <v>0</v>
      </c>
      <c r="AJ720" s="2">
        <f t="shared" si="98"/>
        <v>0</v>
      </c>
      <c r="AK720" s="2">
        <f t="shared" si="95"/>
        <v>50</v>
      </c>
      <c r="AL720" s="5">
        <f t="shared" si="9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9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97"/>
        <v>0</v>
      </c>
      <c r="AG721" s="2">
        <v>7.9611999999999998</v>
      </c>
      <c r="AH721" s="2">
        <v>14.4</v>
      </c>
      <c r="AJ721" s="2">
        <f t="shared" si="98"/>
        <v>0</v>
      </c>
      <c r="AK721" s="2">
        <f t="shared" si="95"/>
        <v>7.0388000000000002</v>
      </c>
      <c r="AL721" s="5">
        <f t="shared" si="9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97"/>
        <v>0</v>
      </c>
      <c r="AJ722" s="2">
        <f t="shared" si="98"/>
        <v>0</v>
      </c>
      <c r="AK722" s="2">
        <f t="shared" si="95"/>
        <v>30</v>
      </c>
      <c r="AL722" s="5">
        <f t="shared" si="9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97"/>
        <v>0</v>
      </c>
      <c r="AJ723" s="2">
        <f t="shared" si="98"/>
        <v>0</v>
      </c>
      <c r="AK723" s="2">
        <f t="shared" si="95"/>
        <v>25</v>
      </c>
      <c r="AL723" s="5">
        <f t="shared" si="9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9"/>
        <v>1</v>
      </c>
      <c r="Z724" s="2" t="s">
        <v>119</v>
      </c>
      <c r="AA724" s="2" t="s">
        <v>3379</v>
      </c>
      <c r="AF724" s="2">
        <f t="shared" si="97"/>
        <v>0</v>
      </c>
      <c r="AJ724" s="2">
        <f t="shared" si="98"/>
        <v>0</v>
      </c>
      <c r="AK724" s="2">
        <f t="shared" si="95"/>
        <v>122.56</v>
      </c>
      <c r="AL724" s="5">
        <f t="shared" si="96"/>
        <v>1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97"/>
        <v>0</v>
      </c>
      <c r="AG725" s="2">
        <v>117.453</v>
      </c>
      <c r="AH725" s="2">
        <v>220</v>
      </c>
      <c r="AJ725" s="2">
        <f t="shared" si="98"/>
        <v>0</v>
      </c>
      <c r="AK725" s="2">
        <f t="shared" si="95"/>
        <v>92.546999999999997</v>
      </c>
      <c r="AL725" s="5">
        <f t="shared" si="9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97"/>
        <v>0</v>
      </c>
      <c r="AJ726" s="2">
        <f t="shared" si="98"/>
        <v>0</v>
      </c>
      <c r="AK726" s="2">
        <f t="shared" si="95"/>
        <v>0</v>
      </c>
      <c r="AL726" s="5">
        <f t="shared" si="96"/>
        <v>0</v>
      </c>
    </row>
    <row r="727" spans="1:38" x14ac:dyDescent="0.2">
      <c r="A727" s="2">
        <v>2025</v>
      </c>
      <c r="B727" s="2">
        <v>3</v>
      </c>
      <c r="C727" s="2" t="s">
        <v>3453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97"/>
        <v>0</v>
      </c>
      <c r="AJ727" s="2">
        <f t="shared" si="98"/>
        <v>0</v>
      </c>
      <c r="AK727" s="2">
        <f t="shared" si="95"/>
        <v>118.19999999999999</v>
      </c>
      <c r="AL727" s="5">
        <f t="shared" si="96"/>
        <v>0.6</v>
      </c>
    </row>
    <row r="728" spans="1:38" x14ac:dyDescent="0.2">
      <c r="A728" s="2">
        <v>2025</v>
      </c>
      <c r="B728" s="2">
        <v>3</v>
      </c>
      <c r="C728" s="2" t="s">
        <v>3453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97"/>
        <v>0</v>
      </c>
      <c r="AJ728" s="2">
        <f t="shared" si="98"/>
        <v>0</v>
      </c>
      <c r="AK728" s="2">
        <f t="shared" si="95"/>
        <v>18.75</v>
      </c>
      <c r="AL728" s="5">
        <f t="shared" si="9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97"/>
        <v>0</v>
      </c>
      <c r="AJ729" s="2">
        <f t="shared" si="98"/>
        <v>0</v>
      </c>
      <c r="AK729" s="2">
        <f t="shared" si="95"/>
        <v>1.23</v>
      </c>
      <c r="AL729" s="5">
        <f t="shared" si="9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97"/>
        <v>0</v>
      </c>
      <c r="AJ730" s="2">
        <f t="shared" si="98"/>
        <v>0</v>
      </c>
      <c r="AK730" s="2">
        <f t="shared" si="95"/>
        <v>8.8000000000000007</v>
      </c>
      <c r="AL730" s="5">
        <f t="shared" si="96"/>
        <v>0.32592592592592595</v>
      </c>
    </row>
    <row r="731" spans="1:38" x14ac:dyDescent="0.2">
      <c r="A731" s="2">
        <v>2025</v>
      </c>
      <c r="B731" s="2">
        <v>3</v>
      </c>
      <c r="C731" s="2" t="s">
        <v>3456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97"/>
        <v>0</v>
      </c>
      <c r="AJ731" s="2">
        <f t="shared" si="98"/>
        <v>0</v>
      </c>
      <c r="AK731" s="2">
        <f t="shared" si="95"/>
        <v>71.500000000000014</v>
      </c>
      <c r="AL731" s="5">
        <f t="shared" si="96"/>
        <v>0.39450452438755246</v>
      </c>
    </row>
    <row r="732" spans="1:38" x14ac:dyDescent="0.2">
      <c r="A732" s="2">
        <v>2025</v>
      </c>
      <c r="B732" s="2">
        <v>3</v>
      </c>
      <c r="C732" s="2" t="s">
        <v>3456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97"/>
        <v>0</v>
      </c>
      <c r="AJ732" s="2">
        <f t="shared" si="98"/>
        <v>0</v>
      </c>
      <c r="AK732" s="2">
        <f t="shared" si="95"/>
        <v>0</v>
      </c>
      <c r="AL732" s="5">
        <f t="shared" ref="AL732:AL763" si="10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97"/>
        <v>0</v>
      </c>
      <c r="AJ733" s="2">
        <f t="shared" si="98"/>
        <v>0</v>
      </c>
      <c r="AK733" s="2">
        <f t="shared" si="95"/>
        <v>40.200000000000003</v>
      </c>
      <c r="AL733" s="5">
        <f t="shared" si="10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97"/>
        <v>0</v>
      </c>
      <c r="AJ734" s="2">
        <f t="shared" si="98"/>
        <v>0</v>
      </c>
      <c r="AK734" s="2">
        <f t="shared" si="95"/>
        <v>25</v>
      </c>
      <c r="AL734" s="5">
        <f t="shared" si="10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97"/>
        <v>0</v>
      </c>
      <c r="AJ735" s="2">
        <f t="shared" si="98"/>
        <v>0</v>
      </c>
      <c r="AK735" s="2">
        <f t="shared" si="95"/>
        <v>178</v>
      </c>
      <c r="AL735" s="5">
        <f t="shared" si="10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97"/>
        <v>0</v>
      </c>
      <c r="AG736" s="2">
        <v>5.4833999999999996</v>
      </c>
      <c r="AJ736" s="2">
        <f t="shared" si="98"/>
        <v>0</v>
      </c>
      <c r="AK736" s="2">
        <f t="shared" si="95"/>
        <v>11.953200000000002</v>
      </c>
      <c r="AL736" s="5">
        <f t="shared" si="10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99"/>
        <v>-0.2</v>
      </c>
      <c r="Z737" s="2" t="s">
        <v>169</v>
      </c>
      <c r="AA737" s="2" t="s">
        <v>169</v>
      </c>
      <c r="AF737" s="2">
        <f t="shared" si="97"/>
        <v>0</v>
      </c>
      <c r="AJ737" s="2">
        <f t="shared" si="98"/>
        <v>0</v>
      </c>
      <c r="AK737" s="2">
        <f t="shared" si="95"/>
        <v>-1</v>
      </c>
      <c r="AL737" s="5">
        <f t="shared" si="10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9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97"/>
        <v>0</v>
      </c>
      <c r="AJ738" s="2">
        <f t="shared" si="98"/>
        <v>0</v>
      </c>
      <c r="AK738" s="2">
        <f t="shared" si="95"/>
        <v>99.75</v>
      </c>
      <c r="AL738" s="5">
        <f t="shared" si="10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97"/>
        <v>0</v>
      </c>
      <c r="AJ739" s="2">
        <f t="shared" si="98"/>
        <v>0</v>
      </c>
      <c r="AK739" s="2">
        <f t="shared" si="95"/>
        <v>7.509999999999998</v>
      </c>
      <c r="AL739" s="5">
        <f t="shared" si="10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3331</v>
      </c>
      <c r="AF740" s="2">
        <f t="shared" si="97"/>
        <v>0</v>
      </c>
      <c r="AJ740" s="2">
        <f t="shared" si="98"/>
        <v>0</v>
      </c>
      <c r="AK740" s="2">
        <f t="shared" si="95"/>
        <v>-6.3999999999999986</v>
      </c>
      <c r="AL740" s="5">
        <f t="shared" si="10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97"/>
        <v>0</v>
      </c>
      <c r="AG741" s="2">
        <v>10.67</v>
      </c>
      <c r="AH741" s="2">
        <v>21</v>
      </c>
      <c r="AJ741" s="2">
        <f t="shared" si="98"/>
        <v>0</v>
      </c>
      <c r="AK741" s="2">
        <f t="shared" si="95"/>
        <v>9.990000000000002</v>
      </c>
      <c r="AL741" s="5">
        <f t="shared" si="10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97"/>
        <v>0</v>
      </c>
      <c r="AG742" s="2">
        <v>9.3000000000000007</v>
      </c>
      <c r="AH742" s="2">
        <v>21</v>
      </c>
      <c r="AJ742" s="2">
        <f t="shared" si="98"/>
        <v>0</v>
      </c>
      <c r="AK742" s="2">
        <f t="shared" si="95"/>
        <v>4.6999999999999993</v>
      </c>
      <c r="AL742" s="5">
        <f t="shared" si="10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97"/>
        <v>0</v>
      </c>
      <c r="AG743" s="2">
        <v>3.7357999999999998</v>
      </c>
      <c r="AH743" s="2">
        <v>9</v>
      </c>
      <c r="AJ743" s="2">
        <f t="shared" si="98"/>
        <v>0</v>
      </c>
      <c r="AK743" s="2">
        <f t="shared" si="95"/>
        <v>4.0641999999999996</v>
      </c>
      <c r="AL743" s="5">
        <f t="shared" si="10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97"/>
        <v>0</v>
      </c>
      <c r="AG744" s="2">
        <v>10.6</v>
      </c>
      <c r="AH744" s="2">
        <v>18</v>
      </c>
      <c r="AJ744" s="2">
        <f t="shared" si="98"/>
        <v>0</v>
      </c>
      <c r="AK744" s="2">
        <f t="shared" si="95"/>
        <v>36.400000000000006</v>
      </c>
      <c r="AL744" s="5">
        <f t="shared" si="10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97"/>
        <v>0</v>
      </c>
      <c r="AG745" s="2">
        <v>8.1999999999999993</v>
      </c>
      <c r="AH745" s="2">
        <v>13</v>
      </c>
      <c r="AJ745" s="2">
        <f t="shared" si="98"/>
        <v>0</v>
      </c>
      <c r="AK745" s="2">
        <f t="shared" si="95"/>
        <v>9.5999999999999979</v>
      </c>
      <c r="AL745" s="5">
        <f t="shared" si="10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97"/>
        <v>0</v>
      </c>
      <c r="AG746" s="2">
        <v>3.7555999999999998</v>
      </c>
      <c r="AH746" s="2">
        <v>7.2</v>
      </c>
      <c r="AJ746" s="2">
        <f t="shared" si="98"/>
        <v>0</v>
      </c>
      <c r="AK746" s="2">
        <f t="shared" si="95"/>
        <v>11.377599999999999</v>
      </c>
      <c r="AL746" s="5">
        <f t="shared" si="10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97"/>
        <v>0</v>
      </c>
      <c r="AG747" s="2">
        <v>0.85609999999999997</v>
      </c>
      <c r="AH747" s="2">
        <v>1.8</v>
      </c>
      <c r="AJ747" s="2">
        <f t="shared" si="98"/>
        <v>0</v>
      </c>
      <c r="AK747" s="2">
        <f t="shared" si="95"/>
        <v>15.482899999999999</v>
      </c>
      <c r="AL747" s="5">
        <f t="shared" si="10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97"/>
        <v>0</v>
      </c>
      <c r="AG748" s="2">
        <v>7.9611999999999998</v>
      </c>
      <c r="AH748" s="2">
        <v>14.4</v>
      </c>
      <c r="AJ748" s="2">
        <f t="shared" si="98"/>
        <v>0</v>
      </c>
      <c r="AK748" s="2">
        <f t="shared" si="95"/>
        <v>6.5388000000000002</v>
      </c>
      <c r="AL748" s="5">
        <f t="shared" si="10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97"/>
        <v>0</v>
      </c>
      <c r="AG749" s="2">
        <v>8.3145000000000007</v>
      </c>
      <c r="AH749" s="2">
        <v>15</v>
      </c>
      <c r="AJ749" s="2">
        <f t="shared" si="98"/>
        <v>0</v>
      </c>
      <c r="AK749" s="2">
        <f t="shared" si="95"/>
        <v>3.6854999999999993</v>
      </c>
      <c r="AL749" s="5">
        <f t="shared" si="10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97"/>
        <v>0</v>
      </c>
      <c r="AG750" s="2">
        <v>117.453</v>
      </c>
      <c r="AH750" s="2">
        <v>220</v>
      </c>
      <c r="AJ750" s="2">
        <f t="shared" si="98"/>
        <v>0</v>
      </c>
      <c r="AK750" s="2">
        <f t="shared" si="95"/>
        <v>343.40100000000001</v>
      </c>
      <c r="AL750" s="5">
        <f t="shared" si="10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97"/>
        <v>0</v>
      </c>
      <c r="AG751" s="2">
        <v>122.446</v>
      </c>
      <c r="AH751" s="2">
        <v>230</v>
      </c>
      <c r="AJ751" s="2">
        <f t="shared" si="98"/>
        <v>0</v>
      </c>
      <c r="AK751" s="2">
        <f t="shared" si="95"/>
        <v>159.32800000000003</v>
      </c>
      <c r="AL751" s="5">
        <f t="shared" si="10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97"/>
        <v>0</v>
      </c>
      <c r="AG752" s="2">
        <f>110.125+11.77</f>
        <v>121.895</v>
      </c>
      <c r="AJ752" s="2">
        <f t="shared" si="98"/>
        <v>0</v>
      </c>
      <c r="AK752" s="2">
        <f t="shared" si="95"/>
        <v>23.105000000000004</v>
      </c>
      <c r="AL752" s="5">
        <f t="shared" si="10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97"/>
        <v>0</v>
      </c>
      <c r="AJ753" s="2">
        <f t="shared" si="98"/>
        <v>0</v>
      </c>
      <c r="AK753" s="2">
        <f t="shared" si="95"/>
        <v>161.16000000000003</v>
      </c>
      <c r="AL753" s="5">
        <f t="shared" si="10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0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97"/>
        <v>0</v>
      </c>
      <c r="AJ754" s="2">
        <f t="shared" si="98"/>
        <v>0</v>
      </c>
      <c r="AK754" s="2">
        <f t="shared" si="95"/>
        <v>0</v>
      </c>
      <c r="AL754" s="5">
        <f t="shared" si="10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97"/>
        <v>0</v>
      </c>
      <c r="AJ755" s="2">
        <f t="shared" si="98"/>
        <v>0</v>
      </c>
      <c r="AK755" s="2">
        <f t="shared" si="95"/>
        <v>-20000</v>
      </c>
      <c r="AL755" s="5">
        <f t="shared" si="100"/>
        <v>1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0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97"/>
        <v>0</v>
      </c>
      <c r="AJ756" s="2">
        <f t="shared" si="98"/>
        <v>0</v>
      </c>
      <c r="AK756" s="2">
        <f t="shared" ref="AK756:AK774" si="102">T756-W756</f>
        <v>7.26</v>
      </c>
      <c r="AL756" s="5">
        <f t="shared" si="10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0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97"/>
        <v>0</v>
      </c>
      <c r="AJ757" s="2">
        <f t="shared" si="98"/>
        <v>0</v>
      </c>
      <c r="AK757" s="2">
        <f t="shared" si="102"/>
        <v>61.949999999999989</v>
      </c>
      <c r="AL757" s="5">
        <f t="shared" si="10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Z758" s="2" t="s">
        <v>104</v>
      </c>
      <c r="AF758" s="2">
        <f t="shared" si="97"/>
        <v>0</v>
      </c>
      <c r="AJ758" s="2">
        <f t="shared" si="98"/>
        <v>0</v>
      </c>
      <c r="AK758" s="2">
        <f t="shared" si="102"/>
        <v>0</v>
      </c>
      <c r="AL758" s="5" t="e">
        <f t="shared" si="10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03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97"/>
        <v>0</v>
      </c>
      <c r="AJ759" s="2">
        <f t="shared" si="98"/>
        <v>0</v>
      </c>
      <c r="AK759" s="2">
        <f t="shared" si="102"/>
        <v>370.79999999999995</v>
      </c>
      <c r="AL759" s="5">
        <f t="shared" si="10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03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97"/>
        <v>0</v>
      </c>
      <c r="AJ760" s="2">
        <f t="shared" si="98"/>
        <v>0</v>
      </c>
      <c r="AK760" s="2">
        <f t="shared" si="102"/>
        <v>37.799999999999997</v>
      </c>
      <c r="AL760" s="5">
        <f t="shared" si="10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03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97"/>
        <v>0</v>
      </c>
      <c r="AJ761" s="2">
        <f t="shared" si="98"/>
        <v>0</v>
      </c>
      <c r="AK761" s="2">
        <f t="shared" si="102"/>
        <v>12.5</v>
      </c>
      <c r="AL761" s="5">
        <f t="shared" si="10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103"/>
        <v>1</v>
      </c>
      <c r="Z762" s="2" t="s">
        <v>119</v>
      </c>
      <c r="AA762" s="2" t="s">
        <v>3379</v>
      </c>
      <c r="AF762" s="2">
        <f t="shared" si="97"/>
        <v>0</v>
      </c>
      <c r="AJ762" s="2">
        <f t="shared" si="98"/>
        <v>0</v>
      </c>
      <c r="AK762" s="2">
        <f t="shared" si="102"/>
        <v>12.22</v>
      </c>
      <c r="AL762" s="5">
        <f t="shared" si="100"/>
        <v>1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03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97"/>
        <v>0</v>
      </c>
      <c r="AG763" s="2">
        <v>8.1999999999999993</v>
      </c>
      <c r="AH763" s="2">
        <v>13</v>
      </c>
      <c r="AJ763" s="2">
        <f t="shared" si="98"/>
        <v>0</v>
      </c>
      <c r="AK763" s="2">
        <f t="shared" si="102"/>
        <v>23</v>
      </c>
      <c r="AL763" s="5">
        <f t="shared" si="10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03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97"/>
        <v>0</v>
      </c>
      <c r="AJ764" s="2">
        <f t="shared" si="98"/>
        <v>0</v>
      </c>
      <c r="AK764" s="2">
        <f t="shared" si="102"/>
        <v>17.91</v>
      </c>
      <c r="AL764" s="5">
        <f t="shared" ref="AL764:AL774" si="104">(T764-W764)/T764</f>
        <v>0.62688134406720331</v>
      </c>
    </row>
    <row r="765" spans="1:38" x14ac:dyDescent="0.2">
      <c r="A765" s="2">
        <v>2025</v>
      </c>
      <c r="B765" s="2">
        <v>4</v>
      </c>
      <c r="D765" s="2" t="s">
        <v>143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03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97"/>
        <v>0</v>
      </c>
      <c r="AJ765" s="2">
        <f t="shared" si="98"/>
        <v>0</v>
      </c>
      <c r="AK765" s="2">
        <f t="shared" si="102"/>
        <v>136.80000000000001</v>
      </c>
      <c r="AL765" s="5">
        <f t="shared" si="104"/>
        <v>0.60000000000000009</v>
      </c>
    </row>
    <row r="766" spans="1:38" x14ac:dyDescent="0.2">
      <c r="A766" s="2">
        <v>2025</v>
      </c>
      <c r="B766" s="2">
        <v>4</v>
      </c>
      <c r="D766" s="2" t="s">
        <v>143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03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97"/>
        <v>0</v>
      </c>
      <c r="AJ766" s="2">
        <f t="shared" si="98"/>
        <v>0</v>
      </c>
      <c r="AK766" s="2">
        <f t="shared" si="102"/>
        <v>50</v>
      </c>
      <c r="AL766" s="5">
        <f t="shared" si="104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T767*75%</f>
        <v>937.5</v>
      </c>
      <c r="X767" s="5">
        <f t="shared" si="103"/>
        <v>0.25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97"/>
        <v>0</v>
      </c>
      <c r="AJ767" s="2">
        <f t="shared" si="98"/>
        <v>0</v>
      </c>
      <c r="AK767" s="2">
        <f t="shared" si="102"/>
        <v>312.5</v>
      </c>
      <c r="AL767" s="5">
        <f t="shared" si="104"/>
        <v>0.25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03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97"/>
        <v>0</v>
      </c>
      <c r="AJ768" s="2">
        <f t="shared" si="98"/>
        <v>0</v>
      </c>
      <c r="AK768" s="2">
        <f t="shared" si="102"/>
        <v>141.86000000000001</v>
      </c>
      <c r="AL768" s="5">
        <f t="shared" si="104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03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97"/>
        <v>0</v>
      </c>
      <c r="AJ769" s="2">
        <f t="shared" si="98"/>
        <v>0</v>
      </c>
      <c r="AK769" s="2">
        <f t="shared" si="102"/>
        <v>800</v>
      </c>
      <c r="AL769" s="5">
        <f t="shared" si="104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03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05">AJ770</f>
        <v>0</v>
      </c>
      <c r="AJ770" s="2">
        <f t="shared" ref="AJ770:AJ833" si="106">AI770*T770</f>
        <v>0</v>
      </c>
      <c r="AK770" s="2">
        <f t="shared" si="102"/>
        <v>103.5</v>
      </c>
      <c r="AL770" s="5">
        <f t="shared" si="104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05"/>
        <v>0</v>
      </c>
      <c r="AJ771" s="2">
        <f t="shared" si="106"/>
        <v>0</v>
      </c>
      <c r="AK771" s="2">
        <f t="shared" si="102"/>
        <v>0</v>
      </c>
      <c r="AL771" s="5" t="e">
        <f t="shared" si="104"/>
        <v>#DIV/0!</v>
      </c>
    </row>
    <row r="772" spans="1:38" x14ac:dyDescent="0.2">
      <c r="A772" s="2">
        <v>2025</v>
      </c>
      <c r="B772" s="2">
        <v>4</v>
      </c>
      <c r="C772" s="2" t="s">
        <v>3407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05"/>
        <v>0</v>
      </c>
      <c r="AJ772" s="2">
        <f t="shared" si="106"/>
        <v>0</v>
      </c>
      <c r="AK772" s="2">
        <f t="shared" si="102"/>
        <v>22.6</v>
      </c>
      <c r="AL772" s="5">
        <f t="shared" si="104"/>
        <v>0.3228571428571429</v>
      </c>
    </row>
    <row r="773" spans="1:38" x14ac:dyDescent="0.2">
      <c r="A773" s="2">
        <v>2025</v>
      </c>
      <c r="B773" s="2">
        <v>4</v>
      </c>
      <c r="C773" s="2" t="s">
        <v>3321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05"/>
        <v>0</v>
      </c>
      <c r="AJ773" s="2">
        <f t="shared" si="106"/>
        <v>0</v>
      </c>
      <c r="AK773" s="2">
        <f t="shared" si="102"/>
        <v>352.72999999999996</v>
      </c>
      <c r="AL773" s="5">
        <f t="shared" si="104"/>
        <v>0.50440440440440437</v>
      </c>
    </row>
    <row r="774" spans="1:38" x14ac:dyDescent="0.2">
      <c r="A774" s="2">
        <v>2025</v>
      </c>
      <c r="B774" s="2">
        <v>4</v>
      </c>
      <c r="C774" s="2" t="s">
        <v>3321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05"/>
        <v>0</v>
      </c>
      <c r="AJ774" s="2">
        <f t="shared" si="106"/>
        <v>0</v>
      </c>
      <c r="AK774" s="2">
        <f t="shared" si="102"/>
        <v>43.8</v>
      </c>
      <c r="AL774" s="5">
        <f t="shared" si="104"/>
        <v>0.6</v>
      </c>
    </row>
    <row r="775" spans="1:38" x14ac:dyDescent="0.2">
      <c r="A775" s="2">
        <v>2025</v>
      </c>
      <c r="B775" s="2">
        <v>4</v>
      </c>
      <c r="C775" s="2" t="s">
        <v>3321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05"/>
        <v>0</v>
      </c>
      <c r="AJ775" s="2">
        <f t="shared" si="106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05"/>
        <v>0</v>
      </c>
      <c r="AJ776" s="2">
        <f t="shared" si="106"/>
        <v>0</v>
      </c>
      <c r="AK776" s="2">
        <f t="shared" ref="AK776:AK793" si="107">T776-W776</f>
        <v>14.399999999999999</v>
      </c>
      <c r="AL776" s="5">
        <f t="shared" ref="AL776:AL793" si="108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05"/>
        <v>0</v>
      </c>
      <c r="AJ777" s="2">
        <f t="shared" si="106"/>
        <v>0</v>
      </c>
      <c r="AK777" s="2">
        <f t="shared" si="107"/>
        <v>0</v>
      </c>
      <c r="AL777" s="5" t="e">
        <f t="shared" si="108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09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05"/>
        <v>0</v>
      </c>
      <c r="AJ778" s="2">
        <f t="shared" si="106"/>
        <v>0</v>
      </c>
      <c r="AK778" s="2">
        <f t="shared" si="107"/>
        <v>25</v>
      </c>
      <c r="AL778" s="5">
        <f t="shared" si="108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09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05"/>
        <v>0</v>
      </c>
      <c r="AG779" s="2">
        <v>1.8107</v>
      </c>
      <c r="AH779" s="2">
        <v>3</v>
      </c>
      <c r="AJ779" s="2">
        <f t="shared" si="106"/>
        <v>0</v>
      </c>
      <c r="AK779" s="2">
        <f t="shared" si="107"/>
        <v>3.1893000000000002</v>
      </c>
      <c r="AL779" s="5">
        <f t="shared" si="108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09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05"/>
        <v>0</v>
      </c>
      <c r="AG780" s="2">
        <v>20.3</v>
      </c>
      <c r="AH780" s="2">
        <v>30.6</v>
      </c>
      <c r="AJ780" s="2">
        <f t="shared" si="106"/>
        <v>0</v>
      </c>
      <c r="AK780" s="2">
        <f t="shared" si="107"/>
        <v>4.6999999999999993</v>
      </c>
      <c r="AL780" s="5">
        <f t="shared" si="108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09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05"/>
        <v>0</v>
      </c>
      <c r="AG781" s="2">
        <v>18.934200000000001</v>
      </c>
      <c r="AH781" s="2">
        <v>29</v>
      </c>
      <c r="AJ781" s="2">
        <f t="shared" si="106"/>
        <v>0</v>
      </c>
      <c r="AK781" s="2">
        <f t="shared" si="107"/>
        <v>44.263199999999998</v>
      </c>
      <c r="AL781" s="5">
        <f t="shared" si="108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09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05"/>
        <v>0</v>
      </c>
      <c r="AG782" s="2">
        <v>7.2217000000000002</v>
      </c>
      <c r="AH782" s="2">
        <v>14.4</v>
      </c>
      <c r="AJ782" s="2">
        <f t="shared" si="106"/>
        <v>0</v>
      </c>
      <c r="AK782" s="2">
        <f t="shared" si="107"/>
        <v>5.9782999999999991</v>
      </c>
      <c r="AL782" s="5">
        <f t="shared" si="108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09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05"/>
        <v>0</v>
      </c>
      <c r="AJ783" s="2">
        <f t="shared" si="106"/>
        <v>0</v>
      </c>
      <c r="AK783" s="2">
        <f t="shared" si="107"/>
        <v>7.125</v>
      </c>
      <c r="AL783" s="5">
        <f t="shared" si="108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09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05"/>
        <v>0</v>
      </c>
      <c r="AJ784" s="2">
        <f t="shared" si="106"/>
        <v>0</v>
      </c>
      <c r="AK784" s="2">
        <f t="shared" si="107"/>
        <v>8.7550000000000008</v>
      </c>
      <c r="AL784" s="5">
        <f t="shared" si="108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09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05"/>
        <v>0</v>
      </c>
      <c r="AJ785" s="2">
        <f t="shared" si="106"/>
        <v>0</v>
      </c>
      <c r="AK785" s="2">
        <f t="shared" si="107"/>
        <v>10.593299999999999</v>
      </c>
      <c r="AL785" s="5">
        <f t="shared" si="108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09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05"/>
        <v>0</v>
      </c>
      <c r="AJ786" s="2">
        <f t="shared" si="106"/>
        <v>0</v>
      </c>
      <c r="AK786" s="2">
        <f t="shared" si="107"/>
        <v>7.5654000000000003</v>
      </c>
      <c r="AL786" s="5">
        <f t="shared" si="108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09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05"/>
        <v>0</v>
      </c>
      <c r="AG787" s="2">
        <v>10.6</v>
      </c>
      <c r="AH787" s="2">
        <v>18</v>
      </c>
      <c r="AJ787" s="2">
        <f t="shared" si="106"/>
        <v>0</v>
      </c>
      <c r="AK787" s="2">
        <f t="shared" si="107"/>
        <v>22.200000000000003</v>
      </c>
      <c r="AL787" s="5">
        <f t="shared" si="108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05"/>
        <v>0</v>
      </c>
      <c r="AJ788" s="2">
        <f t="shared" si="106"/>
        <v>0</v>
      </c>
      <c r="AK788" s="2">
        <f t="shared" si="107"/>
        <v>0</v>
      </c>
      <c r="AL788" s="5" t="e">
        <f t="shared" si="108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05"/>
        <v>0</v>
      </c>
      <c r="AJ789" s="2">
        <f t="shared" si="106"/>
        <v>0</v>
      </c>
      <c r="AK789" s="2">
        <f t="shared" si="107"/>
        <v>4222.4049999999997</v>
      </c>
      <c r="AL789" s="5">
        <f t="shared" si="108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05"/>
        <v>0</v>
      </c>
      <c r="AJ790" s="2">
        <f t="shared" si="106"/>
        <v>0</v>
      </c>
      <c r="AK790" s="2">
        <f t="shared" si="107"/>
        <v>45.2</v>
      </c>
      <c r="AL790" s="5">
        <f t="shared" si="108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05"/>
        <v>0</v>
      </c>
      <c r="AJ791" s="2">
        <f t="shared" si="106"/>
        <v>0</v>
      </c>
      <c r="AK791" s="2">
        <f t="shared" si="107"/>
        <v>4</v>
      </c>
      <c r="AL791" s="5">
        <f t="shared" si="108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05"/>
        <v>0</v>
      </c>
      <c r="AG792" s="2">
        <v>117.453</v>
      </c>
      <c r="AH792" s="2">
        <v>220</v>
      </c>
      <c r="AJ792" s="2">
        <f t="shared" si="106"/>
        <v>0</v>
      </c>
      <c r="AK792" s="2">
        <f t="shared" si="107"/>
        <v>100.917</v>
      </c>
      <c r="AL792" s="5">
        <f t="shared" si="108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05"/>
        <v>0</v>
      </c>
      <c r="AJ793" s="2">
        <f t="shared" si="106"/>
        <v>0</v>
      </c>
      <c r="AK793" s="2">
        <f t="shared" si="107"/>
        <v>0</v>
      </c>
      <c r="AL793" s="5">
        <f t="shared" si="108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119</v>
      </c>
      <c r="AA794" s="2" t="s">
        <v>3379</v>
      </c>
      <c r="AF794" s="2">
        <f t="shared" si="105"/>
        <v>0</v>
      </c>
      <c r="AJ794" s="2">
        <f t="shared" si="106"/>
        <v>0</v>
      </c>
    </row>
    <row r="795" spans="1:38" x14ac:dyDescent="0.2">
      <c r="A795" s="2">
        <v>2025</v>
      </c>
      <c r="B795" s="2">
        <v>4</v>
      </c>
      <c r="C795" s="2" t="s">
        <v>3310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10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05"/>
        <v>0</v>
      </c>
      <c r="AJ795" s="2">
        <f t="shared" si="106"/>
        <v>0</v>
      </c>
      <c r="AK795" s="2">
        <f t="shared" ref="AK795:AK827" si="111">T795-W795</f>
        <v>96.77000000000001</v>
      </c>
      <c r="AL795" s="5">
        <f t="shared" ref="AL795:AL827" si="112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3310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10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05"/>
        <v>0</v>
      </c>
      <c r="AJ796" s="2">
        <f t="shared" si="106"/>
        <v>0</v>
      </c>
      <c r="AK796" s="2">
        <f t="shared" si="111"/>
        <v>0</v>
      </c>
      <c r="AL796" s="5">
        <f t="shared" si="112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10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05"/>
        <v>0</v>
      </c>
      <c r="AG797" s="2">
        <v>117.453</v>
      </c>
      <c r="AH797" s="2">
        <v>220</v>
      </c>
      <c r="AJ797" s="2">
        <f t="shared" si="106"/>
        <v>0</v>
      </c>
      <c r="AK797" s="2">
        <f t="shared" si="111"/>
        <v>165.09399999999999</v>
      </c>
      <c r="AL797" s="5">
        <f t="shared" si="112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10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05"/>
        <v>0</v>
      </c>
      <c r="AG798" s="2">
        <v>1.1399999999999999</v>
      </c>
      <c r="AH798" s="2">
        <v>1.1399999999999999</v>
      </c>
      <c r="AJ798" s="2">
        <f t="shared" si="106"/>
        <v>0</v>
      </c>
      <c r="AK798" s="2">
        <f t="shared" si="111"/>
        <v>0</v>
      </c>
      <c r="AL798" s="5">
        <f t="shared" si="112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10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05"/>
        <v>0</v>
      </c>
      <c r="AJ799" s="2">
        <f t="shared" si="106"/>
        <v>0</v>
      </c>
      <c r="AK799" s="2">
        <f t="shared" si="111"/>
        <v>448</v>
      </c>
      <c r="AL799" s="5">
        <f t="shared" si="112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10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05"/>
        <v>0</v>
      </c>
      <c r="AJ800" s="2">
        <f t="shared" si="106"/>
        <v>0</v>
      </c>
      <c r="AK800" s="2">
        <f t="shared" si="111"/>
        <v>244.07</v>
      </c>
      <c r="AL800" s="5">
        <f t="shared" si="112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10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05"/>
        <v>0</v>
      </c>
      <c r="AJ801" s="2">
        <f t="shared" si="106"/>
        <v>0</v>
      </c>
      <c r="AK801" s="2">
        <f t="shared" si="111"/>
        <v>100</v>
      </c>
      <c r="AL801" s="5">
        <f t="shared" si="112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Z802" s="2" t="s">
        <v>117</v>
      </c>
      <c r="AA802" s="2" t="s">
        <v>118</v>
      </c>
      <c r="AB802" s="2" t="s">
        <v>119</v>
      </c>
      <c r="AF802" s="2">
        <f t="shared" si="105"/>
        <v>0</v>
      </c>
      <c r="AJ802" s="2">
        <f t="shared" si="106"/>
        <v>0</v>
      </c>
      <c r="AK802" s="2">
        <f t="shared" si="111"/>
        <v>0</v>
      </c>
      <c r="AL802" s="5" t="e">
        <f t="shared" si="112"/>
        <v>#DIV/0!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13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05"/>
        <v>0</v>
      </c>
      <c r="AJ803" s="2">
        <f t="shared" si="106"/>
        <v>0</v>
      </c>
      <c r="AK803" s="2">
        <f t="shared" si="111"/>
        <v>188.89</v>
      </c>
      <c r="AL803" s="5">
        <f t="shared" si="112"/>
        <v>0.52938538718085248</v>
      </c>
    </row>
    <row r="804" spans="1:38" x14ac:dyDescent="0.2">
      <c r="A804" s="2">
        <v>2025</v>
      </c>
      <c r="B804" s="2">
        <v>4</v>
      </c>
      <c r="C804" s="2" t="s">
        <v>3310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13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05"/>
        <v>0</v>
      </c>
      <c r="AJ804" s="2">
        <f t="shared" si="106"/>
        <v>0</v>
      </c>
      <c r="AK804" s="2">
        <f t="shared" si="111"/>
        <v>9.5599999999999987</v>
      </c>
      <c r="AL804" s="5">
        <f t="shared" si="112"/>
        <v>0.39999999999999997</v>
      </c>
    </row>
    <row r="805" spans="1:38" x14ac:dyDescent="0.2">
      <c r="A805" s="2">
        <v>2025</v>
      </c>
      <c r="B805" s="2">
        <v>4</v>
      </c>
      <c r="C805" s="2" t="s">
        <v>3509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13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05"/>
        <v>0</v>
      </c>
      <c r="AG805" s="2">
        <v>6.6266999999999996</v>
      </c>
      <c r="AH805" s="2">
        <v>12</v>
      </c>
      <c r="AJ805" s="2">
        <f t="shared" si="106"/>
        <v>0</v>
      </c>
      <c r="AK805" s="2">
        <f t="shared" si="111"/>
        <v>10.746600000000001</v>
      </c>
      <c r="AL805" s="5">
        <f t="shared" si="112"/>
        <v>0.44777500000000003</v>
      </c>
    </row>
    <row r="806" spans="1:38" x14ac:dyDescent="0.2">
      <c r="A806" s="2">
        <v>2025</v>
      </c>
      <c r="B806" s="2">
        <v>4</v>
      </c>
      <c r="C806" s="2" t="s">
        <v>3509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13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05"/>
        <v>0</v>
      </c>
      <c r="AG806" s="2">
        <v>10.2346</v>
      </c>
      <c r="AH806" s="2">
        <v>18</v>
      </c>
      <c r="AJ806" s="2">
        <f t="shared" si="106"/>
        <v>0</v>
      </c>
      <c r="AK806" s="2">
        <f t="shared" si="111"/>
        <v>2.4000000000000004</v>
      </c>
      <c r="AL806" s="5">
        <f t="shared" si="112"/>
        <v>0.14285714285714288</v>
      </c>
    </row>
    <row r="807" spans="1:38" x14ac:dyDescent="0.2">
      <c r="A807" s="2">
        <v>2025</v>
      </c>
      <c r="B807" s="2">
        <v>4</v>
      </c>
      <c r="C807" s="2" t="s">
        <v>3509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13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05"/>
        <v>0</v>
      </c>
      <c r="AG807" s="2">
        <v>3.7357999999999998</v>
      </c>
      <c r="AH807" s="2">
        <v>9</v>
      </c>
      <c r="AJ807" s="2">
        <f t="shared" si="106"/>
        <v>0</v>
      </c>
      <c r="AK807" s="2">
        <f t="shared" si="111"/>
        <v>4.0641999999999996</v>
      </c>
      <c r="AL807" s="5">
        <f t="shared" si="112"/>
        <v>0.52105128205128204</v>
      </c>
    </row>
    <row r="808" spans="1:38" x14ac:dyDescent="0.2">
      <c r="A808" s="2">
        <v>2025</v>
      </c>
      <c r="B808" s="2">
        <v>4</v>
      </c>
      <c r="C808" s="2" t="s">
        <v>3509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13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05"/>
        <v>0</v>
      </c>
      <c r="AJ808" s="2">
        <f t="shared" si="106"/>
        <v>0</v>
      </c>
      <c r="AK808" s="2">
        <f t="shared" si="111"/>
        <v>8</v>
      </c>
      <c r="AL808" s="5">
        <f t="shared" si="112"/>
        <v>0.19047619047619047</v>
      </c>
    </row>
    <row r="809" spans="1:38" x14ac:dyDescent="0.2">
      <c r="A809" s="2">
        <v>2025</v>
      </c>
      <c r="B809" s="2">
        <v>4</v>
      </c>
      <c r="C809" s="2" t="s">
        <v>3509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13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05"/>
        <v>0</v>
      </c>
      <c r="AJ809" s="2">
        <f t="shared" si="106"/>
        <v>0</v>
      </c>
      <c r="AK809" s="2">
        <f t="shared" si="111"/>
        <v>12.299999999999997</v>
      </c>
      <c r="AL809" s="5">
        <f t="shared" si="112"/>
        <v>0.24848484848484842</v>
      </c>
    </row>
    <row r="810" spans="1:38" x14ac:dyDescent="0.2">
      <c r="A810" s="2">
        <v>2025</v>
      </c>
      <c r="B810" s="2">
        <v>4</v>
      </c>
      <c r="C810" s="2" t="s">
        <v>3509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13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05"/>
        <v>0</v>
      </c>
      <c r="AJ810" s="2">
        <f t="shared" si="106"/>
        <v>0</v>
      </c>
      <c r="AK810" s="2">
        <f t="shared" si="111"/>
        <v>41.377499999999998</v>
      </c>
      <c r="AL810" s="5">
        <f t="shared" si="112"/>
        <v>0.93826530612244885</v>
      </c>
    </row>
    <row r="811" spans="1:38" x14ac:dyDescent="0.2">
      <c r="A811" s="2">
        <v>2025</v>
      </c>
      <c r="B811" s="2">
        <v>4</v>
      </c>
      <c r="C811" s="2" t="s">
        <v>3509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13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05"/>
        <v>0</v>
      </c>
      <c r="AJ811" s="2">
        <f t="shared" si="106"/>
        <v>0</v>
      </c>
      <c r="AK811" s="2">
        <f t="shared" si="111"/>
        <v>4.25</v>
      </c>
      <c r="AL811" s="5">
        <f t="shared" si="112"/>
        <v>0.35416666666666669</v>
      </c>
    </row>
    <row r="812" spans="1:38" x14ac:dyDescent="0.2">
      <c r="A812" s="2">
        <v>2025</v>
      </c>
      <c r="B812" s="2">
        <v>4</v>
      </c>
      <c r="C812" s="2" t="s">
        <v>3509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13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05"/>
        <v>0</v>
      </c>
      <c r="AJ812" s="2">
        <f t="shared" si="106"/>
        <v>0</v>
      </c>
      <c r="AK812" s="2">
        <f t="shared" si="111"/>
        <v>3.339999999999999</v>
      </c>
      <c r="AL812" s="5">
        <f t="shared" si="112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13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05"/>
        <v>0</v>
      </c>
      <c r="AG813" s="2">
        <v>122.446</v>
      </c>
      <c r="AH813" s="2">
        <v>230</v>
      </c>
      <c r="AJ813" s="2">
        <f t="shared" si="106"/>
        <v>0</v>
      </c>
      <c r="AK813" s="2">
        <f t="shared" si="111"/>
        <v>95.924000000000007</v>
      </c>
      <c r="AL813" s="5">
        <f t="shared" si="112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13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05"/>
        <v>0</v>
      </c>
      <c r="AG814" s="2">
        <v>1.1399999999999999</v>
      </c>
      <c r="AH814" s="2">
        <v>1.1399999999999999</v>
      </c>
      <c r="AJ814" s="2">
        <f t="shared" si="106"/>
        <v>0</v>
      </c>
      <c r="AK814" s="2">
        <f t="shared" si="111"/>
        <v>0</v>
      </c>
      <c r="AL814" s="5">
        <f t="shared" si="112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13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05"/>
        <v>0</v>
      </c>
      <c r="AJ815" s="2">
        <f t="shared" si="106"/>
        <v>0</v>
      </c>
      <c r="AK815" s="2">
        <f t="shared" si="111"/>
        <v>25.8736</v>
      </c>
      <c r="AL815" s="5">
        <f t="shared" si="112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13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05"/>
        <v>0</v>
      </c>
      <c r="AJ816" s="2">
        <f t="shared" si="106"/>
        <v>0</v>
      </c>
      <c r="AK816" s="2">
        <f t="shared" si="111"/>
        <v>110.39999999999999</v>
      </c>
      <c r="AL816" s="5">
        <f t="shared" si="112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13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05"/>
        <v>0</v>
      </c>
      <c r="AJ817" s="2">
        <f t="shared" si="106"/>
        <v>0</v>
      </c>
      <c r="AK817" s="2">
        <f t="shared" si="111"/>
        <v>25</v>
      </c>
      <c r="AL817" s="5">
        <f t="shared" si="112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13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05"/>
        <v>0</v>
      </c>
      <c r="AG818" s="2">
        <v>6.6266999999999996</v>
      </c>
      <c r="AH818" s="2">
        <v>12</v>
      </c>
      <c r="AJ818" s="2">
        <f t="shared" si="106"/>
        <v>0</v>
      </c>
      <c r="AK818" s="2">
        <f t="shared" si="111"/>
        <v>16.119900000000001</v>
      </c>
      <c r="AL818" s="5">
        <f t="shared" si="112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13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05"/>
        <v>0</v>
      </c>
      <c r="AG819" s="2">
        <v>5.2972999999999999</v>
      </c>
      <c r="AH819" s="2">
        <v>10.8</v>
      </c>
      <c r="AJ819" s="2">
        <f t="shared" si="106"/>
        <v>0</v>
      </c>
      <c r="AK819" s="2">
        <f t="shared" si="111"/>
        <v>4.3026999999999997</v>
      </c>
      <c r="AL819" s="5">
        <f t="shared" si="112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13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05"/>
        <v>0</v>
      </c>
      <c r="AG820" s="2">
        <v>7.2217000000000002</v>
      </c>
      <c r="AH820" s="2">
        <v>14.4</v>
      </c>
      <c r="AJ820" s="2">
        <f t="shared" si="106"/>
        <v>0</v>
      </c>
      <c r="AK820" s="2">
        <f t="shared" si="111"/>
        <v>5.9782999999999991</v>
      </c>
      <c r="AL820" s="5">
        <f t="shared" si="112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13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05"/>
        <v>0</v>
      </c>
      <c r="AG821" s="2">
        <v>10.6</v>
      </c>
      <c r="AH821" s="2">
        <v>18</v>
      </c>
      <c r="AJ821" s="2">
        <f t="shared" si="106"/>
        <v>0</v>
      </c>
      <c r="AK821" s="2">
        <f t="shared" si="111"/>
        <v>22.200000000000003</v>
      </c>
      <c r="AL821" s="5">
        <f t="shared" si="112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13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05"/>
        <v>0</v>
      </c>
      <c r="AG822" s="2">
        <v>8.1999999999999993</v>
      </c>
      <c r="AH822" s="2">
        <v>13</v>
      </c>
      <c r="AJ822" s="2">
        <f t="shared" si="106"/>
        <v>0</v>
      </c>
      <c r="AK822" s="2">
        <f t="shared" si="111"/>
        <v>14.399999999999999</v>
      </c>
      <c r="AL822" s="5">
        <f t="shared" si="112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13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05"/>
        <v>0</v>
      </c>
      <c r="AG823" s="2">
        <v>15.020300000000001</v>
      </c>
      <c r="AH823" s="2">
        <v>27.6</v>
      </c>
      <c r="AJ823" s="2">
        <f t="shared" si="106"/>
        <v>0</v>
      </c>
      <c r="AK823" s="2">
        <f t="shared" si="111"/>
        <v>12.959399999999999</v>
      </c>
      <c r="AL823" s="5">
        <f t="shared" si="112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13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05"/>
        <v>0</v>
      </c>
      <c r="AG824" s="2">
        <f>95.4+8.32</f>
        <v>103.72</v>
      </c>
      <c r="AH824" s="2">
        <v>162.84</v>
      </c>
      <c r="AJ824" s="2">
        <f t="shared" si="106"/>
        <v>0</v>
      </c>
      <c r="AK824" s="2">
        <f t="shared" si="111"/>
        <v>91.28</v>
      </c>
      <c r="AL824" s="5">
        <f t="shared" si="112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13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05"/>
        <v>0</v>
      </c>
      <c r="AG825" s="2">
        <v>137.1</v>
      </c>
      <c r="AH825" s="2">
        <v>260</v>
      </c>
      <c r="AJ825" s="2">
        <f t="shared" si="106"/>
        <v>0</v>
      </c>
      <c r="AK825" s="2">
        <f t="shared" si="111"/>
        <v>122.9</v>
      </c>
      <c r="AL825" s="5">
        <f t="shared" si="112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13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05"/>
        <v>0</v>
      </c>
      <c r="AG826" s="2">
        <v>1.1399999999999999</v>
      </c>
      <c r="AH826" s="2">
        <v>1.1399999999999999</v>
      </c>
      <c r="AJ826" s="2">
        <f t="shared" si="106"/>
        <v>0</v>
      </c>
      <c r="AK826" s="2">
        <f t="shared" si="111"/>
        <v>0</v>
      </c>
      <c r="AL826" s="5">
        <f t="shared" si="112"/>
        <v>0</v>
      </c>
    </row>
    <row r="827" spans="1:38" x14ac:dyDescent="0.2">
      <c r="A827" s="2">
        <v>2025</v>
      </c>
      <c r="B827" s="2">
        <v>4</v>
      </c>
      <c r="C827" s="2" t="s">
        <v>3503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13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05"/>
        <v>0</v>
      </c>
      <c r="AJ827" s="2">
        <f t="shared" si="106"/>
        <v>0</v>
      </c>
      <c r="AK827" s="2">
        <f t="shared" si="111"/>
        <v>1726.8199999999997</v>
      </c>
      <c r="AL827" s="5">
        <f t="shared" si="112"/>
        <v>0.15015826086956519</v>
      </c>
    </row>
    <row r="828" spans="1:38" x14ac:dyDescent="0.2">
      <c r="A828" s="2">
        <v>2025</v>
      </c>
      <c r="B828" s="2">
        <v>4</v>
      </c>
      <c r="C828" s="2" t="s">
        <v>3503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Z828" s="2" t="s">
        <v>119</v>
      </c>
      <c r="AF828" s="2">
        <f t="shared" si="105"/>
        <v>0</v>
      </c>
      <c r="AJ828" s="2">
        <f t="shared" si="106"/>
        <v>0</v>
      </c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14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05"/>
        <v>0</v>
      </c>
      <c r="AG829" s="2">
        <v>10.67</v>
      </c>
      <c r="AH829" s="2">
        <v>21</v>
      </c>
      <c r="AJ829" s="2">
        <f t="shared" si="106"/>
        <v>0</v>
      </c>
      <c r="AK829" s="2">
        <f t="shared" ref="AK829:AK839" si="115">T829-W829</f>
        <v>7.33</v>
      </c>
      <c r="AL829" s="5">
        <f t="shared" ref="AL829:AL839" si="116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14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05"/>
        <v>0</v>
      </c>
      <c r="AJ830" s="2">
        <f t="shared" si="106"/>
        <v>0</v>
      </c>
      <c r="AK830" s="2">
        <f t="shared" si="115"/>
        <v>9.2650000000000006</v>
      </c>
      <c r="AL830" s="5">
        <f t="shared" si="116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14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05"/>
        <v>0</v>
      </c>
      <c r="AG831" s="2">
        <v>3.7357999999999998</v>
      </c>
      <c r="AH831" s="2">
        <v>9</v>
      </c>
      <c r="AJ831" s="2">
        <f t="shared" si="106"/>
        <v>0</v>
      </c>
      <c r="AK831" s="2">
        <f t="shared" si="115"/>
        <v>4.0641999999999996</v>
      </c>
      <c r="AL831" s="5">
        <f t="shared" si="116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14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05"/>
        <v>0</v>
      </c>
      <c r="AG832" s="2">
        <v>121.46</v>
      </c>
      <c r="AH832" s="2">
        <v>210</v>
      </c>
      <c r="AJ832" s="2">
        <f t="shared" si="106"/>
        <v>0</v>
      </c>
      <c r="AK832" s="2">
        <f t="shared" si="115"/>
        <v>71.739999999999995</v>
      </c>
      <c r="AL832" s="5">
        <f t="shared" si="116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14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05"/>
        <v>0</v>
      </c>
      <c r="AJ833" s="2">
        <f t="shared" si="106"/>
        <v>0</v>
      </c>
      <c r="AK833" s="2">
        <f t="shared" si="115"/>
        <v>0</v>
      </c>
      <c r="AL833" s="5">
        <f t="shared" si="116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14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17">AJ834</f>
        <v>0</v>
      </c>
      <c r="AG834" s="2">
        <v>117.453</v>
      </c>
      <c r="AH834" s="2">
        <v>220</v>
      </c>
      <c r="AJ834" s="2">
        <f t="shared" ref="AJ834:AJ897" si="118">AI834*T834</f>
        <v>0</v>
      </c>
      <c r="AK834" s="2">
        <f t="shared" si="115"/>
        <v>82.546999999999997</v>
      </c>
      <c r="AL834" s="5">
        <f t="shared" si="116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14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17"/>
        <v>0</v>
      </c>
      <c r="AJ835" s="2">
        <f t="shared" si="118"/>
        <v>0</v>
      </c>
      <c r="AK835" s="2">
        <f t="shared" si="115"/>
        <v>0</v>
      </c>
      <c r="AL835" s="5">
        <f t="shared" si="116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14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17"/>
        <v>0</v>
      </c>
      <c r="AJ836" s="2">
        <f t="shared" si="118"/>
        <v>0</v>
      </c>
      <c r="AK836" s="2">
        <f t="shared" si="115"/>
        <v>33</v>
      </c>
      <c r="AL836" s="5">
        <f t="shared" si="116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14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17"/>
        <v>0</v>
      </c>
      <c r="AJ837" s="2">
        <f t="shared" si="118"/>
        <v>0</v>
      </c>
      <c r="AK837" s="2">
        <f t="shared" si="115"/>
        <v>12.5</v>
      </c>
      <c r="AL837" s="5">
        <f t="shared" si="116"/>
        <v>0.5</v>
      </c>
    </row>
    <row r="838" spans="1:38" x14ac:dyDescent="0.2">
      <c r="A838" s="2">
        <v>2025</v>
      </c>
      <c r="B838" s="2">
        <v>4</v>
      </c>
      <c r="C838" s="2" t="s">
        <v>3407</v>
      </c>
      <c r="D838" s="2" t="s">
        <v>3405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14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17"/>
        <v>0</v>
      </c>
      <c r="AG838" s="2">
        <f>3203.85+43</f>
        <v>3246.85</v>
      </c>
      <c r="AJ838" s="2">
        <f t="shared" si="118"/>
        <v>0</v>
      </c>
      <c r="AK838" s="2">
        <f t="shared" si="115"/>
        <v>743.15000000000009</v>
      </c>
      <c r="AL838" s="5">
        <f t="shared" si="116"/>
        <v>0.18625313283208023</v>
      </c>
    </row>
    <row r="839" spans="1:38" x14ac:dyDescent="0.2">
      <c r="A839" s="2">
        <v>2025</v>
      </c>
      <c r="B839" s="2">
        <v>4</v>
      </c>
      <c r="C839" s="2" t="s">
        <v>3407</v>
      </c>
      <c r="D839" s="2" t="s">
        <v>3405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14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17"/>
        <v>0</v>
      </c>
      <c r="AG839" s="2">
        <v>2190</v>
      </c>
      <c r="AJ839" s="2">
        <f t="shared" si="118"/>
        <v>0</v>
      </c>
      <c r="AK839" s="2">
        <f t="shared" si="115"/>
        <v>800</v>
      </c>
      <c r="AL839" s="5">
        <f t="shared" si="116"/>
        <v>0.26755852842809363</v>
      </c>
    </row>
    <row r="840" spans="1:38" x14ac:dyDescent="0.2">
      <c r="A840" s="2">
        <v>2025</v>
      </c>
      <c r="B840" s="2">
        <v>4</v>
      </c>
      <c r="C840" s="2" t="s">
        <v>3407</v>
      </c>
      <c r="D840" s="2" t="s">
        <v>3405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17"/>
        <v>0</v>
      </c>
      <c r="AJ840" s="2">
        <f t="shared" si="118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19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17"/>
        <v>0</v>
      </c>
      <c r="AG841" s="2">
        <v>10.6</v>
      </c>
      <c r="AH841" s="2">
        <v>18</v>
      </c>
      <c r="AJ841" s="2">
        <f t="shared" si="118"/>
        <v>0</v>
      </c>
      <c r="AK841" s="2">
        <f t="shared" ref="AK841:AK904" si="120">T841-W841</f>
        <v>14.8</v>
      </c>
      <c r="AL841" s="5">
        <f t="shared" ref="AL841:AL872" si="121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19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17"/>
        <v>0</v>
      </c>
      <c r="AG842" s="2">
        <v>9.14</v>
      </c>
      <c r="AH842" s="2">
        <v>16</v>
      </c>
      <c r="AJ842" s="2">
        <f t="shared" si="118"/>
        <v>0</v>
      </c>
      <c r="AK842" s="2">
        <f t="shared" si="120"/>
        <v>7.7200000000000024</v>
      </c>
      <c r="AL842" s="5">
        <f t="shared" si="121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19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17"/>
        <v>0</v>
      </c>
      <c r="AJ843" s="2">
        <f t="shared" si="118"/>
        <v>0</v>
      </c>
      <c r="AK843" s="2">
        <f t="shared" si="120"/>
        <v>20</v>
      </c>
      <c r="AL843" s="5">
        <f t="shared" si="121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19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17"/>
        <v>0</v>
      </c>
      <c r="AG844" s="2">
        <v>3.7357999999999998</v>
      </c>
      <c r="AH844" s="2">
        <v>9</v>
      </c>
      <c r="AJ844" s="2">
        <f t="shared" si="118"/>
        <v>0</v>
      </c>
      <c r="AK844" s="2">
        <f t="shared" si="120"/>
        <v>4.0641999999999996</v>
      </c>
      <c r="AL844" s="5">
        <f t="shared" si="121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19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17"/>
        <v>0</v>
      </c>
      <c r="AG845" s="2">
        <v>10.6</v>
      </c>
      <c r="AH845" s="2">
        <v>18</v>
      </c>
      <c r="AJ845" s="2">
        <f t="shared" si="118"/>
        <v>0</v>
      </c>
      <c r="AK845" s="2">
        <f t="shared" si="120"/>
        <v>7.4</v>
      </c>
      <c r="AL845" s="5">
        <f t="shared" si="121"/>
        <v>0.41111111111111115</v>
      </c>
    </row>
    <row r="846" spans="1:38" x14ac:dyDescent="0.2">
      <c r="A846" s="2">
        <v>2025</v>
      </c>
      <c r="B846" s="2">
        <v>4</v>
      </c>
      <c r="C846" s="2" t="s">
        <v>3407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19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17"/>
        <v>0</v>
      </c>
      <c r="AJ846" s="2">
        <f t="shared" si="118"/>
        <v>0</v>
      </c>
      <c r="AK846" s="2">
        <f t="shared" si="120"/>
        <v>22.6</v>
      </c>
      <c r="AL846" s="5">
        <f t="shared" si="121"/>
        <v>0.3228571428571429</v>
      </c>
    </row>
    <row r="847" spans="1:38" x14ac:dyDescent="0.2">
      <c r="A847" s="2">
        <v>2025</v>
      </c>
      <c r="B847" s="2">
        <v>4</v>
      </c>
      <c r="C847" s="2" t="s">
        <v>3407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19"/>
        <v>-0.2</v>
      </c>
      <c r="Z847" s="2" t="s">
        <v>169</v>
      </c>
      <c r="AA847" s="2" t="s">
        <v>169</v>
      </c>
      <c r="AF847" s="2">
        <f t="shared" si="117"/>
        <v>0</v>
      </c>
      <c r="AJ847" s="2">
        <f t="shared" si="118"/>
        <v>0</v>
      </c>
      <c r="AK847" s="2">
        <f t="shared" si="120"/>
        <v>-1</v>
      </c>
      <c r="AL847" s="5">
        <f t="shared" si="121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19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17"/>
        <v>0</v>
      </c>
      <c r="AJ848" s="2">
        <f t="shared" si="118"/>
        <v>0</v>
      </c>
      <c r="AK848" s="2">
        <f t="shared" si="120"/>
        <v>30</v>
      </c>
      <c r="AL848" s="5">
        <f t="shared" si="121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19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17"/>
        <v>0</v>
      </c>
      <c r="AJ849" s="2">
        <f t="shared" si="118"/>
        <v>0</v>
      </c>
      <c r="AK849" s="2">
        <f t="shared" si="120"/>
        <v>12.5</v>
      </c>
      <c r="AL849" s="5">
        <f t="shared" si="121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19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17"/>
        <v>0</v>
      </c>
      <c r="AJ850" s="2">
        <f t="shared" si="118"/>
        <v>0</v>
      </c>
      <c r="AK850" s="2">
        <f t="shared" si="120"/>
        <v>30</v>
      </c>
      <c r="AL850" s="5">
        <f t="shared" si="121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19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17"/>
        <v>0</v>
      </c>
      <c r="AJ851" s="2">
        <f t="shared" si="118"/>
        <v>0</v>
      </c>
      <c r="AK851" s="2">
        <f t="shared" si="120"/>
        <v>25</v>
      </c>
      <c r="AL851" s="5">
        <f t="shared" si="121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19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17"/>
        <v>0</v>
      </c>
      <c r="AJ852" s="2">
        <f t="shared" si="118"/>
        <v>0</v>
      </c>
      <c r="AK852" s="2">
        <f t="shared" si="120"/>
        <v>3.0316000000000001</v>
      </c>
      <c r="AL852" s="5">
        <f t="shared" si="121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19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17"/>
        <v>0</v>
      </c>
      <c r="AG853" s="2">
        <v>10.6</v>
      </c>
      <c r="AH853" s="2">
        <v>18</v>
      </c>
      <c r="AJ853" s="2">
        <f t="shared" si="118"/>
        <v>0</v>
      </c>
      <c r="AK853" s="2">
        <f t="shared" si="120"/>
        <v>37</v>
      </c>
      <c r="AL853" s="5">
        <f t="shared" si="121"/>
        <v>0.41111111111111109</v>
      </c>
    </row>
    <row r="854" spans="1:38" x14ac:dyDescent="0.2">
      <c r="A854" s="2">
        <v>2025</v>
      </c>
      <c r="B854" s="2">
        <v>4</v>
      </c>
      <c r="C854" s="2" t="s">
        <v>3310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19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17"/>
        <v>0</v>
      </c>
      <c r="AJ854" s="2">
        <f t="shared" si="118"/>
        <v>0</v>
      </c>
      <c r="AK854" s="2">
        <f t="shared" si="120"/>
        <v>4.84</v>
      </c>
      <c r="AL854" s="5">
        <f t="shared" si="121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19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17"/>
        <v>0</v>
      </c>
      <c r="AG855" s="2">
        <v>117.453</v>
      </c>
      <c r="AH855" s="2">
        <v>220</v>
      </c>
      <c r="AJ855" s="2">
        <f t="shared" si="118"/>
        <v>0</v>
      </c>
      <c r="AK855" s="2">
        <f t="shared" si="120"/>
        <v>97.546999999999997</v>
      </c>
      <c r="AL855" s="5">
        <f t="shared" si="121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19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17"/>
        <v>0</v>
      </c>
      <c r="AG856" s="2">
        <v>101.30500000000001</v>
      </c>
      <c r="AH856" s="2">
        <v>190</v>
      </c>
      <c r="AJ856" s="2">
        <f t="shared" si="118"/>
        <v>0</v>
      </c>
      <c r="AK856" s="2">
        <f t="shared" si="120"/>
        <v>78.89</v>
      </c>
      <c r="AL856" s="5">
        <f t="shared" si="121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19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17"/>
        <v>0</v>
      </c>
      <c r="AG857" s="2">
        <v>1.1399999999999999</v>
      </c>
      <c r="AH857" s="2">
        <v>1.1399999999999999</v>
      </c>
      <c r="AJ857" s="2">
        <f t="shared" si="118"/>
        <v>0</v>
      </c>
      <c r="AK857" s="2">
        <f t="shared" si="120"/>
        <v>0</v>
      </c>
      <c r="AL857" s="5">
        <f t="shared" si="121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19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17"/>
        <v>0</v>
      </c>
      <c r="AG858" s="2">
        <v>6.6266999999999996</v>
      </c>
      <c r="AH858" s="2">
        <v>12</v>
      </c>
      <c r="AJ858" s="2">
        <f t="shared" si="118"/>
        <v>0</v>
      </c>
      <c r="AK858" s="2">
        <f t="shared" si="120"/>
        <v>10.746600000000001</v>
      </c>
      <c r="AL858" s="5">
        <f t="shared" si="121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19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17"/>
        <v>0</v>
      </c>
      <c r="AJ859" s="2">
        <f t="shared" si="118"/>
        <v>0</v>
      </c>
      <c r="AK859" s="2">
        <f t="shared" si="120"/>
        <v>31.462499999999991</v>
      </c>
      <c r="AL859" s="5">
        <f t="shared" si="121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19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17"/>
        <v>0</v>
      </c>
      <c r="AJ860" s="2">
        <f t="shared" si="118"/>
        <v>0</v>
      </c>
      <c r="AK860" s="2">
        <f t="shared" si="120"/>
        <v>206.54999999999998</v>
      </c>
      <c r="AL860" s="5">
        <f t="shared" si="121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19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17"/>
        <v>0</v>
      </c>
      <c r="AJ861" s="2">
        <f t="shared" si="118"/>
        <v>0</v>
      </c>
      <c r="AK861" s="2">
        <f t="shared" si="120"/>
        <v>140.625</v>
      </c>
      <c r="AL861" s="5">
        <f t="shared" si="121"/>
        <v>0.5</v>
      </c>
    </row>
    <row r="862" spans="1:38" x14ac:dyDescent="0.2">
      <c r="A862" s="2">
        <v>2025</v>
      </c>
      <c r="B862" s="2">
        <v>4</v>
      </c>
      <c r="C862" s="2" t="s">
        <v>3407</v>
      </c>
      <c r="D862" s="15" t="s">
        <v>3336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19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17"/>
        <v>0</v>
      </c>
      <c r="AJ862" s="2">
        <f t="shared" si="118"/>
        <v>0</v>
      </c>
      <c r="AK862" s="2">
        <f t="shared" si="120"/>
        <v>64.460000000000008</v>
      </c>
      <c r="AL862" s="5">
        <f t="shared" si="121"/>
        <v>0.29300000000000004</v>
      </c>
    </row>
    <row r="863" spans="1:38" x14ac:dyDescent="0.2">
      <c r="A863" s="2">
        <v>2025</v>
      </c>
      <c r="B863" s="2">
        <v>4</v>
      </c>
      <c r="C863" s="2" t="s">
        <v>3407</v>
      </c>
      <c r="D863" s="15" t="s">
        <v>3336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19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17"/>
        <v>0</v>
      </c>
      <c r="AJ863" s="2">
        <f t="shared" si="118"/>
        <v>0</v>
      </c>
      <c r="AK863" s="2">
        <f t="shared" si="120"/>
        <v>0</v>
      </c>
      <c r="AL863" s="5">
        <f t="shared" si="121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19"/>
        <v>1</v>
      </c>
      <c r="Z864" s="2" t="s">
        <v>119</v>
      </c>
      <c r="AA864" s="2" t="s">
        <v>3379</v>
      </c>
      <c r="AF864" s="2">
        <f t="shared" si="117"/>
        <v>0</v>
      </c>
      <c r="AJ864" s="2">
        <f t="shared" si="118"/>
        <v>0</v>
      </c>
      <c r="AK864" s="2">
        <f t="shared" si="120"/>
        <v>1250</v>
      </c>
      <c r="AL864" s="5">
        <f t="shared" si="121"/>
        <v>1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19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17"/>
        <v>0</v>
      </c>
      <c r="AJ865" s="2">
        <f t="shared" si="118"/>
        <v>0</v>
      </c>
      <c r="AK865" s="2">
        <f t="shared" si="120"/>
        <v>199.09000000000003</v>
      </c>
      <c r="AL865" s="5">
        <f t="shared" si="121"/>
        <v>0.52070092846868055</v>
      </c>
    </row>
    <row r="866" spans="1:38" x14ac:dyDescent="0.2">
      <c r="A866" s="2">
        <v>2025</v>
      </c>
      <c r="B866" s="2">
        <v>4</v>
      </c>
      <c r="C866" s="2" t="s">
        <v>3310</v>
      </c>
      <c r="D866" s="2" t="s">
        <v>3309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19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17"/>
        <v>0</v>
      </c>
      <c r="AG866" s="2">
        <v>10669.4</v>
      </c>
      <c r="AJ866" s="2">
        <f t="shared" si="118"/>
        <v>0</v>
      </c>
      <c r="AK866" s="2">
        <f t="shared" si="120"/>
        <v>4330.6000000000004</v>
      </c>
      <c r="AL866" s="5">
        <f t="shared" si="121"/>
        <v>0.28870666666666667</v>
      </c>
    </row>
    <row r="867" spans="1:38" x14ac:dyDescent="0.2">
      <c r="A867" s="2">
        <v>2025</v>
      </c>
      <c r="B867" s="2">
        <v>4</v>
      </c>
      <c r="C867" s="2" t="s">
        <v>3310</v>
      </c>
      <c r="D867" s="2" t="s">
        <v>3311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19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17"/>
        <v>0</v>
      </c>
      <c r="AG867" s="2">
        <v>1239</v>
      </c>
      <c r="AJ867" s="2">
        <f t="shared" si="118"/>
        <v>0</v>
      </c>
      <c r="AK867" s="2">
        <f t="shared" si="120"/>
        <v>1111</v>
      </c>
      <c r="AL867" s="5">
        <f t="shared" si="121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19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17"/>
        <v>0</v>
      </c>
      <c r="AG868" s="2">
        <v>6.6266999999999996</v>
      </c>
      <c r="AH868" s="2">
        <v>12</v>
      </c>
      <c r="AJ868" s="2">
        <f t="shared" si="118"/>
        <v>0</v>
      </c>
      <c r="AK868" s="2">
        <f t="shared" si="120"/>
        <v>5.3733000000000004</v>
      </c>
      <c r="AL868" s="5">
        <f t="shared" si="121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19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17"/>
        <v>0</v>
      </c>
      <c r="AG869" s="2">
        <v>10.6</v>
      </c>
      <c r="AH869" s="2">
        <v>18</v>
      </c>
      <c r="AJ869" s="2">
        <f t="shared" si="118"/>
        <v>0</v>
      </c>
      <c r="AK869" s="2">
        <f t="shared" si="120"/>
        <v>7.4</v>
      </c>
      <c r="AL869" s="5">
        <f t="shared" si="121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19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17"/>
        <v>0</v>
      </c>
      <c r="AG870" s="2">
        <v>8.1999999999999993</v>
      </c>
      <c r="AH870" s="2">
        <v>13</v>
      </c>
      <c r="AJ870" s="2">
        <f t="shared" si="118"/>
        <v>0</v>
      </c>
      <c r="AK870" s="2">
        <f t="shared" si="120"/>
        <v>4.7999999999999989</v>
      </c>
      <c r="AL870" s="5">
        <f t="shared" si="121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19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17"/>
        <v>0</v>
      </c>
      <c r="AG871" s="2">
        <v>117.453</v>
      </c>
      <c r="AH871" s="2">
        <v>220</v>
      </c>
      <c r="AJ871" s="2">
        <f t="shared" si="118"/>
        <v>0</v>
      </c>
      <c r="AK871" s="2">
        <f t="shared" si="120"/>
        <v>92.546999999999997</v>
      </c>
      <c r="AL871" s="5">
        <f t="shared" si="121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19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17"/>
        <v>0</v>
      </c>
      <c r="AJ872" s="2">
        <f t="shared" si="118"/>
        <v>0</v>
      </c>
      <c r="AK872" s="2">
        <f t="shared" si="120"/>
        <v>0</v>
      </c>
      <c r="AL872" s="5">
        <f t="shared" si="121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22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17"/>
        <v>0</v>
      </c>
      <c r="AJ873" s="2">
        <f t="shared" si="118"/>
        <v>0</v>
      </c>
      <c r="AK873" s="2">
        <f t="shared" si="120"/>
        <v>6.5399999999999991</v>
      </c>
      <c r="AL873" s="5">
        <f t="shared" ref="AL873:AL904" si="123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22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17"/>
        <v>0</v>
      </c>
      <c r="AJ874" s="2">
        <f t="shared" si="118"/>
        <v>0</v>
      </c>
      <c r="AK874" s="2">
        <f t="shared" si="120"/>
        <v>6.9399999999999977</v>
      </c>
      <c r="AL874" s="5">
        <f t="shared" si="123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22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17"/>
        <v>0</v>
      </c>
      <c r="AG875" s="2">
        <v>8.1999999999999993</v>
      </c>
      <c r="AH875" s="2">
        <v>13</v>
      </c>
      <c r="AJ875" s="2">
        <f t="shared" si="118"/>
        <v>0</v>
      </c>
      <c r="AK875" s="2">
        <f t="shared" si="120"/>
        <v>46</v>
      </c>
      <c r="AL875" s="5">
        <f t="shared" si="123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22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17"/>
        <v>0</v>
      </c>
      <c r="AJ876" s="2">
        <f t="shared" si="118"/>
        <v>0</v>
      </c>
      <c r="AK876" s="2">
        <f t="shared" si="120"/>
        <v>76.199999999999989</v>
      </c>
      <c r="AL876" s="5">
        <f t="shared" si="123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22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17"/>
        <v>0</v>
      </c>
      <c r="AJ877" s="2">
        <f t="shared" si="118"/>
        <v>0</v>
      </c>
      <c r="AK877" s="2">
        <f t="shared" si="120"/>
        <v>25</v>
      </c>
      <c r="AL877" s="5">
        <f t="shared" si="123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22"/>
        <v>1</v>
      </c>
      <c r="Z878" s="2" t="s">
        <v>119</v>
      </c>
      <c r="AA878" s="2" t="s">
        <v>3379</v>
      </c>
      <c r="AF878" s="2">
        <f t="shared" si="117"/>
        <v>0</v>
      </c>
      <c r="AJ878" s="2">
        <f t="shared" si="118"/>
        <v>0</v>
      </c>
      <c r="AK878" s="2">
        <f t="shared" si="120"/>
        <v>101.5</v>
      </c>
      <c r="AL878" s="5">
        <f t="shared" si="123"/>
        <v>1</v>
      </c>
    </row>
    <row r="879" spans="1:38" x14ac:dyDescent="0.2">
      <c r="A879" s="2">
        <v>2025</v>
      </c>
      <c r="B879" s="2">
        <v>4</v>
      </c>
      <c r="D879" s="2" t="s">
        <v>1255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22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17"/>
        <v>0</v>
      </c>
      <c r="AG879" s="2">
        <f>144.14+15.4</f>
        <v>159.54</v>
      </c>
      <c r="AH879" s="2">
        <v>280</v>
      </c>
      <c r="AJ879" s="2">
        <f t="shared" si="118"/>
        <v>0</v>
      </c>
      <c r="AK879" s="2">
        <f t="shared" si="120"/>
        <v>100.46000000000001</v>
      </c>
      <c r="AL879" s="5">
        <f t="shared" si="123"/>
        <v>0.38638461538461544</v>
      </c>
    </row>
    <row r="880" spans="1:38" x14ac:dyDescent="0.2">
      <c r="A880" s="2">
        <v>2025</v>
      </c>
      <c r="B880" s="2">
        <v>4</v>
      </c>
      <c r="D880" s="2" t="s">
        <v>1255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22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17"/>
        <v>0</v>
      </c>
      <c r="AJ880" s="2">
        <f t="shared" si="118"/>
        <v>0</v>
      </c>
      <c r="AK880" s="2">
        <f t="shared" si="120"/>
        <v>0</v>
      </c>
      <c r="AL880" s="5">
        <f t="shared" si="123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22"/>
        <v>1</v>
      </c>
      <c r="Z881" s="2" t="s">
        <v>119</v>
      </c>
      <c r="AA881" s="2" t="s">
        <v>492</v>
      </c>
      <c r="AF881" s="2">
        <f t="shared" si="117"/>
        <v>0</v>
      </c>
      <c r="AJ881" s="2">
        <f t="shared" si="118"/>
        <v>0</v>
      </c>
      <c r="AK881" s="2">
        <f t="shared" si="120"/>
        <v>1328.08</v>
      </c>
      <c r="AL881" s="5">
        <f t="shared" si="123"/>
        <v>1</v>
      </c>
    </row>
    <row r="882" spans="1:38" x14ac:dyDescent="0.2">
      <c r="A882" s="2">
        <v>2025</v>
      </c>
      <c r="B882" s="2">
        <v>4</v>
      </c>
      <c r="D882" s="2" t="s">
        <v>1256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22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17"/>
        <v>0</v>
      </c>
      <c r="AG882" s="2">
        <v>117.453</v>
      </c>
      <c r="AH882" s="2">
        <v>220</v>
      </c>
      <c r="AJ882" s="2">
        <f t="shared" si="118"/>
        <v>0</v>
      </c>
      <c r="AK882" s="2">
        <f t="shared" si="120"/>
        <v>92.546999999999997</v>
      </c>
      <c r="AL882" s="5">
        <f t="shared" si="123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22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17"/>
        <v>0</v>
      </c>
      <c r="AJ883" s="2">
        <f t="shared" si="118"/>
        <v>0</v>
      </c>
      <c r="AK883" s="2">
        <f t="shared" si="120"/>
        <v>0</v>
      </c>
      <c r="AL883" s="5">
        <f t="shared" si="123"/>
        <v>0</v>
      </c>
    </row>
    <row r="884" spans="1:38" x14ac:dyDescent="0.2">
      <c r="A884" s="2">
        <v>2025</v>
      </c>
      <c r="B884" s="2">
        <v>4</v>
      </c>
      <c r="C884" s="2" t="s">
        <v>3407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22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17"/>
        <v>0</v>
      </c>
      <c r="AJ884" s="2">
        <f t="shared" si="118"/>
        <v>0</v>
      </c>
      <c r="AK884" s="2">
        <f t="shared" si="120"/>
        <v>2039</v>
      </c>
      <c r="AL884" s="5">
        <f t="shared" si="123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22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17"/>
        <v>0</v>
      </c>
      <c r="AG885" s="2">
        <v>107.35</v>
      </c>
      <c r="AJ885" s="2">
        <f t="shared" si="118"/>
        <v>0</v>
      </c>
      <c r="AK885" s="2">
        <f t="shared" si="120"/>
        <v>112.65</v>
      </c>
      <c r="AL885" s="5">
        <f t="shared" si="123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22"/>
        <v>0.34285714285714286</v>
      </c>
      <c r="Z886" s="2" t="s">
        <v>169</v>
      </c>
      <c r="AA886" s="2" t="s">
        <v>169</v>
      </c>
      <c r="AF886" s="2">
        <f t="shared" si="117"/>
        <v>0</v>
      </c>
      <c r="AJ886" s="2">
        <f t="shared" si="118"/>
        <v>0</v>
      </c>
      <c r="AK886" s="2">
        <f t="shared" si="120"/>
        <v>12</v>
      </c>
      <c r="AL886" s="5">
        <f t="shared" si="123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22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17"/>
        <v>0</v>
      </c>
      <c r="AJ887" s="2">
        <f t="shared" si="118"/>
        <v>0</v>
      </c>
      <c r="AK887" s="2">
        <f t="shared" si="120"/>
        <v>0</v>
      </c>
      <c r="AL887" s="5">
        <f t="shared" si="123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22"/>
        <v>1</v>
      </c>
      <c r="Z888" s="2" t="s">
        <v>119</v>
      </c>
      <c r="AA888" s="2" t="s">
        <v>3379</v>
      </c>
      <c r="AF888" s="2">
        <f t="shared" si="117"/>
        <v>0</v>
      </c>
      <c r="AJ888" s="2">
        <f t="shared" si="118"/>
        <v>0</v>
      </c>
      <c r="AK888" s="2">
        <f t="shared" si="120"/>
        <v>361.2</v>
      </c>
      <c r="AL888" s="5">
        <f t="shared" si="123"/>
        <v>1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22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17"/>
        <v>0</v>
      </c>
      <c r="AG889" s="2">
        <v>6.6266999999999996</v>
      </c>
      <c r="AH889" s="2">
        <v>12</v>
      </c>
      <c r="AJ889" s="2">
        <f t="shared" si="118"/>
        <v>0</v>
      </c>
      <c r="AK889" s="2">
        <f t="shared" si="120"/>
        <v>10.746600000000001</v>
      </c>
      <c r="AL889" s="5">
        <f t="shared" si="123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22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17"/>
        <v>0</v>
      </c>
      <c r="AG890" s="2">
        <v>3.7357999999999998</v>
      </c>
      <c r="AH890" s="2">
        <v>9</v>
      </c>
      <c r="AJ890" s="2">
        <f t="shared" si="118"/>
        <v>0</v>
      </c>
      <c r="AK890" s="2">
        <f t="shared" si="120"/>
        <v>4.0641999999999996</v>
      </c>
      <c r="AL890" s="5">
        <f t="shared" si="123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22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17"/>
        <v>0</v>
      </c>
      <c r="AG891" s="2">
        <v>10.6</v>
      </c>
      <c r="AH891" s="2">
        <v>18</v>
      </c>
      <c r="AJ891" s="2">
        <f t="shared" si="118"/>
        <v>0</v>
      </c>
      <c r="AK891" s="2">
        <f t="shared" si="120"/>
        <v>14.8</v>
      </c>
      <c r="AL891" s="5">
        <f t="shared" si="123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22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17"/>
        <v>0</v>
      </c>
      <c r="AG892" s="2">
        <v>8.1999999999999993</v>
      </c>
      <c r="AH892" s="2">
        <v>13</v>
      </c>
      <c r="AJ892" s="2">
        <f t="shared" si="118"/>
        <v>0</v>
      </c>
      <c r="AK892" s="2">
        <f t="shared" si="120"/>
        <v>4.7999999999999989</v>
      </c>
      <c r="AL892" s="5">
        <f t="shared" si="123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22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17"/>
        <v>0</v>
      </c>
      <c r="AG893" s="2">
        <v>15.020300000000001</v>
      </c>
      <c r="AH893" s="2">
        <v>27.6</v>
      </c>
      <c r="AJ893" s="2">
        <f t="shared" si="118"/>
        <v>0</v>
      </c>
      <c r="AK893" s="2">
        <f t="shared" si="120"/>
        <v>6.4796999999999993</v>
      </c>
      <c r="AL893" s="5">
        <f t="shared" si="123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22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17"/>
        <v>0</v>
      </c>
      <c r="AJ894" s="2">
        <f t="shared" si="118"/>
        <v>0</v>
      </c>
      <c r="AK894" s="2">
        <f t="shared" si="120"/>
        <v>6.0632000000000001</v>
      </c>
      <c r="AL894" s="5">
        <f t="shared" si="123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22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17"/>
        <v>0</v>
      </c>
      <c r="AG895" s="2">
        <v>291.58999999999997</v>
      </c>
      <c r="AH895" s="2">
        <v>450</v>
      </c>
      <c r="AJ895" s="2">
        <f t="shared" si="118"/>
        <v>0</v>
      </c>
      <c r="AK895" s="2">
        <f t="shared" si="120"/>
        <v>148.41000000000003</v>
      </c>
      <c r="AL895" s="5">
        <f t="shared" si="123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22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17"/>
        <v>0</v>
      </c>
      <c r="AJ896" s="2">
        <f t="shared" si="118"/>
        <v>0</v>
      </c>
      <c r="AK896" s="2">
        <f t="shared" si="120"/>
        <v>0</v>
      </c>
      <c r="AL896" s="5">
        <f t="shared" si="123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22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17"/>
        <v>0</v>
      </c>
      <c r="AG897" s="2">
        <v>104.49</v>
      </c>
      <c r="AH897" s="2">
        <v>220</v>
      </c>
      <c r="AJ897" s="2">
        <f t="shared" si="118"/>
        <v>0</v>
      </c>
      <c r="AK897" s="2">
        <f t="shared" si="120"/>
        <v>105.51</v>
      </c>
      <c r="AL897" s="5">
        <f t="shared" si="123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22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24">AJ898</f>
        <v>0</v>
      </c>
      <c r="AG898" s="2">
        <v>1.1399999999999999</v>
      </c>
      <c r="AH898" s="2">
        <v>1.1399999999999999</v>
      </c>
      <c r="AJ898" s="2">
        <f t="shared" ref="AJ898:AJ961" si="125">AI898*T898</f>
        <v>0</v>
      </c>
      <c r="AK898" s="2">
        <f t="shared" si="120"/>
        <v>0</v>
      </c>
      <c r="AL898" s="5">
        <f t="shared" si="123"/>
        <v>0</v>
      </c>
    </row>
    <row r="899" spans="1:38" x14ac:dyDescent="0.2">
      <c r="A899" s="2">
        <v>2025</v>
      </c>
      <c r="B899" s="2">
        <v>4</v>
      </c>
      <c r="C899" s="2" t="s">
        <v>3407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22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24"/>
        <v>0</v>
      </c>
      <c r="AJ899" s="2">
        <f t="shared" si="125"/>
        <v>0</v>
      </c>
      <c r="AK899" s="2">
        <f t="shared" si="120"/>
        <v>12.1853</v>
      </c>
      <c r="AL899" s="5">
        <f t="shared" si="123"/>
        <v>0.78869255663430426</v>
      </c>
    </row>
    <row r="900" spans="1:38" x14ac:dyDescent="0.2">
      <c r="A900" s="2">
        <v>2025</v>
      </c>
      <c r="B900" s="2">
        <v>4</v>
      </c>
      <c r="C900" s="2" t="s">
        <v>3407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22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24"/>
        <v>0</v>
      </c>
      <c r="AJ900" s="2">
        <f t="shared" si="125"/>
        <v>0</v>
      </c>
      <c r="AK900" s="2">
        <f t="shared" si="120"/>
        <v>21.43</v>
      </c>
      <c r="AL900" s="5">
        <f t="shared" si="123"/>
        <v>0.43354238316811655</v>
      </c>
    </row>
    <row r="901" spans="1:38" x14ac:dyDescent="0.2">
      <c r="A901" s="2">
        <v>2025</v>
      </c>
      <c r="B901" s="2">
        <v>4</v>
      </c>
      <c r="C901" s="2" t="s">
        <v>3503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22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24"/>
        <v>0</v>
      </c>
      <c r="AG901" s="2">
        <v>101.30500000000001</v>
      </c>
      <c r="AH901" s="2">
        <v>190</v>
      </c>
      <c r="AJ901" s="2">
        <f t="shared" si="125"/>
        <v>0</v>
      </c>
      <c r="AK901" s="2">
        <f t="shared" si="120"/>
        <v>12.58499999999998</v>
      </c>
      <c r="AL901" s="5">
        <f t="shared" si="123"/>
        <v>3.9763033175355386E-2</v>
      </c>
    </row>
    <row r="902" spans="1:38" x14ac:dyDescent="0.2">
      <c r="A902" s="2">
        <v>2025</v>
      </c>
      <c r="B902" s="2">
        <v>4</v>
      </c>
      <c r="C902" s="2" t="s">
        <v>3503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22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24"/>
        <v>0</v>
      </c>
      <c r="AG902" s="2">
        <v>94</v>
      </c>
      <c r="AJ902" s="2">
        <f t="shared" si="125"/>
        <v>0</v>
      </c>
      <c r="AK902" s="2">
        <f t="shared" si="120"/>
        <v>131.60000000000002</v>
      </c>
      <c r="AL902" s="5">
        <f t="shared" si="123"/>
        <v>0.14893617021276598</v>
      </c>
    </row>
    <row r="903" spans="1:38" x14ac:dyDescent="0.2">
      <c r="A903" s="2">
        <v>2025</v>
      </c>
      <c r="B903" s="2">
        <v>4</v>
      </c>
      <c r="C903" s="2" t="s">
        <v>3407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22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24"/>
        <v>0</v>
      </c>
      <c r="AJ903" s="2">
        <f t="shared" si="125"/>
        <v>0</v>
      </c>
      <c r="AK903" s="2">
        <f t="shared" si="120"/>
        <v>82.8</v>
      </c>
      <c r="AL903" s="5">
        <f t="shared" si="123"/>
        <v>0.6</v>
      </c>
    </row>
    <row r="904" spans="1:38" x14ac:dyDescent="0.2">
      <c r="A904" s="2">
        <v>2025</v>
      </c>
      <c r="B904" s="2">
        <v>4</v>
      </c>
      <c r="C904" s="2" t="s">
        <v>3407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22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24"/>
        <v>0</v>
      </c>
      <c r="AJ904" s="2">
        <f t="shared" si="125"/>
        <v>0</v>
      </c>
      <c r="AK904" s="2">
        <f t="shared" si="120"/>
        <v>25</v>
      </c>
      <c r="AL904" s="5">
        <f t="shared" si="123"/>
        <v>0.5</v>
      </c>
    </row>
    <row r="905" spans="1:38" x14ac:dyDescent="0.2">
      <c r="A905" s="2">
        <v>2025</v>
      </c>
      <c r="B905" s="2">
        <v>4</v>
      </c>
      <c r="C905" s="2" t="s">
        <v>3503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26">(T905-W905)/T905</f>
        <v>-4.7619047619047616E-2</v>
      </c>
      <c r="Z905" s="2" t="s">
        <v>169</v>
      </c>
      <c r="AA905" s="2" t="s">
        <v>169</v>
      </c>
      <c r="AF905" s="2">
        <f t="shared" si="124"/>
        <v>0</v>
      </c>
      <c r="AJ905" s="2">
        <f t="shared" si="125"/>
        <v>0</v>
      </c>
      <c r="AK905" s="2">
        <f t="shared" ref="AK905:AK968" si="127">T905-W905</f>
        <v>-5</v>
      </c>
      <c r="AL905" s="18">
        <f t="shared" ref="AL905:AL922" si="128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3503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26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24"/>
        <v>0</v>
      </c>
      <c r="AJ906" s="2">
        <f t="shared" si="125"/>
        <v>0</v>
      </c>
      <c r="AK906" s="2">
        <f t="shared" si="127"/>
        <v>0</v>
      </c>
      <c r="AL906" s="5">
        <f t="shared" si="128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26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24"/>
        <v>0</v>
      </c>
      <c r="AG907" s="2">
        <v>74.795000000000002</v>
      </c>
      <c r="AJ907" s="2">
        <f t="shared" si="125"/>
        <v>0</v>
      </c>
      <c r="AK907" s="2">
        <f t="shared" si="127"/>
        <v>84.135000000000005</v>
      </c>
      <c r="AL907" s="5">
        <f t="shared" si="128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26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24"/>
        <v>0</v>
      </c>
      <c r="AG908" s="2">
        <v>3.3595999999999999</v>
      </c>
      <c r="AJ908" s="2">
        <f t="shared" si="125"/>
        <v>0</v>
      </c>
      <c r="AK908" s="2">
        <f t="shared" si="127"/>
        <v>3.7504000000000004</v>
      </c>
      <c r="AL908" s="5">
        <f t="shared" si="128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26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24"/>
        <v>0</v>
      </c>
      <c r="AG909" s="2">
        <v>3.3188</v>
      </c>
      <c r="AJ909" s="2">
        <f t="shared" si="125"/>
        <v>0</v>
      </c>
      <c r="AK909" s="2">
        <f t="shared" si="127"/>
        <v>3.7811999999999997</v>
      </c>
      <c r="AL909" s="5">
        <f t="shared" si="128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26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24"/>
        <v>0</v>
      </c>
      <c r="AJ910" s="2">
        <f t="shared" si="125"/>
        <v>0</v>
      </c>
      <c r="AK910" s="2">
        <f t="shared" si="127"/>
        <v>45</v>
      </c>
      <c r="AL910" s="5">
        <f t="shared" si="128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26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24"/>
        <v>0</v>
      </c>
      <c r="AJ911" s="2">
        <f t="shared" si="125"/>
        <v>0</v>
      </c>
      <c r="AK911" s="2">
        <f t="shared" si="127"/>
        <v>49.994999999999997</v>
      </c>
      <c r="AL911" s="5">
        <f t="shared" si="128"/>
        <v>0.5</v>
      </c>
    </row>
    <row r="912" spans="1:38" x14ac:dyDescent="0.2">
      <c r="A912" s="2">
        <v>2025</v>
      </c>
      <c r="B912" s="2">
        <v>4</v>
      </c>
      <c r="C912" s="2" t="s">
        <v>3407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29">T912*23%</f>
        <v>395.6</v>
      </c>
      <c r="V912" s="2">
        <f t="shared" ref="V912:V918" si="130">T912+U912</f>
        <v>2115.6</v>
      </c>
      <c r="W912" s="2">
        <f>1294+95</f>
        <v>1389</v>
      </c>
      <c r="X912" s="5">
        <f t="shared" si="126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24"/>
        <v>0</v>
      </c>
      <c r="AJ912" s="2">
        <f t="shared" si="125"/>
        <v>0</v>
      </c>
      <c r="AK912" s="2">
        <f t="shared" si="127"/>
        <v>331</v>
      </c>
      <c r="AL912" s="5">
        <f t="shared" si="128"/>
        <v>0.19244186046511627</v>
      </c>
    </row>
    <row r="913" spans="1:38" x14ac:dyDescent="0.2">
      <c r="A913" s="2">
        <v>2025</v>
      </c>
      <c r="B913" s="2">
        <v>4</v>
      </c>
      <c r="C913" s="2" t="s">
        <v>3407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29"/>
        <v>0</v>
      </c>
      <c r="V913" s="2">
        <f t="shared" si="130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3380</v>
      </c>
      <c r="AC913" s="2" t="s">
        <v>1327</v>
      </c>
      <c r="AF913" s="2">
        <f t="shared" si="124"/>
        <v>0</v>
      </c>
      <c r="AJ913" s="2">
        <f t="shared" si="125"/>
        <v>0</v>
      </c>
      <c r="AK913" s="2">
        <f t="shared" si="127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3407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29"/>
        <v>351.90000000000003</v>
      </c>
      <c r="V914" s="2">
        <f t="shared" si="130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24"/>
        <v>0</v>
      </c>
      <c r="AJ914" s="2">
        <f t="shared" si="125"/>
        <v>0</v>
      </c>
      <c r="AK914" s="2">
        <f t="shared" si="127"/>
        <v>380</v>
      </c>
      <c r="AL914" s="5">
        <f t="shared" si="128"/>
        <v>0.24836601307189543</v>
      </c>
    </row>
    <row r="915" spans="1:38" x14ac:dyDescent="0.2">
      <c r="A915" s="2">
        <v>2025</v>
      </c>
      <c r="B915" s="2">
        <v>4</v>
      </c>
      <c r="C915" s="2" t="s">
        <v>3407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29"/>
        <v>0</v>
      </c>
      <c r="V915" s="2">
        <f t="shared" si="130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24"/>
        <v>0</v>
      </c>
      <c r="AJ915" s="2">
        <f t="shared" si="125"/>
        <v>0</v>
      </c>
      <c r="AK915" s="2">
        <f t="shared" si="127"/>
        <v>0</v>
      </c>
      <c r="AL915" s="5" t="e">
        <f t="shared" si="128"/>
        <v>#DIV/0!</v>
      </c>
    </row>
    <row r="916" spans="1:38" x14ac:dyDescent="0.2">
      <c r="A916" s="2">
        <v>2025</v>
      </c>
      <c r="B916" s="2">
        <v>4</v>
      </c>
      <c r="C916" s="2" t="s">
        <v>3407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29"/>
        <v>0</v>
      </c>
      <c r="V916" s="2">
        <f t="shared" si="130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24"/>
        <v>0</v>
      </c>
      <c r="AJ916" s="2">
        <f t="shared" si="125"/>
        <v>0</v>
      </c>
      <c r="AK916" s="2">
        <f t="shared" si="127"/>
        <v>0</v>
      </c>
      <c r="AL916" s="5" t="e">
        <f t="shared" si="128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29"/>
        <v>167.18469999999999</v>
      </c>
      <c r="V917" s="2">
        <f t="shared" si="130"/>
        <v>894.07470000000001</v>
      </c>
      <c r="W917" s="2">
        <v>412.05500000000001</v>
      </c>
      <c r="X917" s="5">
        <f t="shared" ref="X917:X922" si="131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24"/>
        <v>0</v>
      </c>
      <c r="AJ917" s="2">
        <f t="shared" si="125"/>
        <v>0</v>
      </c>
      <c r="AK917" s="2">
        <f t="shared" si="127"/>
        <v>314.83499999999998</v>
      </c>
      <c r="AL917" s="5">
        <f t="shared" si="128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29"/>
        <v>134.51780000000002</v>
      </c>
      <c r="V918" s="2">
        <f t="shared" si="130"/>
        <v>719.37779999999998</v>
      </c>
      <c r="W918" s="2">
        <v>286.25</v>
      </c>
      <c r="X918" s="5">
        <f t="shared" si="131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24"/>
        <v>0</v>
      </c>
      <c r="AJ918" s="2">
        <f t="shared" si="125"/>
        <v>0</v>
      </c>
      <c r="AK918" s="2">
        <f t="shared" si="127"/>
        <v>298.61</v>
      </c>
      <c r="AL918" s="5">
        <f t="shared" si="128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31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24"/>
        <v>0</v>
      </c>
      <c r="AG919" s="2">
        <v>111.98</v>
      </c>
      <c r="AH919" s="2">
        <v>210</v>
      </c>
      <c r="AJ919" s="2">
        <f t="shared" si="125"/>
        <v>0</v>
      </c>
      <c r="AK919" s="2">
        <f t="shared" si="127"/>
        <v>86.86999999999999</v>
      </c>
      <c r="AL919" s="5">
        <f t="shared" si="128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31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24"/>
        <v>0</v>
      </c>
      <c r="AJ920" s="2">
        <f t="shared" si="125"/>
        <v>0</v>
      </c>
      <c r="AK920" s="2">
        <f t="shared" si="127"/>
        <v>0</v>
      </c>
      <c r="AL920" s="5">
        <f t="shared" si="128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31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24"/>
        <v>0</v>
      </c>
      <c r="AJ921" s="2">
        <f t="shared" si="125"/>
        <v>0</v>
      </c>
      <c r="AK921" s="2">
        <f t="shared" si="127"/>
        <v>344.04</v>
      </c>
      <c r="AL921" s="5">
        <f t="shared" si="128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31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24"/>
        <v>0</v>
      </c>
      <c r="AJ922" s="2">
        <f t="shared" si="125"/>
        <v>0</v>
      </c>
      <c r="AK922" s="2">
        <f t="shared" si="127"/>
        <v>79.8</v>
      </c>
      <c r="AL922" s="5">
        <f t="shared" si="128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24"/>
        <v>0</v>
      </c>
      <c r="AJ923" s="2">
        <f t="shared" si="125"/>
        <v>0</v>
      </c>
      <c r="AK923" s="2">
        <f t="shared" si="127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32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24"/>
        <v>0</v>
      </c>
      <c r="AJ924" s="2">
        <f t="shared" si="125"/>
        <v>0</v>
      </c>
      <c r="AK924" s="2">
        <f t="shared" si="127"/>
        <v>120.4966</v>
      </c>
      <c r="AL924" s="5">
        <f t="shared" ref="AL924:AL961" si="133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32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24"/>
        <v>0</v>
      </c>
      <c r="AG925" s="2">
        <v>6.6266999999999996</v>
      </c>
      <c r="AH925" s="2">
        <v>12</v>
      </c>
      <c r="AJ925" s="2">
        <f t="shared" si="125"/>
        <v>0</v>
      </c>
      <c r="AK925" s="2">
        <f t="shared" si="127"/>
        <v>16.119900000000001</v>
      </c>
      <c r="AL925" s="5">
        <f t="shared" si="133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32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24"/>
        <v>0</v>
      </c>
      <c r="AJ926" s="2">
        <f t="shared" si="125"/>
        <v>0</v>
      </c>
      <c r="AK926" s="2">
        <f t="shared" si="127"/>
        <v>8.19</v>
      </c>
      <c r="AL926" s="5">
        <f t="shared" si="133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32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24"/>
        <v>0</v>
      </c>
      <c r="AJ927" s="2">
        <f t="shared" si="125"/>
        <v>0</v>
      </c>
      <c r="AK927" s="2">
        <f t="shared" si="127"/>
        <v>313.63830000000002</v>
      </c>
      <c r="AL927" s="5">
        <f t="shared" si="133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32"/>
        <v>1</v>
      </c>
      <c r="Z928" s="2" t="s">
        <v>119</v>
      </c>
      <c r="AA928" s="2" t="s">
        <v>3379</v>
      </c>
      <c r="AF928" s="2">
        <f t="shared" si="124"/>
        <v>0</v>
      </c>
      <c r="AJ928" s="2">
        <f t="shared" si="125"/>
        <v>0</v>
      </c>
      <c r="AK928" s="2">
        <f t="shared" si="127"/>
        <v>600</v>
      </c>
      <c r="AL928" s="5">
        <f t="shared" si="133"/>
        <v>1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32"/>
        <v>0.26921932114882507</v>
      </c>
      <c r="Z929" s="2" t="s">
        <v>104</v>
      </c>
      <c r="AA929" s="2" t="s">
        <v>2746</v>
      </c>
      <c r="AB929" s="2" t="s">
        <v>3396</v>
      </c>
      <c r="AC929" s="2" t="s">
        <v>1194</v>
      </c>
      <c r="AF929" s="2">
        <f t="shared" si="124"/>
        <v>0</v>
      </c>
      <c r="AJ929" s="2">
        <f t="shared" si="125"/>
        <v>0</v>
      </c>
      <c r="AK929" s="2">
        <f t="shared" si="127"/>
        <v>2062.2200000000003</v>
      </c>
      <c r="AL929" s="5">
        <f t="shared" si="133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32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24"/>
        <v>0</v>
      </c>
      <c r="AJ930" s="2">
        <f t="shared" si="125"/>
        <v>0</v>
      </c>
      <c r="AK930" s="2">
        <f t="shared" si="127"/>
        <v>94.844999999999999</v>
      </c>
      <c r="AL930" s="5">
        <f t="shared" si="133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32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24"/>
        <v>0</v>
      </c>
      <c r="AJ931" s="2">
        <f t="shared" si="125"/>
        <v>0</v>
      </c>
      <c r="AK931" s="2">
        <f t="shared" si="127"/>
        <v>0</v>
      </c>
      <c r="AL931" s="5">
        <f t="shared" si="133"/>
        <v>0</v>
      </c>
    </row>
    <row r="932" spans="1:38" x14ac:dyDescent="0.2">
      <c r="A932" s="2">
        <v>2025</v>
      </c>
      <c r="B932" s="2">
        <v>4</v>
      </c>
      <c r="C932" s="2" t="s">
        <v>3407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32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24"/>
        <v>0</v>
      </c>
      <c r="AJ932" s="2">
        <f t="shared" si="125"/>
        <v>0</v>
      </c>
      <c r="AK932" s="2">
        <f t="shared" si="127"/>
        <v>-1415</v>
      </c>
      <c r="AL932" s="5">
        <f t="shared" si="133"/>
        <v>-0.1191578947368421</v>
      </c>
    </row>
    <row r="933" spans="1:38" x14ac:dyDescent="0.2">
      <c r="A933" s="2">
        <v>2025</v>
      </c>
      <c r="B933" s="2">
        <v>4</v>
      </c>
      <c r="C933" s="2" t="s">
        <v>3321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32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24"/>
        <v>0</v>
      </c>
      <c r="AG933" s="2">
        <v>104.49</v>
      </c>
      <c r="AH933" s="2">
        <v>220</v>
      </c>
      <c r="AJ933" s="2">
        <f t="shared" si="125"/>
        <v>0</v>
      </c>
      <c r="AK933" s="2">
        <f t="shared" si="127"/>
        <v>105.51</v>
      </c>
      <c r="AL933" s="5">
        <f t="shared" si="133"/>
        <v>0.50242857142857145</v>
      </c>
    </row>
    <row r="934" spans="1:38" x14ac:dyDescent="0.2">
      <c r="A934" s="2">
        <v>2025</v>
      </c>
      <c r="B934" s="2">
        <v>4</v>
      </c>
      <c r="C934" s="2" t="s">
        <v>3321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32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24"/>
        <v>0</v>
      </c>
      <c r="AJ934" s="2">
        <f t="shared" si="125"/>
        <v>0</v>
      </c>
      <c r="AK934" s="2">
        <f t="shared" si="127"/>
        <v>0</v>
      </c>
      <c r="AL934" s="5">
        <f t="shared" si="133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32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24"/>
        <v>0</v>
      </c>
      <c r="AG935" s="2">
        <v>10.6</v>
      </c>
      <c r="AH935" s="2">
        <v>18</v>
      </c>
      <c r="AJ935" s="2">
        <f t="shared" si="125"/>
        <v>0</v>
      </c>
      <c r="AK935" s="2">
        <f t="shared" si="127"/>
        <v>12.8</v>
      </c>
      <c r="AL935" s="5">
        <f t="shared" si="133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32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24"/>
        <v>0</v>
      </c>
      <c r="AG936" s="2">
        <v>0.85609999999999997</v>
      </c>
      <c r="AH936" s="2">
        <v>1.8</v>
      </c>
      <c r="AJ936" s="2">
        <f t="shared" si="125"/>
        <v>0</v>
      </c>
      <c r="AK936" s="2">
        <f t="shared" si="127"/>
        <v>3.7756000000000003</v>
      </c>
      <c r="AL936" s="5">
        <f t="shared" si="133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32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24"/>
        <v>0</v>
      </c>
      <c r="AG937" s="2">
        <v>1.1122000000000001</v>
      </c>
      <c r="AH937" s="2">
        <v>3</v>
      </c>
      <c r="AJ937" s="2">
        <f t="shared" si="125"/>
        <v>0</v>
      </c>
      <c r="AK937" s="2">
        <f t="shared" si="127"/>
        <v>7.5511999999999997</v>
      </c>
      <c r="AL937" s="5">
        <f t="shared" si="133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32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24"/>
        <v>0</v>
      </c>
      <c r="AJ938" s="2">
        <f t="shared" si="125"/>
        <v>0</v>
      </c>
      <c r="AK938" s="2">
        <f t="shared" si="127"/>
        <v>199.97000000000003</v>
      </c>
      <c r="AL938" s="5">
        <f t="shared" si="133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34">T939</f>
        <v>16.2</v>
      </c>
      <c r="W939" s="2">
        <f>9.075*S939</f>
        <v>9.0749999999999993</v>
      </c>
      <c r="X939" s="5">
        <f t="shared" si="132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24"/>
        <v>0</v>
      </c>
      <c r="AJ939" s="2">
        <f t="shared" si="125"/>
        <v>0</v>
      </c>
      <c r="AK939" s="2">
        <f t="shared" si="127"/>
        <v>7.125</v>
      </c>
      <c r="AL939" s="5">
        <f t="shared" si="133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34"/>
        <v>19.8</v>
      </c>
      <c r="W940" s="2">
        <f>11.045*S940</f>
        <v>11.045</v>
      </c>
      <c r="X940" s="5">
        <f t="shared" si="132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24"/>
        <v>0</v>
      </c>
      <c r="AJ940" s="2">
        <f t="shared" si="125"/>
        <v>0</v>
      </c>
      <c r="AK940" s="2">
        <f t="shared" si="127"/>
        <v>8.7550000000000008</v>
      </c>
      <c r="AL940" s="5">
        <f t="shared" si="133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34"/>
        <v>24</v>
      </c>
      <c r="W941" s="2">
        <f>13.4067*S941</f>
        <v>13.406700000000001</v>
      </c>
      <c r="X941" s="5">
        <f t="shared" si="132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24"/>
        <v>0</v>
      </c>
      <c r="AJ941" s="2">
        <f t="shared" si="125"/>
        <v>0</v>
      </c>
      <c r="AK941" s="2">
        <f t="shared" si="127"/>
        <v>10.593299999999999</v>
      </c>
      <c r="AL941" s="5">
        <f t="shared" si="133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34"/>
        <v>16.8</v>
      </c>
      <c r="W942" s="2">
        <f>9.2346*S942</f>
        <v>9.2346000000000004</v>
      </c>
      <c r="X942" s="5">
        <f t="shared" si="132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24"/>
        <v>0</v>
      </c>
      <c r="AJ942" s="2">
        <f t="shared" si="125"/>
        <v>0</v>
      </c>
      <c r="AK942" s="2">
        <f t="shared" si="127"/>
        <v>7.5654000000000003</v>
      </c>
      <c r="AL942" s="5">
        <f t="shared" si="133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34"/>
        <v>19.2</v>
      </c>
      <c r="W943" s="2">
        <f>10.5267*S943</f>
        <v>10.5267</v>
      </c>
      <c r="X943" s="5">
        <f t="shared" si="132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24"/>
        <v>0</v>
      </c>
      <c r="AJ943" s="2">
        <f t="shared" si="125"/>
        <v>0</v>
      </c>
      <c r="AK943" s="2">
        <f t="shared" si="127"/>
        <v>8.6732999999999993</v>
      </c>
      <c r="AL943" s="5">
        <f t="shared" si="133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34"/>
        <v>22.2</v>
      </c>
      <c r="W944" s="2">
        <f>12.2604*S944</f>
        <v>12.260400000000001</v>
      </c>
      <c r="X944" s="5">
        <f t="shared" si="132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24"/>
        <v>0</v>
      </c>
      <c r="AJ944" s="2">
        <f t="shared" si="125"/>
        <v>0</v>
      </c>
      <c r="AK944" s="2">
        <f t="shared" si="127"/>
        <v>9.9395999999999987</v>
      </c>
      <c r="AL944" s="5">
        <f t="shared" si="133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34"/>
        <v>65</v>
      </c>
      <c r="W945" s="2">
        <f>25.0958*S945</f>
        <v>25.095800000000001</v>
      </c>
      <c r="X945" s="5">
        <f t="shared" si="132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24"/>
        <v>0</v>
      </c>
      <c r="AJ945" s="2">
        <f t="shared" si="125"/>
        <v>0</v>
      </c>
      <c r="AK945" s="2">
        <f t="shared" si="127"/>
        <v>39.904200000000003</v>
      </c>
      <c r="AL945" s="5">
        <f t="shared" si="133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34"/>
        <v>9</v>
      </c>
      <c r="W946" s="2">
        <v>5.04</v>
      </c>
      <c r="X946" s="5">
        <f t="shared" si="132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24"/>
        <v>0</v>
      </c>
      <c r="AJ946" s="2">
        <f t="shared" si="125"/>
        <v>0</v>
      </c>
      <c r="AK946" s="2">
        <f t="shared" si="127"/>
        <v>3.96</v>
      </c>
      <c r="AL946" s="5">
        <f t="shared" si="133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32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24"/>
        <v>0</v>
      </c>
      <c r="AG947" s="2">
        <v>14.34</v>
      </c>
      <c r="AJ947" s="2">
        <f t="shared" si="125"/>
        <v>0</v>
      </c>
      <c r="AK947" s="2">
        <f t="shared" si="127"/>
        <v>15.66</v>
      </c>
      <c r="AL947" s="5">
        <f t="shared" si="133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32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24"/>
        <v>0</v>
      </c>
      <c r="AG948" s="2">
        <v>9.3000000000000007</v>
      </c>
      <c r="AH948" s="2">
        <v>21</v>
      </c>
      <c r="AJ948" s="2">
        <f t="shared" si="125"/>
        <v>0</v>
      </c>
      <c r="AK948" s="2">
        <f t="shared" si="127"/>
        <v>8.6999999999999993</v>
      </c>
      <c r="AL948" s="5">
        <f t="shared" si="133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32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24"/>
        <v>0</v>
      </c>
      <c r="AG949" s="2">
        <v>3.7357999999999998</v>
      </c>
      <c r="AH949" s="2">
        <v>9</v>
      </c>
      <c r="AJ949" s="2">
        <f t="shared" si="125"/>
        <v>0</v>
      </c>
      <c r="AK949" s="2">
        <f t="shared" si="127"/>
        <v>4.0641999999999996</v>
      </c>
      <c r="AL949" s="5">
        <f t="shared" si="133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32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24"/>
        <v>0</v>
      </c>
      <c r="AJ950" s="2">
        <f t="shared" si="125"/>
        <v>0</v>
      </c>
      <c r="AK950" s="2">
        <f t="shared" si="127"/>
        <v>10.593299999999999</v>
      </c>
      <c r="AL950" s="5">
        <f t="shared" si="133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32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24"/>
        <v>0</v>
      </c>
      <c r="AJ951" s="2">
        <f t="shared" si="125"/>
        <v>0</v>
      </c>
      <c r="AK951" s="2">
        <f t="shared" si="127"/>
        <v>10.689999999999998</v>
      </c>
      <c r="AL951" s="5">
        <f t="shared" si="133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32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24"/>
        <v>0</v>
      </c>
      <c r="AG952" s="2">
        <v>10.6</v>
      </c>
      <c r="AH952" s="2">
        <v>18</v>
      </c>
      <c r="AJ952" s="2">
        <f t="shared" si="125"/>
        <v>0</v>
      </c>
      <c r="AK952" s="2">
        <f t="shared" si="127"/>
        <v>31</v>
      </c>
      <c r="AL952" s="5">
        <f t="shared" si="133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32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24"/>
        <v>0</v>
      </c>
      <c r="AG953" s="2">
        <v>9.14</v>
      </c>
      <c r="AH953" s="2">
        <v>16</v>
      </c>
      <c r="AJ953" s="2">
        <f t="shared" si="125"/>
        <v>0</v>
      </c>
      <c r="AK953" s="2">
        <f t="shared" si="127"/>
        <v>25.740000000000009</v>
      </c>
      <c r="AL953" s="5">
        <f t="shared" si="133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32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24"/>
        <v>0</v>
      </c>
      <c r="AG954" s="2">
        <v>8.1999999999999993</v>
      </c>
      <c r="AH954" s="2">
        <v>13</v>
      </c>
      <c r="AJ954" s="2">
        <f t="shared" si="125"/>
        <v>0</v>
      </c>
      <c r="AK954" s="2">
        <f t="shared" si="127"/>
        <v>37.400000000000006</v>
      </c>
      <c r="AL954" s="5">
        <f t="shared" si="133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32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24"/>
        <v>0</v>
      </c>
      <c r="AG955" s="2">
        <v>15.020300000000001</v>
      </c>
      <c r="AH955" s="2">
        <v>27.6</v>
      </c>
      <c r="AJ955" s="2">
        <f t="shared" si="125"/>
        <v>0</v>
      </c>
      <c r="AK955" s="2">
        <f t="shared" si="127"/>
        <v>10.459399999999999</v>
      </c>
      <c r="AL955" s="5">
        <f t="shared" si="133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32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24"/>
        <v>0</v>
      </c>
      <c r="AJ956" s="2">
        <f t="shared" si="125"/>
        <v>0</v>
      </c>
      <c r="AK956" s="2">
        <f t="shared" si="127"/>
        <v>100.46</v>
      </c>
      <c r="AL956" s="5">
        <f t="shared" si="133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32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24"/>
        <v>0</v>
      </c>
      <c r="AG957" s="2">
        <v>110.68</v>
      </c>
      <c r="AH957" s="2">
        <v>210</v>
      </c>
      <c r="AJ957" s="2">
        <f t="shared" si="125"/>
        <v>0</v>
      </c>
      <c r="AK957" s="2">
        <f t="shared" si="127"/>
        <v>95.5</v>
      </c>
      <c r="AL957" s="5">
        <f t="shared" si="133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32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24"/>
        <v>0</v>
      </c>
      <c r="AG958" s="2">
        <v>6.86</v>
      </c>
      <c r="AH958" s="2">
        <v>13.2</v>
      </c>
      <c r="AJ958" s="2">
        <f t="shared" si="125"/>
        <v>0</v>
      </c>
      <c r="AK958" s="2">
        <f t="shared" si="127"/>
        <v>3.9400000000000004</v>
      </c>
      <c r="AL958" s="5">
        <f t="shared" si="133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32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24"/>
        <v>0</v>
      </c>
      <c r="AG959" s="2">
        <v>1.1399999999999999</v>
      </c>
      <c r="AH959" s="2">
        <v>1.1399999999999999</v>
      </c>
      <c r="AJ959" s="2">
        <f t="shared" si="125"/>
        <v>0</v>
      </c>
      <c r="AK959" s="2">
        <f t="shared" si="127"/>
        <v>0</v>
      </c>
      <c r="AL959" s="5">
        <f t="shared" si="133"/>
        <v>0</v>
      </c>
    </row>
    <row r="960" spans="1:38" x14ac:dyDescent="0.2">
      <c r="A960" s="2">
        <v>2025</v>
      </c>
      <c r="B960" s="2">
        <v>5</v>
      </c>
      <c r="D960" s="2" t="s">
        <v>1323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32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24"/>
        <v>0</v>
      </c>
      <c r="AG960" s="2">
        <v>10.6</v>
      </c>
      <c r="AH960" s="2">
        <v>18</v>
      </c>
      <c r="AJ960" s="2">
        <f t="shared" si="125"/>
        <v>0</v>
      </c>
      <c r="AK960" s="2">
        <f t="shared" si="127"/>
        <v>14.8</v>
      </c>
      <c r="AL960" s="5">
        <f t="shared" si="133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32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24"/>
        <v>0</v>
      </c>
      <c r="AG961" s="2">
        <v>8.1999999999999993</v>
      </c>
      <c r="AH961" s="2">
        <v>13</v>
      </c>
      <c r="AJ961" s="2">
        <f t="shared" si="125"/>
        <v>0</v>
      </c>
      <c r="AK961" s="2">
        <f t="shared" si="127"/>
        <v>4.7999999999999989</v>
      </c>
      <c r="AL961" s="5">
        <f t="shared" si="133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35">AJ962</f>
        <v>0</v>
      </c>
      <c r="AJ962" s="2">
        <f t="shared" ref="AJ962:AJ1025" si="136">AI962*T962</f>
        <v>0</v>
      </c>
      <c r="AK962" s="2">
        <f t="shared" si="127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37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35"/>
        <v>0</v>
      </c>
      <c r="AG963" s="2">
        <v>1703.56</v>
      </c>
      <c r="AJ963" s="2">
        <f t="shared" si="136"/>
        <v>0</v>
      </c>
      <c r="AK963" s="2">
        <f t="shared" si="127"/>
        <v>596.44000000000005</v>
      </c>
      <c r="AL963" s="5">
        <f t="shared" ref="AL963:AL983" si="138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37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35"/>
        <v>0</v>
      </c>
      <c r="AG964" s="2">
        <v>22.2</v>
      </c>
      <c r="AJ964" s="2">
        <f t="shared" si="136"/>
        <v>0</v>
      </c>
      <c r="AK964" s="2">
        <f t="shared" si="127"/>
        <v>22.027999999999999</v>
      </c>
      <c r="AL964" s="5">
        <f t="shared" si="138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37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35"/>
        <v>0</v>
      </c>
      <c r="AG965" s="2">
        <v>33.728900000000003</v>
      </c>
      <c r="AJ965" s="2">
        <f t="shared" si="136"/>
        <v>0</v>
      </c>
      <c r="AK965" s="2">
        <f t="shared" si="127"/>
        <v>31.781100000000002</v>
      </c>
      <c r="AL965" s="5">
        <f t="shared" si="138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37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35"/>
        <v>0</v>
      </c>
      <c r="AJ966" s="2">
        <f t="shared" si="136"/>
        <v>0</v>
      </c>
      <c r="AK966" s="2">
        <f t="shared" si="127"/>
        <v>9.6000000000000014</v>
      </c>
      <c r="AL966" s="5">
        <f t="shared" si="138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37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35"/>
        <v>0</v>
      </c>
      <c r="AG967" s="2">
        <v>11.99</v>
      </c>
      <c r="AJ967" s="2">
        <f t="shared" si="136"/>
        <v>0</v>
      </c>
      <c r="AK967" s="2">
        <f t="shared" si="127"/>
        <v>10.9</v>
      </c>
      <c r="AL967" s="5">
        <f t="shared" si="138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37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35"/>
        <v>0</v>
      </c>
      <c r="AG968" s="2">
        <v>15.902100000000001</v>
      </c>
      <c r="AJ968" s="2">
        <f t="shared" si="136"/>
        <v>0</v>
      </c>
      <c r="AK968" s="2">
        <f t="shared" si="127"/>
        <v>18.647899999999996</v>
      </c>
      <c r="AL968" s="5">
        <f t="shared" si="138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37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35"/>
        <v>0</v>
      </c>
      <c r="AG969" s="2">
        <v>20.49</v>
      </c>
      <c r="AJ969" s="2">
        <f t="shared" si="136"/>
        <v>0</v>
      </c>
      <c r="AK969" s="2">
        <f t="shared" ref="AK969:AK1032" si="139">T969-W969</f>
        <v>22.31</v>
      </c>
      <c r="AL969" s="5">
        <f t="shared" si="138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37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35"/>
        <v>0</v>
      </c>
      <c r="AJ970" s="2">
        <f t="shared" si="136"/>
        <v>0</v>
      </c>
      <c r="AK970" s="2">
        <f t="shared" si="139"/>
        <v>113.85</v>
      </c>
      <c r="AL970" s="5">
        <f t="shared" si="138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37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35"/>
        <v>0</v>
      </c>
      <c r="AJ971" s="2">
        <f t="shared" si="136"/>
        <v>0</v>
      </c>
      <c r="AK971" s="2">
        <f t="shared" si="139"/>
        <v>0</v>
      </c>
      <c r="AL971" s="5">
        <f t="shared" si="138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37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35"/>
        <v>0</v>
      </c>
      <c r="AG972" s="2">
        <v>24.454000000000001</v>
      </c>
      <c r="AJ972" s="2">
        <f t="shared" si="136"/>
        <v>0</v>
      </c>
      <c r="AK972" s="2">
        <f t="shared" si="139"/>
        <v>50.712000000000003</v>
      </c>
      <c r="AL972" s="5">
        <f t="shared" si="138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37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35"/>
        <v>0</v>
      </c>
      <c r="AG973" s="2">
        <v>3.7555999999999998</v>
      </c>
      <c r="AH973" s="2">
        <v>7.2</v>
      </c>
      <c r="AJ973" s="2">
        <f t="shared" si="136"/>
        <v>0</v>
      </c>
      <c r="AK973" s="2">
        <f t="shared" si="139"/>
        <v>28.444000000000003</v>
      </c>
      <c r="AL973" s="5">
        <f t="shared" si="138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37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35"/>
        <v>0</v>
      </c>
      <c r="AJ974" s="2">
        <f t="shared" si="136"/>
        <v>0</v>
      </c>
      <c r="AK974" s="2">
        <f t="shared" si="139"/>
        <v>177.60000000000002</v>
      </c>
      <c r="AL974" s="5">
        <f t="shared" si="138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37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35"/>
        <v>0</v>
      </c>
      <c r="AG975" s="2">
        <v>0.85609999999999997</v>
      </c>
      <c r="AH975" s="2">
        <v>1.8</v>
      </c>
      <c r="AJ975" s="2">
        <f t="shared" si="136"/>
        <v>0</v>
      </c>
      <c r="AK975" s="2">
        <f t="shared" si="139"/>
        <v>18.878</v>
      </c>
      <c r="AL975" s="5">
        <f t="shared" si="138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37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35"/>
        <v>0</v>
      </c>
      <c r="AG976" s="2">
        <v>15.020300000000001</v>
      </c>
      <c r="AH976" s="2">
        <v>27.6</v>
      </c>
      <c r="AJ976" s="2">
        <f t="shared" si="136"/>
        <v>0</v>
      </c>
      <c r="AK976" s="2">
        <f t="shared" si="139"/>
        <v>17.939099999999996</v>
      </c>
      <c r="AL976" s="5">
        <f t="shared" si="138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37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35"/>
        <v>0</v>
      </c>
      <c r="AG977" s="2">
        <v>117.453</v>
      </c>
      <c r="AH977" s="2">
        <v>220</v>
      </c>
      <c r="AJ977" s="2">
        <f t="shared" si="136"/>
        <v>0</v>
      </c>
      <c r="AK977" s="2">
        <f t="shared" si="139"/>
        <v>92.546999999999997</v>
      </c>
      <c r="AL977" s="5">
        <f t="shared" si="138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37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35"/>
        <v>0</v>
      </c>
      <c r="AG978" s="2">
        <v>1.1399999999999999</v>
      </c>
      <c r="AH978" s="2">
        <v>1.1399999999999999</v>
      </c>
      <c r="AJ978" s="2">
        <f t="shared" si="136"/>
        <v>0</v>
      </c>
      <c r="AK978" s="2">
        <f t="shared" si="139"/>
        <v>0</v>
      </c>
      <c r="AL978" s="5">
        <f t="shared" si="138"/>
        <v>0</v>
      </c>
    </row>
    <row r="979" spans="1:38" x14ac:dyDescent="0.2">
      <c r="A979" s="2">
        <v>2025</v>
      </c>
      <c r="B979" s="2">
        <v>5</v>
      </c>
      <c r="C979" s="2" t="s">
        <v>3324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37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35"/>
        <v>0</v>
      </c>
      <c r="AJ979" s="2">
        <f t="shared" si="136"/>
        <v>0</v>
      </c>
      <c r="AK979" s="2">
        <f t="shared" si="139"/>
        <v>26.700000000000003</v>
      </c>
      <c r="AL979" s="5">
        <f t="shared" si="138"/>
        <v>0.30000000000000004</v>
      </c>
    </row>
    <row r="980" spans="1:38" x14ac:dyDescent="0.2">
      <c r="A980" s="2">
        <v>2025</v>
      </c>
      <c r="B980" s="2">
        <v>5</v>
      </c>
      <c r="C980" s="2" t="s">
        <v>3324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37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35"/>
        <v>0</v>
      </c>
      <c r="AG980" s="2">
        <v>489.3</v>
      </c>
      <c r="AJ980" s="2">
        <f t="shared" si="136"/>
        <v>0</v>
      </c>
      <c r="AK980" s="2">
        <f t="shared" si="139"/>
        <v>209.7</v>
      </c>
      <c r="AL980" s="5">
        <f t="shared" si="138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37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35"/>
        <v>0</v>
      </c>
      <c r="AG981" s="2">
        <v>119.33</v>
      </c>
      <c r="AH981" s="2">
        <v>220</v>
      </c>
      <c r="AJ981" s="2">
        <f t="shared" si="136"/>
        <v>0</v>
      </c>
      <c r="AK981" s="2">
        <f t="shared" si="139"/>
        <v>100.67</v>
      </c>
      <c r="AL981" s="5">
        <f t="shared" si="138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37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35"/>
        <v>0</v>
      </c>
      <c r="AG982" s="2">
        <v>1.1399999999999999</v>
      </c>
      <c r="AH982" s="2">
        <v>1.1399999999999999</v>
      </c>
      <c r="AJ982" s="2">
        <f t="shared" si="136"/>
        <v>0</v>
      </c>
      <c r="AK982" s="2">
        <f t="shared" si="139"/>
        <v>0</v>
      </c>
      <c r="AL982" s="5">
        <f t="shared" si="138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37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35"/>
        <v>0</v>
      </c>
      <c r="AJ983" s="2">
        <f t="shared" si="136"/>
        <v>0</v>
      </c>
      <c r="AK983" s="2">
        <f t="shared" si="139"/>
        <v>19.77</v>
      </c>
      <c r="AL983" s="5">
        <f t="shared" si="138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35"/>
        <v>0</v>
      </c>
      <c r="AJ984" s="2">
        <f t="shared" si="136"/>
        <v>0</v>
      </c>
      <c r="AK984" s="2">
        <f t="shared" si="139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35"/>
        <v>0</v>
      </c>
      <c r="AJ985" s="2">
        <f t="shared" si="136"/>
        <v>0</v>
      </c>
      <c r="AK985" s="2">
        <f t="shared" si="139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35"/>
        <v>0</v>
      </c>
      <c r="AJ986" s="2">
        <f t="shared" si="136"/>
        <v>0</v>
      </c>
      <c r="AK986" s="2">
        <f t="shared" si="139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35"/>
        <v>0</v>
      </c>
      <c r="AJ987" s="2">
        <f t="shared" si="136"/>
        <v>0</v>
      </c>
      <c r="AK987" s="2">
        <f t="shared" si="139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40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35"/>
        <v>0</v>
      </c>
      <c r="AJ988" s="2">
        <f t="shared" si="136"/>
        <v>0</v>
      </c>
      <c r="AK988" s="2">
        <f t="shared" si="139"/>
        <v>141.87</v>
      </c>
      <c r="AL988" s="5">
        <f t="shared" ref="AL988:AL1019" si="141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40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35"/>
        <v>0</v>
      </c>
      <c r="AJ989" s="2">
        <f t="shared" si="136"/>
        <v>0</v>
      </c>
      <c r="AK989" s="2">
        <f t="shared" si="139"/>
        <v>135.25</v>
      </c>
      <c r="AL989" s="5">
        <f t="shared" si="141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40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35"/>
        <v>0</v>
      </c>
      <c r="AJ990" s="2">
        <f t="shared" si="136"/>
        <v>0</v>
      </c>
      <c r="AK990" s="2">
        <f t="shared" si="139"/>
        <v>352.72999999999996</v>
      </c>
      <c r="AL990" s="5">
        <f t="shared" si="141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40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35"/>
        <v>0</v>
      </c>
      <c r="AJ991" s="2">
        <f t="shared" si="136"/>
        <v>0</v>
      </c>
      <c r="AK991" s="2">
        <f t="shared" si="139"/>
        <v>30</v>
      </c>
      <c r="AL991" s="5">
        <f t="shared" si="141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40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35"/>
        <v>0</v>
      </c>
      <c r="AJ992" s="2">
        <f t="shared" si="136"/>
        <v>0</v>
      </c>
      <c r="AK992" s="2">
        <f t="shared" si="139"/>
        <v>25</v>
      </c>
      <c r="AL992" s="5">
        <f t="shared" si="141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40"/>
        <v>0.4</v>
      </c>
      <c r="Z993" s="2" t="s">
        <v>3226</v>
      </c>
      <c r="AA993" s="2" t="s">
        <v>46</v>
      </c>
      <c r="AB993" s="2" t="s">
        <v>60</v>
      </c>
      <c r="AC993" s="2" t="s">
        <v>3331</v>
      </c>
      <c r="AF993" s="2">
        <f t="shared" si="135"/>
        <v>0</v>
      </c>
      <c r="AJ993" s="2">
        <f t="shared" si="136"/>
        <v>0</v>
      </c>
      <c r="AK993" s="2">
        <f t="shared" si="139"/>
        <v>58</v>
      </c>
      <c r="AL993" s="5">
        <f t="shared" si="141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40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35"/>
        <v>0</v>
      </c>
      <c r="AJ994" s="2">
        <f t="shared" si="136"/>
        <v>0</v>
      </c>
      <c r="AK994" s="2">
        <f t="shared" si="139"/>
        <v>26.5</v>
      </c>
      <c r="AL994" s="5">
        <f t="shared" si="141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40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35"/>
        <v>0</v>
      </c>
      <c r="AG995" s="2">
        <v>3.7357999999999998</v>
      </c>
      <c r="AH995" s="2">
        <v>9</v>
      </c>
      <c r="AJ995" s="2">
        <f t="shared" si="136"/>
        <v>0</v>
      </c>
      <c r="AK995" s="2">
        <f t="shared" si="139"/>
        <v>3.2642000000000002</v>
      </c>
      <c r="AL995" s="5">
        <f t="shared" si="141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40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35"/>
        <v>0</v>
      </c>
      <c r="AG996" s="2">
        <v>8.1999999999999993</v>
      </c>
      <c r="AH996" s="2">
        <v>13</v>
      </c>
      <c r="AJ996" s="2">
        <f t="shared" si="136"/>
        <v>0</v>
      </c>
      <c r="AK996" s="2">
        <f t="shared" si="139"/>
        <v>28</v>
      </c>
      <c r="AL996" s="5">
        <f t="shared" si="141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40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35"/>
        <v>0</v>
      </c>
      <c r="AG997" s="2">
        <v>46.2</v>
      </c>
      <c r="AJ997" s="2">
        <f t="shared" si="136"/>
        <v>0</v>
      </c>
      <c r="AK997" s="2">
        <f t="shared" si="139"/>
        <v>19.799999999999997</v>
      </c>
      <c r="AL997" s="5">
        <f t="shared" si="141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40"/>
        <v>-0.2</v>
      </c>
      <c r="Z998" s="2" t="s">
        <v>169</v>
      </c>
      <c r="AA998" s="2" t="s">
        <v>169</v>
      </c>
      <c r="AF998" s="2">
        <f t="shared" si="135"/>
        <v>0</v>
      </c>
      <c r="AJ998" s="2">
        <f t="shared" si="136"/>
        <v>0</v>
      </c>
      <c r="AK998" s="2">
        <f t="shared" si="139"/>
        <v>-1</v>
      </c>
      <c r="AL998" s="5">
        <f t="shared" si="141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40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35"/>
        <v>0</v>
      </c>
      <c r="AJ999" s="2">
        <f t="shared" si="136"/>
        <v>0</v>
      </c>
      <c r="AK999" s="2">
        <f t="shared" si="139"/>
        <v>141.87</v>
      </c>
      <c r="AL999" s="5">
        <f t="shared" si="141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40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35"/>
        <v>0</v>
      </c>
      <c r="AG1000" s="2">
        <v>110.68</v>
      </c>
      <c r="AH1000" s="2">
        <v>210</v>
      </c>
      <c r="AJ1000" s="2">
        <f t="shared" si="136"/>
        <v>0</v>
      </c>
      <c r="AK1000" s="2">
        <f t="shared" si="139"/>
        <v>109.32</v>
      </c>
      <c r="AL1000" s="5">
        <f t="shared" si="141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40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35"/>
        <v>0</v>
      </c>
      <c r="AJ1001" s="2">
        <f t="shared" si="136"/>
        <v>0</v>
      </c>
      <c r="AK1001" s="2">
        <f t="shared" si="139"/>
        <v>0</v>
      </c>
      <c r="AL1001" s="5">
        <f t="shared" si="141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40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35"/>
        <v>0</v>
      </c>
      <c r="AJ1002" s="2">
        <f t="shared" si="136"/>
        <v>0</v>
      </c>
      <c r="AK1002" s="2">
        <f t="shared" si="139"/>
        <v>32.674999999999997</v>
      </c>
      <c r="AL1002" s="5">
        <f t="shared" si="141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40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35"/>
        <v>0</v>
      </c>
      <c r="AJ1003" s="2">
        <f t="shared" si="136"/>
        <v>0</v>
      </c>
      <c r="AK1003" s="2">
        <f t="shared" si="139"/>
        <v>34.904200000000003</v>
      </c>
      <c r="AL1003" s="5">
        <f t="shared" si="141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40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35"/>
        <v>0</v>
      </c>
      <c r="AG1004" s="2">
        <v>5.2972999999999999</v>
      </c>
      <c r="AH1004" s="2">
        <v>10.8</v>
      </c>
      <c r="AJ1004" s="2">
        <f t="shared" si="136"/>
        <v>0</v>
      </c>
      <c r="AK1004" s="2">
        <f t="shared" si="139"/>
        <v>8.6053999999999995</v>
      </c>
      <c r="AL1004" s="5">
        <f t="shared" si="141"/>
        <v>0.44819791666666664</v>
      </c>
    </row>
    <row r="1005" spans="1:38" x14ac:dyDescent="0.2">
      <c r="A1005" s="2">
        <v>2025</v>
      </c>
      <c r="B1005" s="2">
        <v>5</v>
      </c>
      <c r="C1005" s="2" t="s">
        <v>3297</v>
      </c>
      <c r="D1005" s="2" t="s">
        <v>1372</v>
      </c>
      <c r="E1005" s="2" t="s">
        <v>38</v>
      </c>
      <c r="F1005" s="2" t="s">
        <v>39</v>
      </c>
      <c r="I1005" s="2" t="s">
        <v>3298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40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35"/>
        <v>0</v>
      </c>
      <c r="AG1005" s="2">
        <v>15.020300000000001</v>
      </c>
      <c r="AH1005" s="2">
        <v>27.6</v>
      </c>
      <c r="AJ1005" s="2">
        <f t="shared" si="136"/>
        <v>0</v>
      </c>
      <c r="AK1005" s="2">
        <f t="shared" si="139"/>
        <v>20.359399999999997</v>
      </c>
      <c r="AL1005" s="5">
        <f t="shared" si="141"/>
        <v>0.40395634920634915</v>
      </c>
    </row>
    <row r="1006" spans="1:38" x14ac:dyDescent="0.2">
      <c r="A1006" s="2">
        <v>2025</v>
      </c>
      <c r="B1006" s="2">
        <v>5</v>
      </c>
      <c r="C1006" s="2" t="s">
        <v>3297</v>
      </c>
      <c r="D1006" s="2" t="s">
        <v>1372</v>
      </c>
      <c r="E1006" s="2" t="s">
        <v>38</v>
      </c>
      <c r="F1006" s="2" t="s">
        <v>39</v>
      </c>
      <c r="I1006" s="2" t="s">
        <v>3298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40"/>
        <v>1</v>
      </c>
      <c r="Z1006" s="2" t="s">
        <v>117</v>
      </c>
      <c r="AA1006" s="2" t="s">
        <v>118</v>
      </c>
      <c r="AB1006" s="2" t="s">
        <v>119</v>
      </c>
      <c r="AC1006" s="2" t="s">
        <v>3296</v>
      </c>
      <c r="AF1006" s="2">
        <f t="shared" si="135"/>
        <v>0</v>
      </c>
      <c r="AJ1006" s="2">
        <f t="shared" si="136"/>
        <v>0</v>
      </c>
      <c r="AK1006" s="2">
        <f t="shared" si="139"/>
        <v>32.49</v>
      </c>
      <c r="AL1006" s="5">
        <f t="shared" si="141"/>
        <v>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40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35"/>
        <v>0</v>
      </c>
      <c r="AG1007" s="2">
        <v>15.020300000000001</v>
      </c>
      <c r="AH1007" s="2">
        <v>27.6</v>
      </c>
      <c r="AJ1007" s="2">
        <f t="shared" si="136"/>
        <v>0</v>
      </c>
      <c r="AK1007" s="2">
        <f t="shared" si="139"/>
        <v>10.179699999999999</v>
      </c>
      <c r="AL1007" s="5">
        <f t="shared" si="141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40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35"/>
        <v>0</v>
      </c>
      <c r="AG1008" s="2">
        <v>6.6266999999999996</v>
      </c>
      <c r="AH1008" s="2">
        <v>12</v>
      </c>
      <c r="AJ1008" s="2">
        <f t="shared" si="136"/>
        <v>0</v>
      </c>
      <c r="AK1008" s="2">
        <f t="shared" si="139"/>
        <v>5.3733000000000004</v>
      </c>
      <c r="AL1008" s="5">
        <f t="shared" si="141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40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35"/>
        <v>0</v>
      </c>
      <c r="AJ1009" s="2">
        <f t="shared" si="136"/>
        <v>0</v>
      </c>
      <c r="AK1009" s="2">
        <f t="shared" si="139"/>
        <v>22.490000000000002</v>
      </c>
      <c r="AL1009" s="5">
        <f t="shared" si="141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40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35"/>
        <v>0</v>
      </c>
      <c r="AJ1010" s="2">
        <f t="shared" si="136"/>
        <v>0</v>
      </c>
      <c r="AK1010" s="2">
        <f t="shared" si="139"/>
        <v>32.4</v>
      </c>
      <c r="AL1010" s="5">
        <f t="shared" si="141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40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35"/>
        <v>0</v>
      </c>
      <c r="AJ1011" s="2">
        <f t="shared" si="136"/>
        <v>0</v>
      </c>
      <c r="AK1011" s="2">
        <f t="shared" si="139"/>
        <v>11.25</v>
      </c>
      <c r="AL1011" s="5">
        <f t="shared" si="141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40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35"/>
        <v>0</v>
      </c>
      <c r="AG1012" s="2">
        <v>117.453</v>
      </c>
      <c r="AH1012" s="2">
        <v>220</v>
      </c>
      <c r="AJ1012" s="2">
        <f t="shared" si="136"/>
        <v>0</v>
      </c>
      <c r="AK1012" s="2">
        <f t="shared" si="139"/>
        <v>92.546999999999997</v>
      </c>
      <c r="AL1012" s="5">
        <f t="shared" si="141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40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35"/>
        <v>0</v>
      </c>
      <c r="AJ1013" s="2">
        <f t="shared" si="136"/>
        <v>0</v>
      </c>
      <c r="AK1013" s="2">
        <f t="shared" si="139"/>
        <v>0</v>
      </c>
      <c r="AL1013" s="5">
        <f t="shared" si="141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40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35"/>
        <v>0</v>
      </c>
      <c r="AG1014" s="2">
        <f>144.14+15.4</f>
        <v>159.54</v>
      </c>
      <c r="AH1014" s="2">
        <v>280</v>
      </c>
      <c r="AJ1014" s="2">
        <f t="shared" si="136"/>
        <v>0</v>
      </c>
      <c r="AK1014" s="2">
        <f t="shared" si="139"/>
        <v>100.46000000000001</v>
      </c>
      <c r="AL1014" s="5">
        <f t="shared" si="141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40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35"/>
        <v>0</v>
      </c>
      <c r="AJ1015" s="2">
        <f t="shared" si="136"/>
        <v>0</v>
      </c>
      <c r="AK1015" s="2">
        <f t="shared" si="139"/>
        <v>0</v>
      </c>
      <c r="AL1015" s="5">
        <f t="shared" si="141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40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35"/>
        <v>0</v>
      </c>
      <c r="AJ1016" s="2">
        <f t="shared" si="136"/>
        <v>0</v>
      </c>
      <c r="AK1016" s="2">
        <f t="shared" si="139"/>
        <v>86.199999999999989</v>
      </c>
      <c r="AL1016" s="5">
        <f t="shared" si="141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40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35"/>
        <v>0</v>
      </c>
      <c r="AJ1017" s="2">
        <f t="shared" si="136"/>
        <v>0</v>
      </c>
      <c r="AK1017" s="2">
        <f t="shared" si="139"/>
        <v>10.1</v>
      </c>
      <c r="AL1017" s="5">
        <f t="shared" si="141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40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35"/>
        <v>0</v>
      </c>
      <c r="AJ1018" s="2">
        <f t="shared" si="136"/>
        <v>0</v>
      </c>
      <c r="AK1018" s="2">
        <f t="shared" si="139"/>
        <v>11</v>
      </c>
      <c r="AL1018" s="5">
        <f t="shared" si="141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40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35"/>
        <v>0</v>
      </c>
      <c r="AG1019" s="2">
        <v>15.020300000000001</v>
      </c>
      <c r="AH1019" s="2">
        <v>27.6</v>
      </c>
      <c r="AJ1019" s="2">
        <f t="shared" si="136"/>
        <v>0</v>
      </c>
      <c r="AK1019" s="2">
        <f t="shared" si="139"/>
        <v>6.4796999999999993</v>
      </c>
      <c r="AL1019" s="5">
        <f t="shared" si="141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42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35"/>
        <v>0</v>
      </c>
      <c r="AJ1020" s="2">
        <f t="shared" si="136"/>
        <v>0</v>
      </c>
      <c r="AK1020" s="2">
        <f t="shared" si="139"/>
        <v>7.125</v>
      </c>
      <c r="AL1020" s="5">
        <f t="shared" ref="AL1020:AL1051" si="143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42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35"/>
        <v>0</v>
      </c>
      <c r="AJ1021" s="2">
        <f t="shared" si="136"/>
        <v>0</v>
      </c>
      <c r="AK1021" s="2">
        <f t="shared" si="139"/>
        <v>8.7550000000000008</v>
      </c>
      <c r="AL1021" s="5">
        <f t="shared" si="143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42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35"/>
        <v>0</v>
      </c>
      <c r="AG1022" s="2">
        <v>8.1999999999999993</v>
      </c>
      <c r="AH1022" s="2">
        <v>13</v>
      </c>
      <c r="AJ1022" s="2">
        <f t="shared" si="136"/>
        <v>0</v>
      </c>
      <c r="AK1022" s="2">
        <f t="shared" si="139"/>
        <v>4.7999999999999989</v>
      </c>
      <c r="AL1022" s="5">
        <f t="shared" si="143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42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35"/>
        <v>0</v>
      </c>
      <c r="AG1023" s="2">
        <v>104.49</v>
      </c>
      <c r="AH1023" s="2">
        <v>220</v>
      </c>
      <c r="AJ1023" s="2">
        <f t="shared" si="136"/>
        <v>0</v>
      </c>
      <c r="AK1023" s="2">
        <f t="shared" si="139"/>
        <v>105.51</v>
      </c>
      <c r="AL1023" s="5">
        <f t="shared" si="143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42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35"/>
        <v>0</v>
      </c>
      <c r="AG1024" s="2">
        <v>1.1399999999999999</v>
      </c>
      <c r="AH1024" s="2">
        <v>1.1399999999999999</v>
      </c>
      <c r="AJ1024" s="2">
        <f t="shared" si="136"/>
        <v>0</v>
      </c>
      <c r="AK1024" s="2">
        <f t="shared" si="139"/>
        <v>0</v>
      </c>
      <c r="AL1024" s="5">
        <f t="shared" si="143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42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35"/>
        <v>0</v>
      </c>
      <c r="AG1025" s="2">
        <v>6.6266999999999996</v>
      </c>
      <c r="AH1025" s="2">
        <v>12</v>
      </c>
      <c r="AJ1025" s="2">
        <f t="shared" si="136"/>
        <v>0</v>
      </c>
      <c r="AK1025" s="2">
        <f t="shared" si="139"/>
        <v>16.119900000000001</v>
      </c>
      <c r="AL1025" s="5">
        <f t="shared" si="143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42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44">AJ1026</f>
        <v>0</v>
      </c>
      <c r="AG1026" s="2">
        <v>3.7357999999999998</v>
      </c>
      <c r="AH1026" s="2">
        <v>9</v>
      </c>
      <c r="AJ1026" s="2">
        <f t="shared" ref="AJ1026:AJ1089" si="145">AI1026*T1026</f>
        <v>0</v>
      </c>
      <c r="AK1026" s="2">
        <f t="shared" si="139"/>
        <v>4.0641999999999996</v>
      </c>
      <c r="AL1026" s="5">
        <f t="shared" si="143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42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44"/>
        <v>0</v>
      </c>
      <c r="AG1027" s="2">
        <v>15.020300000000001</v>
      </c>
      <c r="AH1027" s="2">
        <v>27.6</v>
      </c>
      <c r="AJ1027" s="2">
        <f t="shared" si="145"/>
        <v>0</v>
      </c>
      <c r="AK1027" s="2">
        <f t="shared" si="139"/>
        <v>5.9796999999999993</v>
      </c>
      <c r="AL1027" s="5">
        <f t="shared" si="143"/>
        <v>0.28474761904761903</v>
      </c>
    </row>
    <row r="1028" spans="1:38" x14ac:dyDescent="0.2">
      <c r="A1028" s="2">
        <v>2025</v>
      </c>
      <c r="B1028" s="2">
        <v>5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42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44"/>
        <v>0</v>
      </c>
      <c r="AJ1028" s="2">
        <f t="shared" si="145"/>
        <v>0</v>
      </c>
      <c r="AK1028" s="2">
        <f t="shared" si="139"/>
        <v>5320.6</v>
      </c>
      <c r="AL1028" s="5">
        <f t="shared" si="143"/>
        <v>0.33274546591619764</v>
      </c>
    </row>
    <row r="1029" spans="1:38" x14ac:dyDescent="0.2">
      <c r="A1029" s="2">
        <v>2025</v>
      </c>
      <c r="B1029" s="2">
        <v>5</v>
      </c>
      <c r="C1029" s="2" t="s">
        <v>3324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42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44"/>
        <v>0</v>
      </c>
      <c r="AG1029" s="2">
        <f>576.8234+8.18</f>
        <v>585.00339999999994</v>
      </c>
      <c r="AJ1029" s="2">
        <f t="shared" si="145"/>
        <v>0</v>
      </c>
      <c r="AK1029" s="2">
        <f t="shared" si="139"/>
        <v>637.11659999999983</v>
      </c>
      <c r="AL1029" s="5">
        <f t="shared" si="143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42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44"/>
        <v>0</v>
      </c>
      <c r="AJ1030" s="2">
        <f t="shared" si="145"/>
        <v>0</v>
      </c>
      <c r="AK1030" s="2">
        <f t="shared" si="139"/>
        <v>72.599999999999994</v>
      </c>
      <c r="AL1030" s="5">
        <f t="shared" si="143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42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44"/>
        <v>0</v>
      </c>
      <c r="AJ1031" s="2">
        <f t="shared" si="145"/>
        <v>0</v>
      </c>
      <c r="AK1031" s="2">
        <f t="shared" si="139"/>
        <v>25</v>
      </c>
      <c r="AL1031" s="5">
        <f t="shared" si="143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42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44"/>
        <v>0</v>
      </c>
      <c r="AJ1032" s="2">
        <f t="shared" si="145"/>
        <v>0</v>
      </c>
      <c r="AK1032" s="2">
        <f t="shared" si="139"/>
        <v>56.709000000000003</v>
      </c>
      <c r="AL1032" s="5">
        <f t="shared" si="143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42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44"/>
        <v>0</v>
      </c>
      <c r="AJ1033" s="2">
        <f t="shared" si="145"/>
        <v>0</v>
      </c>
      <c r="AK1033" s="2">
        <f t="shared" ref="AK1033:AK1078" si="146">T1033-W1033</f>
        <v>33.864999999999995</v>
      </c>
      <c r="AL1033" s="5">
        <f t="shared" si="143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42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44"/>
        <v>0</v>
      </c>
      <c r="AJ1034" s="2">
        <f t="shared" si="145"/>
        <v>0</v>
      </c>
      <c r="AK1034" s="2">
        <f t="shared" si="146"/>
        <v>221.58160000000001</v>
      </c>
      <c r="AL1034" s="5">
        <f t="shared" si="143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42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44"/>
        <v>0</v>
      </c>
      <c r="AJ1035" s="2">
        <f t="shared" si="145"/>
        <v>0</v>
      </c>
      <c r="AK1035" s="2">
        <f t="shared" si="146"/>
        <v>53.55</v>
      </c>
      <c r="AL1035" s="5">
        <f t="shared" si="143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42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44"/>
        <v>0</v>
      </c>
      <c r="AJ1036" s="2">
        <f t="shared" si="145"/>
        <v>0</v>
      </c>
      <c r="AK1036" s="2">
        <f t="shared" si="146"/>
        <v>45</v>
      </c>
      <c r="AL1036" s="5">
        <f t="shared" si="143"/>
        <v>0.5</v>
      </c>
    </row>
    <row r="1037" spans="1:38" x14ac:dyDescent="0.2">
      <c r="A1037" s="2">
        <v>2025</v>
      </c>
      <c r="B1037" s="2">
        <v>5</v>
      </c>
      <c r="D1037" s="2" t="s">
        <v>1388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42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44"/>
        <v>0</v>
      </c>
      <c r="AJ1037" s="2">
        <f t="shared" si="145"/>
        <v>0</v>
      </c>
      <c r="AK1037" s="2">
        <f t="shared" si="146"/>
        <v>31.990000000000002</v>
      </c>
      <c r="AL1037" s="5">
        <f t="shared" si="143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42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44"/>
        <v>0</v>
      </c>
      <c r="AJ1038" s="2">
        <f t="shared" si="145"/>
        <v>0</v>
      </c>
      <c r="AK1038" s="2">
        <f t="shared" si="146"/>
        <v>100.74</v>
      </c>
      <c r="AL1038" s="5">
        <f t="shared" si="143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42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44"/>
        <v>0</v>
      </c>
      <c r="AG1039" s="2">
        <v>1.1399999999999999</v>
      </c>
      <c r="AH1039" s="2">
        <v>1.1399999999999999</v>
      </c>
      <c r="AJ1039" s="2">
        <f t="shared" si="145"/>
        <v>0</v>
      </c>
      <c r="AK1039" s="2">
        <f t="shared" si="146"/>
        <v>0</v>
      </c>
      <c r="AL1039" s="5">
        <f t="shared" si="143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42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44"/>
        <v>0</v>
      </c>
      <c r="AJ1040" s="2">
        <f t="shared" si="145"/>
        <v>0</v>
      </c>
      <c r="AK1040" s="2">
        <f t="shared" si="146"/>
        <v>7.125</v>
      </c>
      <c r="AL1040" s="5">
        <f t="shared" si="143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42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44"/>
        <v>0</v>
      </c>
      <c r="AJ1041" s="2">
        <f t="shared" si="145"/>
        <v>0</v>
      </c>
      <c r="AK1041" s="2">
        <f t="shared" si="146"/>
        <v>7.5654000000000003</v>
      </c>
      <c r="AL1041" s="5">
        <f t="shared" si="143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42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44"/>
        <v>0</v>
      </c>
      <c r="AG1042" s="2">
        <v>8.1999999999999993</v>
      </c>
      <c r="AH1042" s="2">
        <v>13</v>
      </c>
      <c r="AJ1042" s="2">
        <f t="shared" si="145"/>
        <v>0</v>
      </c>
      <c r="AK1042" s="2">
        <f t="shared" si="146"/>
        <v>23</v>
      </c>
      <c r="AL1042" s="5">
        <f t="shared" si="143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42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44"/>
        <v>0</v>
      </c>
      <c r="AJ1043" s="2">
        <f t="shared" si="145"/>
        <v>0</v>
      </c>
      <c r="AK1043" s="2">
        <f t="shared" si="146"/>
        <v>7.7200000000000024</v>
      </c>
      <c r="AL1043" s="5">
        <f t="shared" si="143"/>
        <v>0.29692307692307701</v>
      </c>
    </row>
    <row r="1044" spans="1:38" x14ac:dyDescent="0.2">
      <c r="A1044" s="2">
        <v>2025</v>
      </c>
      <c r="B1044" s="2">
        <v>5</v>
      </c>
      <c r="C1044" s="2" t="s">
        <v>3324</v>
      </c>
      <c r="D1044" s="15" t="s">
        <v>3336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42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44"/>
        <v>0</v>
      </c>
      <c r="AJ1044" s="2">
        <f t="shared" si="145"/>
        <v>0</v>
      </c>
      <c r="AK1044" s="2">
        <f t="shared" si="146"/>
        <v>110.74</v>
      </c>
      <c r="AL1044" s="5">
        <f t="shared" si="143"/>
        <v>0.50336363636363635</v>
      </c>
    </row>
    <row r="1045" spans="1:38" x14ac:dyDescent="0.2">
      <c r="A1045" s="2">
        <v>2025</v>
      </c>
      <c r="B1045" s="2">
        <v>5</v>
      </c>
      <c r="C1045" s="2" t="s">
        <v>3324</v>
      </c>
      <c r="D1045" s="15" t="s">
        <v>3336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42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44"/>
        <v>0</v>
      </c>
      <c r="AJ1045" s="2">
        <f t="shared" si="145"/>
        <v>0</v>
      </c>
      <c r="AK1045" s="2">
        <f t="shared" si="146"/>
        <v>0</v>
      </c>
      <c r="AL1045" s="5">
        <f t="shared" si="143"/>
        <v>0</v>
      </c>
    </row>
    <row r="1046" spans="1:38" x14ac:dyDescent="0.2">
      <c r="A1046" s="2">
        <v>2025</v>
      </c>
      <c r="B1046" s="2">
        <v>5</v>
      </c>
      <c r="C1046" s="2" t="s">
        <v>3314</v>
      </c>
      <c r="D1046" s="2" t="s">
        <v>3313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42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44"/>
        <v>0</v>
      </c>
      <c r="AG1046" s="2">
        <v>6468.73</v>
      </c>
      <c r="AJ1046" s="2">
        <f t="shared" si="145"/>
        <v>0</v>
      </c>
      <c r="AK1046" s="2">
        <f t="shared" si="146"/>
        <v>4251.2700000000004</v>
      </c>
      <c r="AL1046" s="5">
        <f t="shared" si="143"/>
        <v>0.39657369402985077</v>
      </c>
    </row>
    <row r="1047" spans="1:38" x14ac:dyDescent="0.2">
      <c r="A1047" s="2">
        <v>2025</v>
      </c>
      <c r="B1047" s="2">
        <v>5</v>
      </c>
      <c r="C1047" s="2" t="s">
        <v>3297</v>
      </c>
      <c r="D1047" s="2" t="s">
        <v>3312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42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44"/>
        <v>0</v>
      </c>
      <c r="AG1047" s="2">
        <v>299.25</v>
      </c>
      <c r="AJ1047" s="2">
        <f t="shared" si="145"/>
        <v>0</v>
      </c>
      <c r="AK1047" s="2">
        <f t="shared" si="146"/>
        <v>3.75</v>
      </c>
      <c r="AL1047" s="5">
        <f t="shared" si="143"/>
        <v>1.2376237623762377E-2</v>
      </c>
    </row>
    <row r="1048" spans="1:38" x14ac:dyDescent="0.2">
      <c r="A1048" s="2">
        <v>2025</v>
      </c>
      <c r="B1048" s="2">
        <v>5</v>
      </c>
      <c r="C1048" s="2" t="s">
        <v>3297</v>
      </c>
      <c r="D1048" s="2" t="s">
        <v>3312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42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44"/>
        <v>0</v>
      </c>
      <c r="AG1048" s="2">
        <v>1990</v>
      </c>
      <c r="AJ1048" s="2">
        <f t="shared" si="145"/>
        <v>0</v>
      </c>
      <c r="AK1048" s="2">
        <f t="shared" si="146"/>
        <v>409</v>
      </c>
      <c r="AL1048" s="5">
        <f t="shared" si="143"/>
        <v>0.17048770320967069</v>
      </c>
    </row>
    <row r="1049" spans="1:38" x14ac:dyDescent="0.2">
      <c r="A1049" s="2">
        <v>2025</v>
      </c>
      <c r="B1049" s="2">
        <v>5</v>
      </c>
      <c r="C1049" s="2" t="s">
        <v>3297</v>
      </c>
      <c r="D1049" s="2" t="s">
        <v>3312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42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44"/>
        <v>0</v>
      </c>
      <c r="AG1049" s="2">
        <v>417</v>
      </c>
      <c r="AJ1049" s="2">
        <f t="shared" si="145"/>
        <v>0</v>
      </c>
      <c r="AK1049" s="2">
        <f t="shared" si="146"/>
        <v>145.75</v>
      </c>
      <c r="AL1049" s="5">
        <f t="shared" si="143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42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44"/>
        <v>0</v>
      </c>
      <c r="AJ1050" s="2">
        <f t="shared" si="145"/>
        <v>0</v>
      </c>
      <c r="AK1050" s="2">
        <f t="shared" si="146"/>
        <v>17.505000000000003</v>
      </c>
      <c r="AL1050" s="5">
        <f t="shared" si="143"/>
        <v>0.60781250000000009</v>
      </c>
    </row>
    <row r="1051" spans="1:38" x14ac:dyDescent="0.2">
      <c r="A1051" s="2">
        <v>2025</v>
      </c>
      <c r="B1051" s="2">
        <v>5</v>
      </c>
      <c r="D1051" s="2" t="s">
        <v>1255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42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44"/>
        <v>0</v>
      </c>
      <c r="AG1051" s="2">
        <v>117.453</v>
      </c>
      <c r="AH1051" s="2">
        <v>220</v>
      </c>
      <c r="AJ1051" s="2">
        <f t="shared" si="145"/>
        <v>0</v>
      </c>
      <c r="AK1051" s="2">
        <f t="shared" si="146"/>
        <v>82.546999999999997</v>
      </c>
      <c r="AL1051" s="5">
        <f t="shared" si="143"/>
        <v>0.41273499999999996</v>
      </c>
    </row>
    <row r="1052" spans="1:38" x14ac:dyDescent="0.2">
      <c r="A1052" s="2">
        <v>2025</v>
      </c>
      <c r="B1052" s="2">
        <v>5</v>
      </c>
      <c r="D1052" s="2" t="s">
        <v>1255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47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44"/>
        <v>0</v>
      </c>
      <c r="AJ1052" s="2">
        <f t="shared" si="145"/>
        <v>0</v>
      </c>
      <c r="AK1052" s="2">
        <f t="shared" si="146"/>
        <v>0</v>
      </c>
      <c r="AL1052" s="5">
        <f t="shared" ref="AL1052:AL1057" si="148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47"/>
        <v>1</v>
      </c>
      <c r="Z1053" s="2" t="s">
        <v>119</v>
      </c>
      <c r="AA1053" s="2" t="s">
        <v>492</v>
      </c>
      <c r="AF1053" s="2">
        <f t="shared" si="144"/>
        <v>0</v>
      </c>
      <c r="AJ1053" s="2">
        <f t="shared" si="145"/>
        <v>0</v>
      </c>
      <c r="AK1053" s="2">
        <f t="shared" si="146"/>
        <v>664.04</v>
      </c>
      <c r="AL1053" s="5">
        <f t="shared" si="148"/>
        <v>1</v>
      </c>
    </row>
    <row r="1054" spans="1:38" x14ac:dyDescent="0.2">
      <c r="A1054" s="2">
        <v>2025</v>
      </c>
      <c r="B1054" s="2">
        <v>5</v>
      </c>
      <c r="C1054" s="2" t="s">
        <v>3314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47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44"/>
        <v>0</v>
      </c>
      <c r="AJ1054" s="2">
        <f t="shared" si="145"/>
        <v>0</v>
      </c>
      <c r="AK1054" s="2">
        <f t="shared" si="146"/>
        <v>791</v>
      </c>
      <c r="AL1054" s="5">
        <f t="shared" si="148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47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44"/>
        <v>0</v>
      </c>
      <c r="AG1055" s="2">
        <v>10.6</v>
      </c>
      <c r="AH1055" s="2">
        <v>18</v>
      </c>
      <c r="AJ1055" s="2">
        <f t="shared" si="145"/>
        <v>0</v>
      </c>
      <c r="AK1055" s="2">
        <f t="shared" si="146"/>
        <v>22.200000000000003</v>
      </c>
      <c r="AL1055" s="5">
        <f t="shared" si="148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47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44"/>
        <v>0</v>
      </c>
      <c r="AG1056" s="2">
        <v>15.020300000000001</v>
      </c>
      <c r="AH1056" s="2">
        <v>27.6</v>
      </c>
      <c r="AJ1056" s="2">
        <f t="shared" si="145"/>
        <v>0</v>
      </c>
      <c r="AK1056" s="2">
        <f t="shared" si="146"/>
        <v>10.179699999999999</v>
      </c>
      <c r="AL1056" s="5">
        <f t="shared" si="148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44"/>
        <v>0</v>
      </c>
      <c r="AJ1057" s="2">
        <f t="shared" si="145"/>
        <v>0</v>
      </c>
      <c r="AK1057" s="2">
        <f t="shared" si="146"/>
        <v>0</v>
      </c>
      <c r="AL1057" s="5" t="e">
        <f t="shared" si="148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44"/>
        <v>0</v>
      </c>
      <c r="AJ1058" s="2">
        <f t="shared" si="145"/>
        <v>0</v>
      </c>
      <c r="AK1058" s="2">
        <f t="shared" si="146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078" si="149">(T1059-W1059)/T1059</f>
        <v>1</v>
      </c>
      <c r="Z1059" s="2" t="s">
        <v>119</v>
      </c>
      <c r="AA1059" s="2" t="s">
        <v>3379</v>
      </c>
      <c r="AF1059" s="2">
        <f t="shared" si="144"/>
        <v>0</v>
      </c>
      <c r="AJ1059" s="2">
        <f t="shared" si="145"/>
        <v>0</v>
      </c>
      <c r="AK1059" s="2">
        <f t="shared" si="146"/>
        <v>142.51</v>
      </c>
      <c r="AL1059" s="5">
        <f t="shared" ref="AL1059:AL1078" si="150">(T1059-W1059)/T1059</f>
        <v>1</v>
      </c>
    </row>
    <row r="1060" spans="1:38" x14ac:dyDescent="0.2">
      <c r="A1060" s="2">
        <v>2025</v>
      </c>
      <c r="B1060" s="2">
        <v>5</v>
      </c>
      <c r="D1060" s="2" t="s">
        <v>1398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49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44"/>
        <v>0</v>
      </c>
      <c r="AG1060" s="2">
        <v>117.453</v>
      </c>
      <c r="AH1060" s="2">
        <v>220</v>
      </c>
      <c r="AJ1060" s="2">
        <f t="shared" si="145"/>
        <v>0</v>
      </c>
      <c r="AK1060" s="2">
        <f t="shared" si="146"/>
        <v>185.09399999999999</v>
      </c>
      <c r="AL1060" s="5">
        <f t="shared" si="150"/>
        <v>0.44069999999999998</v>
      </c>
    </row>
    <row r="1061" spans="1:38" x14ac:dyDescent="0.2">
      <c r="A1061" s="2">
        <v>2025</v>
      </c>
      <c r="B1061" s="2">
        <v>5</v>
      </c>
      <c r="D1061" s="2" t="s">
        <v>1398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49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44"/>
        <v>0</v>
      </c>
      <c r="AJ1061" s="2">
        <f t="shared" si="145"/>
        <v>0</v>
      </c>
      <c r="AK1061" s="2">
        <f t="shared" si="146"/>
        <v>0</v>
      </c>
      <c r="AL1061" s="5">
        <f t="shared" si="150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49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44"/>
        <v>0</v>
      </c>
      <c r="AG1062" s="2">
        <v>3.3595999999999999</v>
      </c>
      <c r="AJ1062" s="2">
        <f t="shared" si="145"/>
        <v>0</v>
      </c>
      <c r="AK1062" s="2">
        <f t="shared" si="146"/>
        <v>7.490800000000001</v>
      </c>
      <c r="AL1062" s="5">
        <f t="shared" si="150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49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44"/>
        <v>0</v>
      </c>
      <c r="AJ1063" s="2">
        <f t="shared" si="145"/>
        <v>0</v>
      </c>
      <c r="AK1063" s="2">
        <f t="shared" si="146"/>
        <v>16.98</v>
      </c>
      <c r="AL1063" s="5">
        <f t="shared" si="150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49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44"/>
        <v>0</v>
      </c>
      <c r="AJ1064" s="2">
        <f t="shared" si="145"/>
        <v>0</v>
      </c>
      <c r="AK1064" s="2">
        <f t="shared" si="146"/>
        <v>31.990000000000002</v>
      </c>
      <c r="AL1064" s="5">
        <f t="shared" si="150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49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44"/>
        <v>0</v>
      </c>
      <c r="AJ1065" s="2">
        <f t="shared" si="145"/>
        <v>0</v>
      </c>
      <c r="AK1065" s="2">
        <f t="shared" si="146"/>
        <v>34.410299999999992</v>
      </c>
      <c r="AL1065" s="5">
        <f t="shared" si="150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49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44"/>
        <v>0</v>
      </c>
      <c r="AJ1066" s="2">
        <f t="shared" si="145"/>
        <v>0</v>
      </c>
      <c r="AK1066" s="2">
        <f t="shared" si="146"/>
        <v>21.770000000000003</v>
      </c>
      <c r="AL1066" s="5">
        <f t="shared" si="150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49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44"/>
        <v>0</v>
      </c>
      <c r="AJ1067" s="2">
        <f t="shared" si="145"/>
        <v>0</v>
      </c>
      <c r="AK1067" s="2">
        <f t="shared" si="146"/>
        <v>89.699999999999989</v>
      </c>
      <c r="AL1067" s="5">
        <f t="shared" si="150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49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44"/>
        <v>0</v>
      </c>
      <c r="AJ1068" s="2">
        <f t="shared" si="145"/>
        <v>0</v>
      </c>
      <c r="AK1068" s="2">
        <f t="shared" si="146"/>
        <v>39.080000000000005</v>
      </c>
      <c r="AL1068" s="5">
        <f t="shared" si="150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49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44"/>
        <v>0</v>
      </c>
      <c r="AJ1069" s="2">
        <f t="shared" si="145"/>
        <v>0</v>
      </c>
      <c r="AK1069" s="2">
        <f t="shared" si="146"/>
        <v>36</v>
      </c>
      <c r="AL1069" s="5">
        <f t="shared" si="150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49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44"/>
        <v>0</v>
      </c>
      <c r="AJ1070" s="2">
        <f t="shared" si="145"/>
        <v>0</v>
      </c>
      <c r="AK1070" s="2">
        <f t="shared" si="146"/>
        <v>50</v>
      </c>
      <c r="AL1070" s="5">
        <f t="shared" si="150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49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44"/>
        <v>0</v>
      </c>
      <c r="AG1071" s="2">
        <v>110.68</v>
      </c>
      <c r="AH1071" s="2">
        <v>210</v>
      </c>
      <c r="AJ1071" s="2">
        <f t="shared" si="145"/>
        <v>0</v>
      </c>
      <c r="AK1071" s="2">
        <f t="shared" si="146"/>
        <v>99.32</v>
      </c>
      <c r="AL1071" s="5">
        <f t="shared" si="150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49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44"/>
        <v>0</v>
      </c>
      <c r="AJ1072" s="2">
        <f t="shared" si="145"/>
        <v>0</v>
      </c>
      <c r="AK1072" s="2">
        <f t="shared" si="146"/>
        <v>0</v>
      </c>
      <c r="AL1072" s="5">
        <f t="shared" si="150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49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44"/>
        <v>0</v>
      </c>
      <c r="AJ1073" s="2">
        <f t="shared" si="145"/>
        <v>0</v>
      </c>
      <c r="AK1073" s="2">
        <f t="shared" si="146"/>
        <v>32.674999999999997</v>
      </c>
      <c r="AL1073" s="5">
        <f t="shared" si="150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49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44"/>
        <v>0</v>
      </c>
      <c r="AJ1074" s="2">
        <f t="shared" si="145"/>
        <v>0</v>
      </c>
      <c r="AK1074" s="2">
        <f t="shared" si="146"/>
        <v>34.904200000000003</v>
      </c>
      <c r="AL1074" s="5">
        <f t="shared" si="150"/>
        <v>0.58173666666666668</v>
      </c>
    </row>
    <row r="1075" spans="1:38" x14ac:dyDescent="0.2">
      <c r="A1075" s="2">
        <v>2025</v>
      </c>
      <c r="B1075" s="2">
        <v>5</v>
      </c>
      <c r="D1075" s="2" t="s">
        <v>1412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49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44"/>
        <v>0</v>
      </c>
      <c r="AJ1075" s="2">
        <f t="shared" si="145"/>
        <v>0</v>
      </c>
      <c r="AK1075" s="2">
        <f t="shared" si="146"/>
        <v>113.55</v>
      </c>
      <c r="AL1075" s="5">
        <f t="shared" si="150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49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44"/>
        <v>0</v>
      </c>
      <c r="AJ1076" s="2">
        <f t="shared" si="145"/>
        <v>0</v>
      </c>
      <c r="AK1076" s="2">
        <f t="shared" si="146"/>
        <v>108</v>
      </c>
      <c r="AL1076" s="5">
        <f t="shared" si="150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49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44"/>
        <v>0</v>
      </c>
      <c r="AG1077" s="2">
        <f>110.125+11.77</f>
        <v>121.895</v>
      </c>
      <c r="AJ1077" s="2">
        <f t="shared" si="145"/>
        <v>0</v>
      </c>
      <c r="AK1077" s="2">
        <f t="shared" si="146"/>
        <v>88.105000000000004</v>
      </c>
      <c r="AL1077" s="5">
        <f t="shared" si="150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49"/>
        <v>0.23333333333333334</v>
      </c>
      <c r="Z1078" s="2" t="s">
        <v>169</v>
      </c>
      <c r="AA1078" s="2" t="s">
        <v>169</v>
      </c>
      <c r="AF1078" s="2">
        <f t="shared" si="144"/>
        <v>0</v>
      </c>
      <c r="AJ1078" s="2">
        <f t="shared" si="145"/>
        <v>0</v>
      </c>
      <c r="AK1078" s="2">
        <f t="shared" si="146"/>
        <v>7</v>
      </c>
      <c r="AL1078" s="5">
        <f t="shared" si="150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119</v>
      </c>
      <c r="AA1079" s="2" t="s">
        <v>142</v>
      </c>
      <c r="AF1079" s="2">
        <f t="shared" si="144"/>
        <v>0</v>
      </c>
      <c r="AJ1079" s="2">
        <f t="shared" si="145"/>
        <v>0</v>
      </c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51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44"/>
        <v>0</v>
      </c>
      <c r="AJ1080" s="2">
        <f t="shared" si="145"/>
        <v>0</v>
      </c>
      <c r="AK1080" s="2">
        <f t="shared" ref="AK1080:AK1093" si="152">T1080-W1080</f>
        <v>0</v>
      </c>
      <c r="AL1080" s="5">
        <f t="shared" ref="AL1080:AL1094" si="153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51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44"/>
        <v>0</v>
      </c>
      <c r="AG1081" s="2">
        <v>122.446</v>
      </c>
      <c r="AH1081" s="2">
        <v>230</v>
      </c>
      <c r="AJ1081" s="2">
        <f t="shared" si="145"/>
        <v>0</v>
      </c>
      <c r="AK1081" s="2">
        <f t="shared" si="152"/>
        <v>97.554000000000002</v>
      </c>
      <c r="AL1081" s="5">
        <f t="shared" si="153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51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44"/>
        <v>0</v>
      </c>
      <c r="AG1082" s="2">
        <v>1.1399999999999999</v>
      </c>
      <c r="AH1082" s="2">
        <v>1.1399999999999999</v>
      </c>
      <c r="AJ1082" s="2">
        <f t="shared" si="145"/>
        <v>0</v>
      </c>
      <c r="AK1082" s="2">
        <f t="shared" si="152"/>
        <v>0</v>
      </c>
      <c r="AL1082" s="5">
        <f t="shared" si="153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51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44"/>
        <v>0</v>
      </c>
      <c r="AJ1083" s="2">
        <f t="shared" si="145"/>
        <v>0</v>
      </c>
      <c r="AK1083" s="2">
        <f t="shared" si="152"/>
        <v>74.844999999999999</v>
      </c>
      <c r="AL1083" s="5">
        <f t="shared" si="153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51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44"/>
        <v>0</v>
      </c>
      <c r="AJ1084" s="2">
        <f t="shared" si="145"/>
        <v>0</v>
      </c>
      <c r="AK1084" s="2">
        <f t="shared" si="152"/>
        <v>0</v>
      </c>
      <c r="AL1084" s="5">
        <f t="shared" si="153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51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44"/>
        <v>0</v>
      </c>
      <c r="AG1085" s="2">
        <v>117.453</v>
      </c>
      <c r="AH1085" s="2">
        <v>220</v>
      </c>
      <c r="AJ1085" s="2">
        <f t="shared" si="145"/>
        <v>0</v>
      </c>
      <c r="AK1085" s="2">
        <f t="shared" si="152"/>
        <v>92.546999999999997</v>
      </c>
      <c r="AL1085" s="5">
        <f t="shared" si="153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51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44"/>
        <v>0</v>
      </c>
      <c r="AJ1086" s="2">
        <f t="shared" si="145"/>
        <v>0</v>
      </c>
      <c r="AK1086" s="2">
        <f t="shared" si="152"/>
        <v>0</v>
      </c>
      <c r="AL1086" s="5">
        <f t="shared" si="153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51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44"/>
        <v>0</v>
      </c>
      <c r="AG1087" s="2">
        <v>8.1999999999999993</v>
      </c>
      <c r="AH1087" s="2">
        <v>13</v>
      </c>
      <c r="AJ1087" s="2">
        <f t="shared" si="145"/>
        <v>0</v>
      </c>
      <c r="AK1087" s="2">
        <f t="shared" si="152"/>
        <v>23</v>
      </c>
      <c r="AL1087" s="5">
        <f t="shared" si="153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51"/>
        <v>1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44"/>
        <v>0</v>
      </c>
      <c r="AJ1088" s="2">
        <f t="shared" si="145"/>
        <v>0</v>
      </c>
      <c r="AK1088" s="2">
        <f t="shared" si="152"/>
        <v>27</v>
      </c>
      <c r="AL1088" s="5">
        <f t="shared" si="153"/>
        <v>1</v>
      </c>
    </row>
    <row r="1089" spans="1:38" x14ac:dyDescent="0.2">
      <c r="A1089" s="2">
        <v>2025</v>
      </c>
      <c r="B1089" s="2">
        <v>5</v>
      </c>
      <c r="C1089" s="2" t="s">
        <v>3510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51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44"/>
        <v>0</v>
      </c>
      <c r="AJ1089" s="2">
        <f t="shared" si="145"/>
        <v>0</v>
      </c>
      <c r="AK1089" s="2">
        <f t="shared" si="152"/>
        <v>8.0803999999999991</v>
      </c>
      <c r="AL1089" s="5">
        <f t="shared" si="153"/>
        <v>0.6666996699669967</v>
      </c>
    </row>
    <row r="1090" spans="1:38" x14ac:dyDescent="0.2">
      <c r="A1090" s="2">
        <v>2025</v>
      </c>
      <c r="B1090" s="2">
        <v>5</v>
      </c>
      <c r="C1090" s="2" t="s">
        <v>3510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51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54">AJ1090</f>
        <v>0</v>
      </c>
      <c r="AJ1090" s="2">
        <f t="shared" ref="AJ1090:AJ1153" si="155">AI1090*T1090</f>
        <v>0</v>
      </c>
      <c r="AK1090" s="2">
        <f t="shared" si="152"/>
        <v>1647.11</v>
      </c>
      <c r="AL1090" s="5">
        <f t="shared" si="153"/>
        <v>0.65481817784262353</v>
      </c>
    </row>
    <row r="1091" spans="1:38" x14ac:dyDescent="0.2">
      <c r="A1091" s="2">
        <v>2025</v>
      </c>
      <c r="B1091" s="2">
        <v>5</v>
      </c>
      <c r="C1091" s="2" t="s">
        <v>3510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51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54"/>
        <v>0</v>
      </c>
      <c r="AJ1091" s="2">
        <f t="shared" si="155"/>
        <v>0</v>
      </c>
      <c r="AK1091" s="2">
        <f t="shared" si="152"/>
        <v>132.01999999999998</v>
      </c>
      <c r="AL1091" s="5">
        <f t="shared" si="153"/>
        <v>0.65927590511860168</v>
      </c>
    </row>
    <row r="1092" spans="1:38" x14ac:dyDescent="0.2">
      <c r="A1092" s="2">
        <v>2025</v>
      </c>
      <c r="B1092" s="2">
        <v>5</v>
      </c>
      <c r="C1092" s="2" t="s">
        <v>3510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51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54"/>
        <v>0</v>
      </c>
      <c r="AJ1092" s="2">
        <f t="shared" si="155"/>
        <v>0</v>
      </c>
      <c r="AK1092" s="2">
        <f t="shared" si="152"/>
        <v>43.8</v>
      </c>
      <c r="AL1092" s="5">
        <f t="shared" si="153"/>
        <v>0.6</v>
      </c>
    </row>
    <row r="1093" spans="1:38" x14ac:dyDescent="0.2">
      <c r="A1093" s="2">
        <v>2025</v>
      </c>
      <c r="B1093" s="2">
        <v>5</v>
      </c>
      <c r="C1093" s="2" t="s">
        <v>3510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51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54"/>
        <v>0</v>
      </c>
      <c r="AJ1093" s="2">
        <f t="shared" si="155"/>
        <v>0</v>
      </c>
      <c r="AK1093" s="2">
        <f t="shared" si="152"/>
        <v>50</v>
      </c>
      <c r="AL1093" s="5">
        <f t="shared" si="153"/>
        <v>0.5</v>
      </c>
    </row>
    <row r="1094" spans="1:38" x14ac:dyDescent="0.2">
      <c r="A1094" s="2">
        <v>2025</v>
      </c>
      <c r="B1094" s="2">
        <v>5</v>
      </c>
      <c r="C1094" s="2" t="s">
        <v>3297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119</v>
      </c>
      <c r="AA1094" s="2" t="s">
        <v>142</v>
      </c>
      <c r="AF1094" s="2">
        <f t="shared" si="154"/>
        <v>0</v>
      </c>
      <c r="AJ1094" s="2">
        <f t="shared" si="155"/>
        <v>0</v>
      </c>
      <c r="AK1094" s="2">
        <f t="shared" ref="AK1094" si="156">T1094-W1094</f>
        <v>-818.33</v>
      </c>
      <c r="AL1094" s="5">
        <f t="shared" ref="AL1094" si="157">(T1094-W1094)/T1094</f>
        <v>1</v>
      </c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54"/>
        <v>0</v>
      </c>
      <c r="AJ1095" s="2">
        <f t="shared" si="155"/>
        <v>0</v>
      </c>
      <c r="AK1095" s="2">
        <f t="shared" ref="AK1095:AK1100" si="158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54"/>
        <v>0</v>
      </c>
      <c r="AG1096" s="2">
        <v>6.6266999999999996</v>
      </c>
      <c r="AH1096" s="2">
        <v>12</v>
      </c>
      <c r="AJ1096" s="2">
        <f t="shared" si="155"/>
        <v>0</v>
      </c>
      <c r="AK1096" s="2">
        <f t="shared" si="158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54"/>
        <v>0</v>
      </c>
      <c r="AG1097" s="2">
        <v>10.6</v>
      </c>
      <c r="AH1097" s="2">
        <v>18</v>
      </c>
      <c r="AJ1097" s="2">
        <f t="shared" si="155"/>
        <v>0</v>
      </c>
      <c r="AK1097" s="2">
        <f t="shared" si="158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54"/>
        <v>0</v>
      </c>
      <c r="AJ1098" s="2">
        <f t="shared" si="155"/>
        <v>0</v>
      </c>
      <c r="AK1098" s="2">
        <f t="shared" si="158"/>
        <v>-164.39999999999998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54"/>
        <v>0</v>
      </c>
      <c r="AJ1099" s="2">
        <f t="shared" si="155"/>
        <v>0</v>
      </c>
      <c r="AK1099" s="2">
        <f t="shared" si="158"/>
        <v>-50</v>
      </c>
      <c r="AL1099" s="5">
        <f>(T1099-W1099)/T1099</f>
        <v>1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54"/>
        <v>0</v>
      </c>
      <c r="AG1100" s="2">
        <v>1.4114</v>
      </c>
      <c r="AH1100" s="2">
        <v>3</v>
      </c>
      <c r="AJ1100" s="2">
        <f t="shared" si="155"/>
        <v>0</v>
      </c>
      <c r="AK1100" s="2">
        <f t="shared" si="158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54"/>
        <v>0</v>
      </c>
      <c r="AG1101" s="2">
        <v>3.7357999999999998</v>
      </c>
      <c r="AH1101" s="2">
        <v>9</v>
      </c>
      <c r="AJ1101" s="2">
        <f t="shared" si="155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59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54"/>
        <v>0</v>
      </c>
      <c r="AG1102" s="2">
        <v>8.1999999999999993</v>
      </c>
      <c r="AH1102" s="2">
        <v>13</v>
      </c>
      <c r="AJ1102" s="2">
        <f t="shared" si="155"/>
        <v>0</v>
      </c>
      <c r="AK1102" s="2">
        <f t="shared" ref="AK1102:AK1130" si="160">T1102-W1102</f>
        <v>23</v>
      </c>
      <c r="AL1102" s="5">
        <f t="shared" ref="AL1102:AL1130" si="161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59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54"/>
        <v>0</v>
      </c>
      <c r="AJ1103" s="2">
        <f t="shared" si="155"/>
        <v>0</v>
      </c>
      <c r="AK1103" s="2">
        <f t="shared" si="160"/>
        <v>14.49</v>
      </c>
      <c r="AL1103" s="5">
        <f t="shared" si="161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59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54"/>
        <v>0</v>
      </c>
      <c r="AJ1104" s="2">
        <f t="shared" si="155"/>
        <v>0</v>
      </c>
      <c r="AK1104" s="2">
        <f t="shared" si="160"/>
        <v>22.027999999999999</v>
      </c>
      <c r="AL1104" s="5">
        <f t="shared" si="161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59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54"/>
        <v>0</v>
      </c>
      <c r="AG1105" s="2">
        <v>6.6266999999999996</v>
      </c>
      <c r="AH1105" s="2">
        <v>12</v>
      </c>
      <c r="AJ1105" s="2">
        <f t="shared" si="155"/>
        <v>0</v>
      </c>
      <c r="AK1105" s="2">
        <f t="shared" si="160"/>
        <v>10.746600000000001</v>
      </c>
      <c r="AL1105" s="5">
        <f t="shared" si="161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59"/>
        <v>1</v>
      </c>
      <c r="Z1106" s="2" t="s">
        <v>117</v>
      </c>
      <c r="AF1106" s="2">
        <f t="shared" si="154"/>
        <v>0</v>
      </c>
      <c r="AJ1106" s="2">
        <f t="shared" si="155"/>
        <v>0</v>
      </c>
      <c r="AK1106" s="2">
        <f t="shared" si="160"/>
        <v>42.6</v>
      </c>
      <c r="AL1106" s="5">
        <f t="shared" si="161"/>
        <v>1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59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54"/>
        <v>0</v>
      </c>
      <c r="AJ1107" s="2">
        <f t="shared" si="155"/>
        <v>0</v>
      </c>
      <c r="AK1107" s="2">
        <f t="shared" si="160"/>
        <v>30</v>
      </c>
      <c r="AL1107" s="5">
        <f t="shared" si="161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59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54"/>
        <v>0</v>
      </c>
      <c r="AJ1108" s="2">
        <f t="shared" si="155"/>
        <v>0</v>
      </c>
      <c r="AK1108" s="2">
        <f t="shared" si="160"/>
        <v>18.75</v>
      </c>
      <c r="AL1108" s="5">
        <f t="shared" si="161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59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54"/>
        <v>0</v>
      </c>
      <c r="AG1109" s="2">
        <v>117.453</v>
      </c>
      <c r="AH1109" s="2">
        <v>220</v>
      </c>
      <c r="AJ1109" s="2">
        <f t="shared" si="155"/>
        <v>0</v>
      </c>
      <c r="AK1109" s="2">
        <f t="shared" si="160"/>
        <v>86.246999999999986</v>
      </c>
      <c r="AL1109" s="5">
        <f t="shared" si="161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59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54"/>
        <v>0</v>
      </c>
      <c r="AG1110" s="2">
        <v>111.98</v>
      </c>
      <c r="AH1110" s="2">
        <v>210</v>
      </c>
      <c r="AJ1110" s="2">
        <f t="shared" si="155"/>
        <v>0</v>
      </c>
      <c r="AK1110" s="2">
        <f t="shared" si="160"/>
        <v>91.719999999999985</v>
      </c>
      <c r="AL1110" s="5">
        <f t="shared" si="161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59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54"/>
        <v>0</v>
      </c>
      <c r="AJ1111" s="2">
        <f t="shared" si="155"/>
        <v>0</v>
      </c>
      <c r="AK1111" s="2">
        <f t="shared" si="160"/>
        <v>0</v>
      </c>
      <c r="AL1111" s="5">
        <f t="shared" si="161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59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54"/>
        <v>0</v>
      </c>
      <c r="AJ1112" s="2">
        <f t="shared" si="155"/>
        <v>0</v>
      </c>
      <c r="AK1112" s="2">
        <f t="shared" si="160"/>
        <v>27.650000000000006</v>
      </c>
      <c r="AL1112" s="5">
        <f t="shared" si="161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59"/>
        <v>0.4</v>
      </c>
      <c r="Z1113" s="2" t="s">
        <v>3226</v>
      </c>
      <c r="AA1113" s="2" t="s">
        <v>46</v>
      </c>
      <c r="AB1113" s="2" t="s">
        <v>60</v>
      </c>
      <c r="AC1113" s="2" t="s">
        <v>3331</v>
      </c>
      <c r="AF1113" s="2">
        <f t="shared" si="154"/>
        <v>0</v>
      </c>
      <c r="AJ1113" s="2">
        <f t="shared" si="155"/>
        <v>0</v>
      </c>
      <c r="AK1113" s="2">
        <f t="shared" si="160"/>
        <v>23.200000000000003</v>
      </c>
      <c r="AL1113" s="5">
        <f t="shared" si="161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59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54"/>
        <v>0</v>
      </c>
      <c r="AG1114" s="2">
        <v>8.1999999999999993</v>
      </c>
      <c r="AH1114" s="2">
        <v>13</v>
      </c>
      <c r="AJ1114" s="2">
        <f t="shared" si="155"/>
        <v>0</v>
      </c>
      <c r="AK1114" s="2">
        <f t="shared" si="160"/>
        <v>11.399999999999999</v>
      </c>
      <c r="AL1114" s="5">
        <f t="shared" si="161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59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54"/>
        <v>0</v>
      </c>
      <c r="AG1115" s="2">
        <v>6.86</v>
      </c>
      <c r="AJ1115" s="2">
        <f t="shared" si="155"/>
        <v>0</v>
      </c>
      <c r="AK1115" s="2">
        <f t="shared" si="160"/>
        <v>3.339999999999999</v>
      </c>
      <c r="AL1115" s="5">
        <f t="shared" si="161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59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54"/>
        <v>0</v>
      </c>
      <c r="AJ1116" s="2">
        <f t="shared" si="155"/>
        <v>0</v>
      </c>
      <c r="AK1116" s="2">
        <f t="shared" si="160"/>
        <v>120.4966</v>
      </c>
      <c r="AL1116" s="5">
        <f t="shared" si="161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59"/>
        <v>1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54"/>
        <v>0</v>
      </c>
      <c r="AJ1117" s="2">
        <f t="shared" si="155"/>
        <v>0</v>
      </c>
      <c r="AK1117" s="2">
        <f t="shared" si="160"/>
        <v>83.79</v>
      </c>
      <c r="AL1117" s="5">
        <f t="shared" si="161"/>
        <v>1</v>
      </c>
    </row>
    <row r="1118" spans="1:38" x14ac:dyDescent="0.2">
      <c r="A1118" s="2">
        <v>2025</v>
      </c>
      <c r="B1118" s="2">
        <v>5</v>
      </c>
      <c r="D1118" s="2" t="s">
        <v>1438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59"/>
        <v>1</v>
      </c>
      <c r="Z1118" s="2" t="s">
        <v>119</v>
      </c>
      <c r="AA1118" s="2" t="s">
        <v>3379</v>
      </c>
      <c r="AF1118" s="2">
        <f t="shared" si="154"/>
        <v>0</v>
      </c>
      <c r="AJ1118" s="2">
        <f t="shared" si="155"/>
        <v>0</v>
      </c>
      <c r="AK1118" s="2">
        <f t="shared" si="160"/>
        <v>205</v>
      </c>
      <c r="AL1118" s="5">
        <f t="shared" si="161"/>
        <v>1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59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54"/>
        <v>0</v>
      </c>
      <c r="AJ1119" s="2">
        <f t="shared" si="155"/>
        <v>0</v>
      </c>
      <c r="AK1119" s="2">
        <f t="shared" si="160"/>
        <v>27.650000000000006</v>
      </c>
      <c r="AL1119" s="5">
        <f t="shared" si="161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59"/>
        <v>1</v>
      </c>
      <c r="Z1120" s="2" t="s">
        <v>117</v>
      </c>
      <c r="AF1120" s="2">
        <f t="shared" si="154"/>
        <v>0</v>
      </c>
      <c r="AJ1120" s="2">
        <f t="shared" si="155"/>
        <v>0</v>
      </c>
      <c r="AK1120" s="2">
        <f t="shared" si="160"/>
        <v>255.02</v>
      </c>
      <c r="AL1120" s="5">
        <f t="shared" si="161"/>
        <v>1</v>
      </c>
    </row>
    <row r="1121" spans="1:38" x14ac:dyDescent="0.2">
      <c r="A1121" s="2">
        <v>2025</v>
      </c>
      <c r="B1121" s="2">
        <v>4</v>
      </c>
      <c r="C1121" s="2" t="s">
        <v>3407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59"/>
        <v>1</v>
      </c>
      <c r="Z1121" s="2" t="s">
        <v>104</v>
      </c>
      <c r="AA1121" s="2" t="s">
        <v>578</v>
      </c>
      <c r="AF1121" s="2">
        <f t="shared" si="154"/>
        <v>0</v>
      </c>
      <c r="AJ1121" s="2">
        <f t="shared" si="155"/>
        <v>0</v>
      </c>
      <c r="AK1121" s="2">
        <f t="shared" si="160"/>
        <v>1235</v>
      </c>
      <c r="AL1121" s="5">
        <f t="shared" si="161"/>
        <v>1</v>
      </c>
    </row>
    <row r="1122" spans="1:38" x14ac:dyDescent="0.2">
      <c r="A1122" s="2">
        <v>2025</v>
      </c>
      <c r="B1122" s="2">
        <v>4</v>
      </c>
      <c r="C1122" s="2" t="s">
        <v>3407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59"/>
        <v>1</v>
      </c>
      <c r="Z1122" s="2" t="s">
        <v>104</v>
      </c>
      <c r="AA1122" s="2" t="s">
        <v>578</v>
      </c>
      <c r="AF1122" s="2">
        <f t="shared" si="154"/>
        <v>0</v>
      </c>
      <c r="AJ1122" s="2">
        <f t="shared" si="155"/>
        <v>0</v>
      </c>
      <c r="AK1122" s="2">
        <f t="shared" si="160"/>
        <v>1805</v>
      </c>
      <c r="AL1122" s="5">
        <f t="shared" si="161"/>
        <v>1</v>
      </c>
    </row>
    <row r="1123" spans="1:38" x14ac:dyDescent="0.2">
      <c r="A1123" s="2">
        <v>2025</v>
      </c>
      <c r="B1123" s="2">
        <v>5</v>
      </c>
      <c r="C1123" s="2" t="s">
        <v>3314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59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54"/>
        <v>0</v>
      </c>
      <c r="AJ1123" s="2">
        <f t="shared" si="155"/>
        <v>0</v>
      </c>
      <c r="AK1123" s="2">
        <f t="shared" si="160"/>
        <v>127.45250000000001</v>
      </c>
      <c r="AL1123" s="5">
        <f t="shared" si="161"/>
        <v>0.49977452748804019</v>
      </c>
    </row>
    <row r="1124" spans="1:38" x14ac:dyDescent="0.2">
      <c r="A1124" s="2">
        <v>2025</v>
      </c>
      <c r="B1124" s="2">
        <v>5</v>
      </c>
      <c r="C1124" s="2" t="s">
        <v>3324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59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54"/>
        <v>0</v>
      </c>
      <c r="AG1124" s="2">
        <v>152.85</v>
      </c>
      <c r="AH1124" s="2">
        <v>260</v>
      </c>
      <c r="AJ1124" s="2">
        <f t="shared" si="155"/>
        <v>0</v>
      </c>
      <c r="AK1124" s="2">
        <f t="shared" si="160"/>
        <v>107.15</v>
      </c>
      <c r="AL1124" s="5">
        <f t="shared" si="161"/>
        <v>0.41211538461538466</v>
      </c>
    </row>
    <row r="1125" spans="1:38" x14ac:dyDescent="0.2">
      <c r="A1125" s="2">
        <v>2025</v>
      </c>
      <c r="B1125" s="2">
        <v>5</v>
      </c>
      <c r="C1125" s="2" t="s">
        <v>3324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59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54"/>
        <v>0</v>
      </c>
      <c r="AG1125" s="2">
        <v>1.1399999999999999</v>
      </c>
      <c r="AH1125" s="2">
        <v>1.1399999999999999</v>
      </c>
      <c r="AJ1125" s="2">
        <f t="shared" si="155"/>
        <v>0</v>
      </c>
      <c r="AK1125" s="2">
        <f t="shared" si="160"/>
        <v>0</v>
      </c>
      <c r="AL1125" s="5">
        <f t="shared" si="161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59"/>
        <v>1</v>
      </c>
      <c r="AF1126" s="2">
        <f t="shared" si="154"/>
        <v>0</v>
      </c>
      <c r="AJ1126" s="2">
        <f t="shared" si="155"/>
        <v>0</v>
      </c>
      <c r="AK1126" s="2">
        <f t="shared" si="160"/>
        <v>35.74</v>
      </c>
      <c r="AL1126" s="5">
        <f t="shared" si="161"/>
        <v>1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59"/>
        <v>1</v>
      </c>
      <c r="Z1127" s="2" t="s">
        <v>119</v>
      </c>
      <c r="AA1127" s="2" t="s">
        <v>3379</v>
      </c>
      <c r="AF1127" s="2">
        <f t="shared" si="154"/>
        <v>0</v>
      </c>
      <c r="AJ1127" s="2">
        <f t="shared" si="155"/>
        <v>0</v>
      </c>
      <c r="AK1127" s="2">
        <f t="shared" si="160"/>
        <v>99.75</v>
      </c>
      <c r="AL1127" s="5">
        <f t="shared" si="161"/>
        <v>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59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54"/>
        <v>0</v>
      </c>
      <c r="AJ1128" s="2">
        <f t="shared" si="155"/>
        <v>0</v>
      </c>
      <c r="AK1128" s="2">
        <f t="shared" si="160"/>
        <v>512.94000000000005</v>
      </c>
      <c r="AL1128" s="5">
        <f t="shared" si="161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59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54"/>
        <v>0</v>
      </c>
      <c r="AJ1129" s="2">
        <f t="shared" si="155"/>
        <v>0</v>
      </c>
      <c r="AK1129" s="2">
        <f t="shared" si="160"/>
        <v>30</v>
      </c>
      <c r="AL1129" s="5">
        <f t="shared" si="161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59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54"/>
        <v>0</v>
      </c>
      <c r="AJ1130" s="2">
        <f t="shared" si="155"/>
        <v>0</v>
      </c>
      <c r="AK1130" s="2">
        <f t="shared" si="160"/>
        <v>50</v>
      </c>
      <c r="AL1130" s="5">
        <f t="shared" si="161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119</v>
      </c>
      <c r="AA1131" s="2" t="s">
        <v>142</v>
      </c>
      <c r="AF1131" s="2">
        <f t="shared" si="154"/>
        <v>0</v>
      </c>
      <c r="AJ1131" s="2">
        <f t="shared" si="155"/>
        <v>0</v>
      </c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62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54"/>
        <v>0</v>
      </c>
      <c r="AG1132" s="2">
        <v>10.6</v>
      </c>
      <c r="AH1132" s="2">
        <v>18</v>
      </c>
      <c r="AJ1132" s="2">
        <f t="shared" si="155"/>
        <v>0</v>
      </c>
      <c r="AK1132" s="2">
        <f t="shared" ref="AK1132:AK1163" si="163">T1132-W1132</f>
        <v>10.8</v>
      </c>
      <c r="AL1132" s="5">
        <f t="shared" ref="AL1132:AL1162" si="164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62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54"/>
        <v>0</v>
      </c>
      <c r="AG1133" s="2">
        <v>9.1399999999999995E-2</v>
      </c>
      <c r="AJ1133" s="2">
        <f t="shared" si="155"/>
        <v>0</v>
      </c>
      <c r="AK1133" s="2">
        <f t="shared" si="163"/>
        <v>4.8600000000000012</v>
      </c>
      <c r="AL1133" s="5">
        <f t="shared" si="164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62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54"/>
        <v>0</v>
      </c>
      <c r="AG1134" s="2">
        <v>3345.125</v>
      </c>
      <c r="AJ1134" s="2">
        <f t="shared" si="155"/>
        <v>0</v>
      </c>
      <c r="AK1134" s="2">
        <f t="shared" si="163"/>
        <v>1154.875</v>
      </c>
      <c r="AL1134" s="5">
        <f t="shared" si="164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62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54"/>
        <v>0</v>
      </c>
      <c r="AG1135" s="2">
        <v>6.6266999999999996</v>
      </c>
      <c r="AH1135" s="2">
        <v>12</v>
      </c>
      <c r="AJ1135" s="2">
        <f t="shared" si="155"/>
        <v>0</v>
      </c>
      <c r="AK1135" s="2">
        <f t="shared" si="163"/>
        <v>26.866500000000002</v>
      </c>
      <c r="AL1135" s="5">
        <f t="shared" si="164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62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54"/>
        <v>0</v>
      </c>
      <c r="AJ1136" s="2">
        <f t="shared" si="155"/>
        <v>0</v>
      </c>
      <c r="AK1136" s="2">
        <f t="shared" si="163"/>
        <v>2.7650000000000006</v>
      </c>
      <c r="AL1136" s="5">
        <f t="shared" si="164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62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54"/>
        <v>0</v>
      </c>
      <c r="AJ1137" s="2">
        <f t="shared" si="155"/>
        <v>0</v>
      </c>
      <c r="AK1137" s="2">
        <f t="shared" si="163"/>
        <v>8.0600000000000023</v>
      </c>
      <c r="AL1137" s="5">
        <f t="shared" si="164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62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54"/>
        <v>0</v>
      </c>
      <c r="AJ1138" s="2">
        <f t="shared" si="155"/>
        <v>0</v>
      </c>
      <c r="AK1138" s="2">
        <f t="shared" si="163"/>
        <v>25.560000000000002</v>
      </c>
      <c r="AL1138" s="5">
        <f t="shared" si="164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62"/>
        <v>1</v>
      </c>
      <c r="AF1139" s="2">
        <f t="shared" si="154"/>
        <v>0</v>
      </c>
      <c r="AJ1139" s="2">
        <f t="shared" si="155"/>
        <v>0</v>
      </c>
      <c r="AK1139" s="2">
        <f t="shared" si="163"/>
        <v>371</v>
      </c>
      <c r="AL1139" s="5">
        <f t="shared" si="164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62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54"/>
        <v>0</v>
      </c>
      <c r="AG1140" s="2">
        <v>6.6266999999999996</v>
      </c>
      <c r="AH1140" s="2">
        <v>12</v>
      </c>
      <c r="AJ1140" s="2">
        <f t="shared" si="155"/>
        <v>0</v>
      </c>
      <c r="AK1140" s="2">
        <f t="shared" si="163"/>
        <v>25.866500000000002</v>
      </c>
      <c r="AL1140" s="5">
        <f t="shared" si="164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62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54"/>
        <v>0</v>
      </c>
      <c r="AG1141" s="2">
        <v>3.7357999999999998</v>
      </c>
      <c r="AH1141" s="2">
        <v>9</v>
      </c>
      <c r="AJ1141" s="2">
        <f t="shared" si="155"/>
        <v>0</v>
      </c>
      <c r="AK1141" s="2">
        <f t="shared" si="163"/>
        <v>4.0641999999999996</v>
      </c>
      <c r="AL1141" s="5">
        <f t="shared" si="164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62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54"/>
        <v>0</v>
      </c>
      <c r="AG1142" s="2">
        <v>10.6</v>
      </c>
      <c r="AH1142" s="2">
        <v>18</v>
      </c>
      <c r="AJ1142" s="2">
        <f t="shared" si="155"/>
        <v>0</v>
      </c>
      <c r="AK1142" s="2">
        <f t="shared" si="163"/>
        <v>16.200000000000003</v>
      </c>
      <c r="AL1142" s="5">
        <f t="shared" si="164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62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54"/>
        <v>0</v>
      </c>
      <c r="AG1143" s="2">
        <v>9.14</v>
      </c>
      <c r="AH1143" s="2">
        <v>16</v>
      </c>
      <c r="AJ1143" s="2">
        <f t="shared" si="155"/>
        <v>0</v>
      </c>
      <c r="AK1143" s="2">
        <f t="shared" si="163"/>
        <v>4.8600000000000012</v>
      </c>
      <c r="AL1143" s="5">
        <f t="shared" si="164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62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54"/>
        <v>0</v>
      </c>
      <c r="AG1144" s="2">
        <v>8.1999999999999993</v>
      </c>
      <c r="AH1144" s="2">
        <v>13</v>
      </c>
      <c r="AJ1144" s="2">
        <f t="shared" si="155"/>
        <v>0</v>
      </c>
      <c r="AK1144" s="2">
        <f t="shared" si="163"/>
        <v>4.7999999999999989</v>
      </c>
      <c r="AL1144" s="5">
        <f t="shared" si="164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62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54"/>
        <v>0</v>
      </c>
      <c r="AG1145" s="2">
        <v>15.020300000000001</v>
      </c>
      <c r="AH1145" s="2">
        <v>27.6</v>
      </c>
      <c r="AJ1145" s="2">
        <f t="shared" si="155"/>
        <v>0</v>
      </c>
      <c r="AK1145" s="2">
        <f t="shared" si="163"/>
        <v>12.959399999999999</v>
      </c>
      <c r="AL1145" s="5">
        <f t="shared" si="164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62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54"/>
        <v>0</v>
      </c>
      <c r="AJ1146" s="2">
        <f t="shared" si="155"/>
        <v>0</v>
      </c>
      <c r="AK1146" s="2">
        <f t="shared" si="163"/>
        <v>66.083300000000008</v>
      </c>
      <c r="AL1146" s="5">
        <f t="shared" si="164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62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54"/>
        <v>0</v>
      </c>
      <c r="AG1147" s="2">
        <v>122.446</v>
      </c>
      <c r="AH1147" s="2">
        <v>230</v>
      </c>
      <c r="AJ1147" s="2">
        <f t="shared" si="155"/>
        <v>0</v>
      </c>
      <c r="AK1147" s="2">
        <f t="shared" si="163"/>
        <v>169.09400000000002</v>
      </c>
      <c r="AL1147" s="5">
        <f t="shared" si="164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62"/>
        <v>1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54"/>
        <v>0</v>
      </c>
      <c r="AJ1148" s="2">
        <f t="shared" si="155"/>
        <v>0</v>
      </c>
      <c r="AK1148" s="2">
        <f t="shared" si="163"/>
        <v>12</v>
      </c>
      <c r="AL1148" s="5">
        <f t="shared" si="164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62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54"/>
        <v>0</v>
      </c>
      <c r="AJ1149" s="2">
        <f t="shared" si="155"/>
        <v>0</v>
      </c>
      <c r="AK1149" s="2">
        <f t="shared" si="163"/>
        <v>11.56</v>
      </c>
      <c r="AL1149" s="5">
        <f t="shared" si="164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62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54"/>
        <v>0</v>
      </c>
      <c r="AJ1150" s="2">
        <f t="shared" si="155"/>
        <v>0</v>
      </c>
      <c r="AK1150" s="2">
        <f t="shared" si="163"/>
        <v>2.4948999999999999</v>
      </c>
      <c r="AL1150" s="5">
        <f t="shared" si="164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62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54"/>
        <v>0</v>
      </c>
      <c r="AJ1151" s="2">
        <f t="shared" si="155"/>
        <v>0</v>
      </c>
      <c r="AK1151" s="2">
        <f t="shared" si="163"/>
        <v>0</v>
      </c>
      <c r="AL1151" s="5">
        <f t="shared" si="164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62"/>
        <v>1</v>
      </c>
      <c r="Z1152" s="2" t="s">
        <v>119</v>
      </c>
      <c r="AA1152" s="2" t="s">
        <v>3379</v>
      </c>
      <c r="AF1152" s="2">
        <f t="shared" si="154"/>
        <v>0</v>
      </c>
      <c r="AJ1152" s="2">
        <f t="shared" si="155"/>
        <v>0</v>
      </c>
      <c r="AK1152" s="2">
        <f t="shared" si="163"/>
        <v>28588.61</v>
      </c>
      <c r="AL1152" s="5">
        <f t="shared" si="164"/>
        <v>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62"/>
        <v>1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54"/>
        <v>0</v>
      </c>
      <c r="AJ1153" s="2">
        <f t="shared" si="155"/>
        <v>0</v>
      </c>
      <c r="AK1153" s="2">
        <f t="shared" si="163"/>
        <v>79.819999999999993</v>
      </c>
      <c r="AL1153" s="5">
        <f t="shared" si="164"/>
        <v>1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62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65">AJ1154</f>
        <v>0</v>
      </c>
      <c r="AJ1154" s="2">
        <f t="shared" ref="AJ1154:AJ1217" si="166">AI1154*T1154</f>
        <v>0</v>
      </c>
      <c r="AK1154" s="2">
        <f t="shared" si="163"/>
        <v>60.599999999999994</v>
      </c>
      <c r="AL1154" s="5">
        <f t="shared" si="164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62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65"/>
        <v>0</v>
      </c>
      <c r="AJ1155" s="2">
        <f t="shared" si="166"/>
        <v>0</v>
      </c>
      <c r="AK1155" s="2">
        <f t="shared" si="163"/>
        <v>50</v>
      </c>
      <c r="AL1155" s="5">
        <f t="shared" si="164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62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65"/>
        <v>0</v>
      </c>
      <c r="AG1156" s="2">
        <v>121.46</v>
      </c>
      <c r="AH1156" s="2">
        <v>210</v>
      </c>
      <c r="AJ1156" s="2">
        <f t="shared" si="166"/>
        <v>0</v>
      </c>
      <c r="AK1156" s="2">
        <f t="shared" si="163"/>
        <v>98.54</v>
      </c>
      <c r="AL1156" s="5">
        <f t="shared" si="164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62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65"/>
        <v>0</v>
      </c>
      <c r="AG1157" s="2">
        <v>1.1399999999999999</v>
      </c>
      <c r="AH1157" s="2">
        <v>1.1399999999999999</v>
      </c>
      <c r="AJ1157" s="2">
        <f t="shared" si="166"/>
        <v>0</v>
      </c>
      <c r="AK1157" s="2">
        <f t="shared" si="163"/>
        <v>0</v>
      </c>
      <c r="AL1157" s="5">
        <f t="shared" si="164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62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65"/>
        <v>0</v>
      </c>
      <c r="AG1158" s="2">
        <f>144.14+15.4</f>
        <v>159.54</v>
      </c>
      <c r="AH1158" s="2">
        <v>280</v>
      </c>
      <c r="AJ1158" s="2">
        <f t="shared" si="166"/>
        <v>0</v>
      </c>
      <c r="AK1158" s="2">
        <f t="shared" si="163"/>
        <v>100.46000000000001</v>
      </c>
      <c r="AL1158" s="5">
        <f t="shared" si="164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62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65"/>
        <v>0</v>
      </c>
      <c r="AJ1159" s="2">
        <f t="shared" si="166"/>
        <v>0</v>
      </c>
      <c r="AK1159" s="2">
        <f t="shared" si="163"/>
        <v>0</v>
      </c>
      <c r="AL1159" s="5">
        <f t="shared" si="164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62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65"/>
        <v>0</v>
      </c>
      <c r="AJ1160" s="2">
        <f t="shared" si="166"/>
        <v>0</v>
      </c>
      <c r="AK1160" s="2">
        <f t="shared" si="163"/>
        <v>94.199999999999989</v>
      </c>
      <c r="AL1160" s="5">
        <f t="shared" si="164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62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65"/>
        <v>0</v>
      </c>
      <c r="AJ1161" s="2">
        <f t="shared" si="166"/>
        <v>0</v>
      </c>
      <c r="AK1161" s="2">
        <f t="shared" si="163"/>
        <v>25</v>
      </c>
      <c r="AL1161" s="5">
        <f t="shared" si="164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65"/>
        <v>0</v>
      </c>
      <c r="AJ1162" s="2">
        <f t="shared" si="166"/>
        <v>0</v>
      </c>
      <c r="AK1162" s="2">
        <f t="shared" si="163"/>
        <v>0</v>
      </c>
      <c r="AL1162" s="5" t="e">
        <f t="shared" si="164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65"/>
        <v>0</v>
      </c>
      <c r="AJ1163" s="2">
        <f t="shared" si="166"/>
        <v>0</v>
      </c>
      <c r="AK1163" s="2">
        <f t="shared" si="163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3469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67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65"/>
        <v>0</v>
      </c>
      <c r="AJ1164" s="2">
        <f t="shared" si="166"/>
        <v>0</v>
      </c>
      <c r="AK1164" s="2">
        <f t="shared" ref="AK1164:AK1194" si="168">T1164-W1164</f>
        <v>63.768599999999992</v>
      </c>
      <c r="AL1164" s="5">
        <f t="shared" ref="AL1164:AL1194" si="169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3469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67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65"/>
        <v>0</v>
      </c>
      <c r="AJ1165" s="2">
        <f t="shared" si="166"/>
        <v>0</v>
      </c>
      <c r="AK1165" s="2">
        <f t="shared" si="168"/>
        <v>60.394800000000004</v>
      </c>
      <c r="AL1165" s="5">
        <f t="shared" si="169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67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65"/>
        <v>0</v>
      </c>
      <c r="AG1166" s="2">
        <v>6.6266999999999996</v>
      </c>
      <c r="AH1166" s="2">
        <v>12</v>
      </c>
      <c r="AJ1166" s="2">
        <f t="shared" si="166"/>
        <v>0</v>
      </c>
      <c r="AK1166" s="2">
        <f t="shared" si="168"/>
        <v>16.119900000000001</v>
      </c>
      <c r="AL1166" s="5">
        <f t="shared" si="169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67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65"/>
        <v>0</v>
      </c>
      <c r="AG1167" s="2">
        <v>10.6</v>
      </c>
      <c r="AH1167" s="2">
        <v>18</v>
      </c>
      <c r="AJ1167" s="2">
        <f t="shared" si="166"/>
        <v>0</v>
      </c>
      <c r="AK1167" s="2">
        <f t="shared" si="168"/>
        <v>7.4</v>
      </c>
      <c r="AL1167" s="5">
        <f t="shared" si="169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67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65"/>
        <v>0</v>
      </c>
      <c r="AG1168" s="2">
        <v>9.14</v>
      </c>
      <c r="AH1168" s="2">
        <v>16</v>
      </c>
      <c r="AJ1168" s="2">
        <f t="shared" si="166"/>
        <v>0</v>
      </c>
      <c r="AK1168" s="2">
        <f t="shared" si="168"/>
        <v>11.720000000000002</v>
      </c>
      <c r="AL1168" s="5">
        <f t="shared" si="169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67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65"/>
        <v>0</v>
      </c>
      <c r="AG1169" s="2">
        <v>8.1999999999999993</v>
      </c>
      <c r="AH1169" s="2">
        <v>13</v>
      </c>
      <c r="AJ1169" s="2">
        <f t="shared" si="166"/>
        <v>0</v>
      </c>
      <c r="AK1169" s="2">
        <f t="shared" si="168"/>
        <v>9.5999999999999979</v>
      </c>
      <c r="AL1169" s="5">
        <f t="shared" si="169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67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65"/>
        <v>0</v>
      </c>
      <c r="AG1170" s="2">
        <v>7.9611999999999998</v>
      </c>
      <c r="AH1170" s="2">
        <v>14.4</v>
      </c>
      <c r="AJ1170" s="2">
        <f t="shared" si="166"/>
        <v>0</v>
      </c>
      <c r="AK1170" s="2">
        <f t="shared" si="168"/>
        <v>14.0776</v>
      </c>
      <c r="AL1170" s="5">
        <f t="shared" si="169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67"/>
        <v>0.25</v>
      </c>
      <c r="Z1171" s="2" t="s">
        <v>169</v>
      </c>
      <c r="AA1171" s="2" t="s">
        <v>169</v>
      </c>
      <c r="AF1171" s="2">
        <f t="shared" si="165"/>
        <v>0</v>
      </c>
      <c r="AJ1171" s="2">
        <f t="shared" si="166"/>
        <v>0</v>
      </c>
      <c r="AK1171" s="2">
        <f t="shared" si="168"/>
        <v>10</v>
      </c>
      <c r="AL1171" s="5">
        <f t="shared" si="169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67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65"/>
        <v>0</v>
      </c>
      <c r="AG1172" s="2">
        <v>10.67</v>
      </c>
      <c r="AH1172" s="2">
        <v>21</v>
      </c>
      <c r="AJ1172" s="2">
        <f t="shared" si="166"/>
        <v>0</v>
      </c>
      <c r="AK1172" s="2">
        <f t="shared" si="168"/>
        <v>7.9300000000000015</v>
      </c>
      <c r="AL1172" s="5">
        <f t="shared" si="169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67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65"/>
        <v>0</v>
      </c>
      <c r="AG1173" s="2">
        <v>9.3000000000000007</v>
      </c>
      <c r="AH1173" s="2">
        <v>21</v>
      </c>
      <c r="AJ1173" s="2">
        <f t="shared" si="166"/>
        <v>0</v>
      </c>
      <c r="AK1173" s="2">
        <f t="shared" si="168"/>
        <v>9.3000000000000007</v>
      </c>
      <c r="AL1173" s="5">
        <f t="shared" si="169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67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65"/>
        <v>0</v>
      </c>
      <c r="AG1174" s="2">
        <v>3.7357999999999998</v>
      </c>
      <c r="AH1174" s="2">
        <v>9</v>
      </c>
      <c r="AJ1174" s="2">
        <f t="shared" si="166"/>
        <v>0</v>
      </c>
      <c r="AK1174" s="2">
        <f t="shared" si="168"/>
        <v>8.1283999999999992</v>
      </c>
      <c r="AL1174" s="5">
        <f t="shared" si="169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67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65"/>
        <v>0</v>
      </c>
      <c r="AG1175" s="2">
        <v>5.2972999999999999</v>
      </c>
      <c r="AH1175" s="2">
        <v>10.8</v>
      </c>
      <c r="AJ1175" s="2">
        <f t="shared" si="166"/>
        <v>0</v>
      </c>
      <c r="AK1175" s="2">
        <f t="shared" si="168"/>
        <v>8.6053999999999995</v>
      </c>
      <c r="AL1175" s="5">
        <f t="shared" si="169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67"/>
        <v>0.25</v>
      </c>
      <c r="Z1176" s="2" t="s">
        <v>169</v>
      </c>
      <c r="AA1176" s="2" t="s">
        <v>169</v>
      </c>
      <c r="AF1176" s="2">
        <f t="shared" si="165"/>
        <v>0</v>
      </c>
      <c r="AJ1176" s="2">
        <f t="shared" si="166"/>
        <v>0</v>
      </c>
      <c r="AK1176" s="2">
        <f t="shared" si="168"/>
        <v>2</v>
      </c>
      <c r="AL1176" s="5">
        <f t="shared" si="169"/>
        <v>0.25</v>
      </c>
    </row>
    <row r="1177" spans="1:38" x14ac:dyDescent="0.2">
      <c r="A1177" s="2">
        <v>2025</v>
      </c>
      <c r="B1177" s="2">
        <v>7</v>
      </c>
      <c r="C1177" s="2" t="s">
        <v>3413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67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65"/>
        <v>0</v>
      </c>
      <c r="AJ1177" s="2">
        <f t="shared" si="166"/>
        <v>0</v>
      </c>
      <c r="AK1177" s="2">
        <f t="shared" si="168"/>
        <v>184.39999999999998</v>
      </c>
      <c r="AL1177" s="5">
        <f t="shared" si="169"/>
        <v>0.23049999999999998</v>
      </c>
    </row>
    <row r="1178" spans="1:38" x14ac:dyDescent="0.2">
      <c r="A1178" s="2">
        <v>2025</v>
      </c>
      <c r="B1178" s="2">
        <v>7</v>
      </c>
      <c r="C1178" s="2" t="s">
        <v>3399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67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65"/>
        <v>0</v>
      </c>
      <c r="AG1178" s="2">
        <v>10.6</v>
      </c>
      <c r="AH1178" s="2">
        <v>18</v>
      </c>
      <c r="AJ1178" s="2">
        <f t="shared" si="166"/>
        <v>0</v>
      </c>
      <c r="AK1178" s="2">
        <f t="shared" si="168"/>
        <v>22.200000000000003</v>
      </c>
      <c r="AL1178" s="5">
        <f t="shared" si="169"/>
        <v>0.41111111111111115</v>
      </c>
    </row>
    <row r="1179" spans="1:38" x14ac:dyDescent="0.2">
      <c r="A1179" s="2">
        <v>2025</v>
      </c>
      <c r="B1179" s="2">
        <v>7</v>
      </c>
      <c r="C1179" s="2" t="s">
        <v>3399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67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65"/>
        <v>0</v>
      </c>
      <c r="AG1179" s="2">
        <v>15.020300000000001</v>
      </c>
      <c r="AH1179" s="2">
        <v>27.6</v>
      </c>
      <c r="AJ1179" s="2">
        <f t="shared" si="166"/>
        <v>0</v>
      </c>
      <c r="AK1179" s="2">
        <f t="shared" si="168"/>
        <v>10.179699999999999</v>
      </c>
      <c r="AL1179" s="5">
        <f t="shared" si="169"/>
        <v>0.40395634920634915</v>
      </c>
    </row>
    <row r="1180" spans="1:38" x14ac:dyDescent="0.2">
      <c r="A1180" s="2">
        <v>2025</v>
      </c>
      <c r="B1180" s="2">
        <v>7</v>
      </c>
      <c r="C1180" s="2" t="s">
        <v>3469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67"/>
        <v>1</v>
      </c>
      <c r="Z1180" s="2" t="s">
        <v>117</v>
      </c>
      <c r="AA1180" s="2" t="s">
        <v>3505</v>
      </c>
      <c r="AF1180" s="2">
        <f t="shared" si="165"/>
        <v>0</v>
      </c>
      <c r="AJ1180" s="2">
        <f t="shared" si="166"/>
        <v>0</v>
      </c>
      <c r="AK1180" s="2">
        <f t="shared" si="168"/>
        <v>45</v>
      </c>
      <c r="AL1180" s="5">
        <f t="shared" si="169"/>
        <v>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67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65"/>
        <v>0</v>
      </c>
      <c r="AG1181" s="2">
        <v>343.38</v>
      </c>
      <c r="AJ1181" s="2">
        <f t="shared" si="166"/>
        <v>0</v>
      </c>
      <c r="AK1181" s="2">
        <f t="shared" si="168"/>
        <v>347.23</v>
      </c>
      <c r="AL1181" s="5">
        <f t="shared" si="169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67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65"/>
        <v>0</v>
      </c>
      <c r="AJ1182" s="2">
        <f t="shared" si="166"/>
        <v>0</v>
      </c>
      <c r="AK1182" s="2">
        <f t="shared" si="168"/>
        <v>108</v>
      </c>
      <c r="AL1182" s="5">
        <f t="shared" si="169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67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65"/>
        <v>0</v>
      </c>
      <c r="AJ1183" s="2">
        <f t="shared" si="166"/>
        <v>0</v>
      </c>
      <c r="AK1183" s="2">
        <f t="shared" si="168"/>
        <v>25</v>
      </c>
      <c r="AL1183" s="5">
        <f t="shared" si="169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67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65"/>
        <v>0</v>
      </c>
      <c r="AG1184" s="2">
        <v>122.446</v>
      </c>
      <c r="AH1184" s="2">
        <v>230</v>
      </c>
      <c r="AJ1184" s="2">
        <f t="shared" si="166"/>
        <v>0</v>
      </c>
      <c r="AK1184" s="2">
        <f t="shared" si="168"/>
        <v>97.554000000000002</v>
      </c>
      <c r="AL1184" s="5">
        <f t="shared" si="169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67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65"/>
        <v>0</v>
      </c>
      <c r="AJ1185" s="2">
        <f t="shared" si="166"/>
        <v>0</v>
      </c>
      <c r="AK1185" s="2">
        <f t="shared" si="168"/>
        <v>0</v>
      </c>
      <c r="AL1185" s="5">
        <f t="shared" si="169"/>
        <v>0</v>
      </c>
    </row>
    <row r="1186" spans="1:38" x14ac:dyDescent="0.2">
      <c r="A1186" s="2">
        <v>2025</v>
      </c>
      <c r="B1186" s="2">
        <v>7</v>
      </c>
      <c r="C1186" s="2" t="s">
        <v>3413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67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65"/>
        <v>0</v>
      </c>
      <c r="AG1186" s="2">
        <v>6.6266999999999996</v>
      </c>
      <c r="AH1186" s="2">
        <v>12</v>
      </c>
      <c r="AJ1186" s="2">
        <f t="shared" si="166"/>
        <v>0</v>
      </c>
      <c r="AK1186" s="2">
        <f t="shared" si="168"/>
        <v>32.239800000000002</v>
      </c>
      <c r="AL1186" s="5">
        <f t="shared" si="169"/>
        <v>0.44777500000000003</v>
      </c>
    </row>
    <row r="1187" spans="1:38" x14ac:dyDescent="0.2">
      <c r="A1187" s="2">
        <v>2025</v>
      </c>
      <c r="B1187" s="2">
        <v>7</v>
      </c>
      <c r="C1187" s="2" t="s">
        <v>3413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67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65"/>
        <v>0</v>
      </c>
      <c r="AG1187" s="2">
        <v>3.7357999999999998</v>
      </c>
      <c r="AH1187" s="2">
        <v>9</v>
      </c>
      <c r="AJ1187" s="2">
        <f t="shared" si="166"/>
        <v>0</v>
      </c>
      <c r="AK1187" s="2">
        <f t="shared" si="168"/>
        <v>4.0641999999999996</v>
      </c>
      <c r="AL1187" s="5">
        <f t="shared" si="169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67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65"/>
        <v>0</v>
      </c>
      <c r="AJ1188" s="2">
        <f t="shared" si="166"/>
        <v>0</v>
      </c>
      <c r="AK1188" s="2">
        <f t="shared" si="168"/>
        <v>111.6</v>
      </c>
      <c r="AL1188" s="5">
        <f t="shared" si="169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67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65"/>
        <v>0</v>
      </c>
      <c r="AJ1189" s="2">
        <f t="shared" si="166"/>
        <v>0</v>
      </c>
      <c r="AK1189" s="2">
        <f t="shared" si="168"/>
        <v>18.75</v>
      </c>
      <c r="AL1189" s="5">
        <f t="shared" si="169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67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65"/>
        <v>0</v>
      </c>
      <c r="AJ1190" s="2">
        <f t="shared" si="166"/>
        <v>0</v>
      </c>
      <c r="AK1190" s="2">
        <f t="shared" si="168"/>
        <v>5997.2699999999986</v>
      </c>
      <c r="AL1190" s="5">
        <f t="shared" si="169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67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65"/>
        <v>0</v>
      </c>
      <c r="AG1191" s="2">
        <v>6.6266999999999996</v>
      </c>
      <c r="AH1191" s="2">
        <v>12</v>
      </c>
      <c r="AJ1191" s="2">
        <f t="shared" si="166"/>
        <v>0</v>
      </c>
      <c r="AK1191" s="2">
        <f t="shared" si="168"/>
        <v>5.3733000000000004</v>
      </c>
      <c r="AL1191" s="5">
        <f t="shared" si="169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67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65"/>
        <v>0</v>
      </c>
      <c r="AG1192" s="2">
        <v>8.1999999999999993</v>
      </c>
      <c r="AH1192" s="2">
        <v>13</v>
      </c>
      <c r="AJ1192" s="2">
        <f t="shared" si="166"/>
        <v>0</v>
      </c>
      <c r="AK1192" s="2">
        <f t="shared" si="168"/>
        <v>46</v>
      </c>
      <c r="AL1192" s="5">
        <f t="shared" si="169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67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65"/>
        <v>0</v>
      </c>
      <c r="AJ1193" s="2">
        <f t="shared" si="166"/>
        <v>0</v>
      </c>
      <c r="AK1193" s="2">
        <f t="shared" si="168"/>
        <v>3.06</v>
      </c>
      <c r="AL1193" s="5">
        <f t="shared" si="169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67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65"/>
        <v>0</v>
      </c>
      <c r="AJ1194" s="2">
        <f t="shared" si="166"/>
        <v>0</v>
      </c>
      <c r="AK1194" s="2">
        <f t="shared" si="168"/>
        <v>3.4948999999999999</v>
      </c>
      <c r="AL1194" s="5">
        <f t="shared" si="169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119</v>
      </c>
      <c r="AA1195" s="2" t="s">
        <v>142</v>
      </c>
      <c r="AF1195" s="2">
        <f t="shared" si="165"/>
        <v>0</v>
      </c>
      <c r="AJ1195" s="2">
        <f t="shared" si="166"/>
        <v>0</v>
      </c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70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65"/>
        <v>0</v>
      </c>
      <c r="AJ1196" s="2">
        <f t="shared" si="166"/>
        <v>0</v>
      </c>
      <c r="AK1196" s="2">
        <f t="shared" ref="AK1196:AK1217" si="171">T1196-W1196</f>
        <v>99.75</v>
      </c>
      <c r="AL1196" s="5">
        <f t="shared" ref="AL1196:AL1216" si="172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70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65"/>
        <v>0</v>
      </c>
      <c r="AJ1197" s="2">
        <f t="shared" si="166"/>
        <v>0</v>
      </c>
      <c r="AK1197" s="2">
        <f t="shared" si="171"/>
        <v>98.02</v>
      </c>
      <c r="AL1197" s="5">
        <f t="shared" si="172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70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65"/>
        <v>0</v>
      </c>
      <c r="AJ1198" s="2">
        <f t="shared" si="166"/>
        <v>0</v>
      </c>
      <c r="AK1198" s="2">
        <f t="shared" si="171"/>
        <v>0</v>
      </c>
      <c r="AL1198" s="5">
        <f t="shared" si="172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70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65"/>
        <v>0</v>
      </c>
      <c r="AG1199" s="2">
        <v>3.7357999999999998</v>
      </c>
      <c r="AH1199" s="2">
        <v>9</v>
      </c>
      <c r="AJ1199" s="2">
        <f t="shared" si="166"/>
        <v>0</v>
      </c>
      <c r="AK1199" s="2">
        <f t="shared" si="171"/>
        <v>4.0641999999999996</v>
      </c>
      <c r="AL1199" s="5">
        <f t="shared" si="172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70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65"/>
        <v>0</v>
      </c>
      <c r="AG1200" s="2">
        <v>5.9066999999999998</v>
      </c>
      <c r="AH1200" s="2">
        <v>12.6</v>
      </c>
      <c r="AJ1200" s="2">
        <f t="shared" si="166"/>
        <v>0</v>
      </c>
      <c r="AK1200" s="2">
        <f t="shared" si="171"/>
        <v>6.0933000000000002</v>
      </c>
      <c r="AL1200" s="5">
        <f t="shared" si="172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70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65"/>
        <v>0</v>
      </c>
      <c r="AG1201" s="2">
        <v>7.2217000000000002</v>
      </c>
      <c r="AH1201" s="2">
        <v>14.4</v>
      </c>
      <c r="AJ1201" s="2">
        <f t="shared" si="166"/>
        <v>0</v>
      </c>
      <c r="AK1201" s="2">
        <f t="shared" si="171"/>
        <v>5.9782999999999991</v>
      </c>
      <c r="AL1201" s="5">
        <f t="shared" si="172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70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65"/>
        <v>0</v>
      </c>
      <c r="AJ1202" s="2">
        <f t="shared" si="166"/>
        <v>0</v>
      </c>
      <c r="AK1202" s="2">
        <f t="shared" si="171"/>
        <v>7.125</v>
      </c>
      <c r="AL1202" s="5">
        <f t="shared" si="172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70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65"/>
        <v>0</v>
      </c>
      <c r="AG1203" s="2">
        <v>10.6</v>
      </c>
      <c r="AH1203" s="2">
        <v>18</v>
      </c>
      <c r="AJ1203" s="2">
        <f t="shared" si="166"/>
        <v>0</v>
      </c>
      <c r="AK1203" s="2">
        <f t="shared" si="171"/>
        <v>14.8</v>
      </c>
      <c r="AL1203" s="5">
        <f t="shared" si="172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70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65"/>
        <v>0</v>
      </c>
      <c r="AG1204" s="2">
        <v>8.1999999999999993</v>
      </c>
      <c r="AH1204" s="2">
        <v>13</v>
      </c>
      <c r="AJ1204" s="2">
        <f t="shared" si="166"/>
        <v>0</v>
      </c>
      <c r="AK1204" s="2">
        <f t="shared" si="171"/>
        <v>9.5999999999999979</v>
      </c>
      <c r="AL1204" s="5">
        <f t="shared" si="172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70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65"/>
        <v>0</v>
      </c>
      <c r="AJ1205" s="2">
        <f t="shared" si="166"/>
        <v>0</v>
      </c>
      <c r="AK1205" s="2">
        <f t="shared" si="171"/>
        <v>22.027999999999999</v>
      </c>
      <c r="AL1205" s="5">
        <f t="shared" si="172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70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65"/>
        <v>0</v>
      </c>
      <c r="AG1206" s="2">
        <v>8.1999999999999993</v>
      </c>
      <c r="AH1206" s="2">
        <v>13</v>
      </c>
      <c r="AJ1206" s="2">
        <f t="shared" si="166"/>
        <v>0</v>
      </c>
      <c r="AK1206" s="2">
        <f t="shared" si="171"/>
        <v>9.5999999999999979</v>
      </c>
      <c r="AL1206" s="5">
        <f t="shared" si="172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70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65"/>
        <v>0</v>
      </c>
      <c r="AG1207" s="2">
        <v>7.2217000000000002</v>
      </c>
      <c r="AH1207" s="2">
        <v>14.4</v>
      </c>
      <c r="AJ1207" s="2">
        <f t="shared" si="166"/>
        <v>0</v>
      </c>
      <c r="AK1207" s="2">
        <f t="shared" si="171"/>
        <v>5.9782999999999991</v>
      </c>
      <c r="AL1207" s="5">
        <f t="shared" si="172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70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65"/>
        <v>0</v>
      </c>
      <c r="AJ1208" s="2">
        <f t="shared" si="166"/>
        <v>0</v>
      </c>
      <c r="AK1208" s="2">
        <f t="shared" si="171"/>
        <v>10.593299999999999</v>
      </c>
      <c r="AL1208" s="5">
        <f t="shared" si="172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70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65"/>
        <v>0</v>
      </c>
      <c r="AJ1209" s="2">
        <f t="shared" si="166"/>
        <v>0</v>
      </c>
      <c r="AK1209" s="2">
        <f t="shared" si="171"/>
        <v>12.575099999999999</v>
      </c>
      <c r="AL1209" s="5">
        <f t="shared" si="172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70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65"/>
        <v>0</v>
      </c>
      <c r="AJ1210" s="2">
        <f t="shared" si="166"/>
        <v>0</v>
      </c>
      <c r="AK1210" s="2">
        <f t="shared" si="171"/>
        <v>7.5654000000000003</v>
      </c>
      <c r="AL1210" s="5">
        <f t="shared" si="172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70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65"/>
        <v>0</v>
      </c>
      <c r="AJ1211" s="2">
        <f t="shared" si="166"/>
        <v>0</v>
      </c>
      <c r="AK1211" s="2">
        <f t="shared" si="171"/>
        <v>8.6732999999999993</v>
      </c>
      <c r="AL1211" s="5">
        <f t="shared" si="172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70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65"/>
        <v>0</v>
      </c>
      <c r="AJ1212" s="2">
        <f t="shared" si="166"/>
        <v>0</v>
      </c>
      <c r="AK1212" s="2">
        <f t="shared" si="171"/>
        <v>9.9395999999999987</v>
      </c>
      <c r="AL1212" s="5">
        <f t="shared" si="172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70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65"/>
        <v>0</v>
      </c>
      <c r="AG1213" s="2">
        <v>10.6</v>
      </c>
      <c r="AH1213" s="2">
        <v>18</v>
      </c>
      <c r="AJ1213" s="2">
        <f t="shared" si="166"/>
        <v>0</v>
      </c>
      <c r="AK1213" s="2">
        <f t="shared" si="171"/>
        <v>14.8</v>
      </c>
      <c r="AL1213" s="5">
        <f t="shared" si="172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70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65"/>
        <v>0</v>
      </c>
      <c r="AG1214" s="2">
        <v>122.446</v>
      </c>
      <c r="AH1214" s="2">
        <v>230</v>
      </c>
      <c r="AJ1214" s="2">
        <f t="shared" si="166"/>
        <v>0</v>
      </c>
      <c r="AK1214" s="2">
        <f t="shared" si="171"/>
        <v>97.554000000000002</v>
      </c>
      <c r="AL1214" s="5">
        <f t="shared" si="172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70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65"/>
        <v>0</v>
      </c>
      <c r="AJ1215" s="2">
        <f t="shared" si="166"/>
        <v>0</v>
      </c>
      <c r="AK1215" s="2">
        <f t="shared" si="171"/>
        <v>0</v>
      </c>
      <c r="AL1215" s="5">
        <f t="shared" si="172"/>
        <v>0</v>
      </c>
    </row>
    <row r="1216" spans="1:38" x14ac:dyDescent="0.2">
      <c r="A1216" s="2">
        <v>2025</v>
      </c>
      <c r="B1216" s="2">
        <v>7</v>
      </c>
      <c r="C1216" s="2" t="s">
        <v>3413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70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65"/>
        <v>0</v>
      </c>
      <c r="AJ1216" s="2">
        <f t="shared" si="166"/>
        <v>0</v>
      </c>
      <c r="AK1216" s="2">
        <f t="shared" si="171"/>
        <v>401</v>
      </c>
      <c r="AL1216" s="5">
        <f t="shared" si="172"/>
        <v>0.22277777777777777</v>
      </c>
    </row>
    <row r="1217" spans="1:38" x14ac:dyDescent="0.2">
      <c r="A1217" s="2">
        <v>2025</v>
      </c>
      <c r="B1217" s="2">
        <v>7</v>
      </c>
      <c r="C1217" s="2" t="s">
        <v>3423</v>
      </c>
      <c r="D1217" s="2" t="s">
        <v>3485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65"/>
        <v>0</v>
      </c>
      <c r="AJ1217" s="2">
        <f t="shared" si="166"/>
        <v>0</v>
      </c>
      <c r="AK1217" s="2">
        <f t="shared" si="171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3399</v>
      </c>
      <c r="D1218" s="2" t="s">
        <v>3485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73">AJ1218</f>
        <v>0</v>
      </c>
      <c r="AJ1218" s="2">
        <f t="shared" ref="AJ1218:AJ1281" si="174">AI1218*T1218</f>
        <v>0</v>
      </c>
      <c r="AK1218" s="2">
        <f t="shared" ref="AK1218:AK1249" si="175">T1218-W1218</f>
        <v>2367.1000000000004</v>
      </c>
      <c r="AL1218" s="5">
        <f t="shared" ref="AL1218:AL1258" si="176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3423</v>
      </c>
      <c r="D1219" s="2" t="s">
        <v>3485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73"/>
        <v>0</v>
      </c>
      <c r="AJ1219" s="2">
        <f t="shared" si="174"/>
        <v>0</v>
      </c>
      <c r="AK1219" s="2">
        <f t="shared" si="175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77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73"/>
        <v>0</v>
      </c>
      <c r="AJ1220" s="2">
        <f t="shared" si="174"/>
        <v>0</v>
      </c>
      <c r="AK1220" s="2">
        <f t="shared" si="175"/>
        <v>47.4</v>
      </c>
      <c r="AL1220" s="5">
        <f t="shared" si="176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77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73"/>
        <v>0</v>
      </c>
      <c r="AJ1221" s="2">
        <f t="shared" si="174"/>
        <v>0</v>
      </c>
      <c r="AK1221" s="2">
        <f t="shared" si="175"/>
        <v>25</v>
      </c>
      <c r="AL1221" s="5">
        <f t="shared" si="176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77"/>
        <v>1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73"/>
        <v>0</v>
      </c>
      <c r="AJ1222" s="2">
        <f t="shared" si="174"/>
        <v>0</v>
      </c>
      <c r="AK1222" s="2">
        <f t="shared" si="175"/>
        <v>176.32</v>
      </c>
      <c r="AL1222" s="5">
        <f t="shared" si="176"/>
        <v>1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77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73"/>
        <v>0</v>
      </c>
      <c r="AG1223" s="2">
        <v>117.453</v>
      </c>
      <c r="AH1223" s="2">
        <v>220</v>
      </c>
      <c r="AJ1223" s="2">
        <f t="shared" si="174"/>
        <v>0</v>
      </c>
      <c r="AK1223" s="2">
        <f t="shared" si="175"/>
        <v>102.547</v>
      </c>
      <c r="AL1223" s="5">
        <f t="shared" si="176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77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73"/>
        <v>0</v>
      </c>
      <c r="AG1224" s="2">
        <v>120.636</v>
      </c>
      <c r="AH1224" s="2">
        <v>220</v>
      </c>
      <c r="AJ1224" s="2">
        <f t="shared" si="174"/>
        <v>0</v>
      </c>
      <c r="AK1224" s="2">
        <f t="shared" si="175"/>
        <v>99.364000000000004</v>
      </c>
      <c r="AL1224" s="5">
        <f t="shared" si="176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77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73"/>
        <v>0</v>
      </c>
      <c r="AJ1225" s="2">
        <f t="shared" si="174"/>
        <v>0</v>
      </c>
      <c r="AK1225" s="2">
        <f t="shared" si="175"/>
        <v>0</v>
      </c>
      <c r="AL1225" s="5">
        <f t="shared" si="176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77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73"/>
        <v>0</v>
      </c>
      <c r="AJ1226" s="2">
        <f t="shared" si="174"/>
        <v>0</v>
      </c>
      <c r="AK1226" s="2">
        <f t="shared" si="175"/>
        <v>98.02</v>
      </c>
      <c r="AL1226" s="5">
        <f t="shared" si="176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77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73"/>
        <v>0</v>
      </c>
      <c r="AJ1227" s="2">
        <f t="shared" si="174"/>
        <v>0</v>
      </c>
      <c r="AK1227" s="2">
        <f t="shared" si="175"/>
        <v>0</v>
      </c>
      <c r="AL1227" s="5">
        <f t="shared" si="176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77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73"/>
        <v>0</v>
      </c>
      <c r="AG1228" s="2">
        <v>3.7357999999999998</v>
      </c>
      <c r="AH1228" s="2">
        <v>9</v>
      </c>
      <c r="AJ1228" s="2">
        <f t="shared" si="174"/>
        <v>0</v>
      </c>
      <c r="AK1228" s="2">
        <f t="shared" si="175"/>
        <v>4.0641999999999996</v>
      </c>
      <c r="AL1228" s="5">
        <f t="shared" si="176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77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73"/>
        <v>0</v>
      </c>
      <c r="AG1229" s="2">
        <v>10.6</v>
      </c>
      <c r="AH1229" s="2">
        <v>18</v>
      </c>
      <c r="AJ1229" s="2">
        <f t="shared" si="174"/>
        <v>0</v>
      </c>
      <c r="AK1229" s="2">
        <f t="shared" si="175"/>
        <v>34</v>
      </c>
      <c r="AL1229" s="5">
        <f t="shared" si="176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77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73"/>
        <v>0</v>
      </c>
      <c r="AJ1230" s="2">
        <f t="shared" si="174"/>
        <v>0</v>
      </c>
      <c r="AK1230" s="2">
        <f t="shared" si="175"/>
        <v>8.6579999999999995</v>
      </c>
      <c r="AL1230" s="5">
        <f t="shared" si="176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77"/>
        <v>1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73"/>
        <v>0</v>
      </c>
      <c r="AJ1231" s="2">
        <f t="shared" si="174"/>
        <v>0</v>
      </c>
      <c r="AK1231" s="2">
        <f t="shared" si="175"/>
        <v>8.2100000000000009</v>
      </c>
      <c r="AL1231" s="5">
        <f t="shared" si="176"/>
        <v>1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77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73"/>
        <v>0</v>
      </c>
      <c r="AJ1232" s="2">
        <f t="shared" si="174"/>
        <v>0</v>
      </c>
      <c r="AK1232" s="2">
        <f t="shared" si="175"/>
        <v>-1.1999999999999993</v>
      </c>
      <c r="AL1232" s="18">
        <f t="shared" si="176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77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73"/>
        <v>0</v>
      </c>
      <c r="AG1233" s="2">
        <v>0.4617</v>
      </c>
      <c r="AJ1233" s="2">
        <f t="shared" si="174"/>
        <v>0</v>
      </c>
      <c r="AK1233" s="2">
        <f t="shared" si="175"/>
        <v>0.76600000000000001</v>
      </c>
      <c r="AL1233" s="5">
        <f t="shared" si="176"/>
        <v>7.6600000000000001E-2</v>
      </c>
    </row>
    <row r="1234" spans="1:38" x14ac:dyDescent="0.2">
      <c r="A1234" s="2">
        <v>2025</v>
      </c>
      <c r="B1234" s="2">
        <v>7</v>
      </c>
      <c r="C1234" s="2" t="s">
        <v>3413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77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73"/>
        <v>0</v>
      </c>
      <c r="AJ1234" s="2">
        <f t="shared" si="174"/>
        <v>0</v>
      </c>
      <c r="AK1234" s="2">
        <f t="shared" si="175"/>
        <v>371.36999999999995</v>
      </c>
      <c r="AL1234" s="5">
        <f t="shared" si="176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77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73"/>
        <v>0</v>
      </c>
      <c r="AG1235" s="2">
        <v>6.6266999999999996</v>
      </c>
      <c r="AH1235" s="2">
        <v>12</v>
      </c>
      <c r="AJ1235" s="2">
        <f t="shared" si="174"/>
        <v>0</v>
      </c>
      <c r="AK1235" s="2">
        <f t="shared" si="175"/>
        <v>26.866500000000002</v>
      </c>
      <c r="AL1235" s="5">
        <f t="shared" si="176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77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73"/>
        <v>0</v>
      </c>
      <c r="AG1236" s="2">
        <v>3.7357999999999998</v>
      </c>
      <c r="AH1236" s="2">
        <v>9</v>
      </c>
      <c r="AJ1236" s="2">
        <f t="shared" si="174"/>
        <v>0</v>
      </c>
      <c r="AK1236" s="2">
        <f t="shared" si="175"/>
        <v>8.1283999999999992</v>
      </c>
      <c r="AL1236" s="5">
        <f t="shared" si="176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77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73"/>
        <v>0</v>
      </c>
      <c r="AG1237" s="2">
        <v>5.2972999999999999</v>
      </c>
      <c r="AH1237" s="2">
        <v>10.8</v>
      </c>
      <c r="AJ1237" s="2">
        <f t="shared" si="174"/>
        <v>0</v>
      </c>
      <c r="AK1237" s="2">
        <f t="shared" si="175"/>
        <v>8.6053999999999995</v>
      </c>
      <c r="AL1237" s="5">
        <f t="shared" si="176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77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73"/>
        <v>0</v>
      </c>
      <c r="AG1238" s="2">
        <v>10.6</v>
      </c>
      <c r="AH1238" s="2">
        <v>18</v>
      </c>
      <c r="AJ1238" s="2">
        <f t="shared" si="174"/>
        <v>0</v>
      </c>
      <c r="AK1238" s="2">
        <f t="shared" si="175"/>
        <v>32</v>
      </c>
      <c r="AL1238" s="5">
        <f t="shared" si="176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77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73"/>
        <v>0</v>
      </c>
      <c r="AG1239" s="2">
        <v>8.1999999999999993</v>
      </c>
      <c r="AH1239" s="2">
        <v>13</v>
      </c>
      <c r="AJ1239" s="2">
        <f t="shared" si="174"/>
        <v>0</v>
      </c>
      <c r="AK1239" s="2">
        <f t="shared" si="175"/>
        <v>9.5999999999999979</v>
      </c>
      <c r="AL1239" s="5">
        <f t="shared" si="176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77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73"/>
        <v>0</v>
      </c>
      <c r="AJ1240" s="2">
        <f t="shared" si="174"/>
        <v>0</v>
      </c>
      <c r="AK1240" s="2">
        <f t="shared" si="175"/>
        <v>9.7200000000000024</v>
      </c>
      <c r="AL1240" s="5">
        <f t="shared" si="176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77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73"/>
        <v>0</v>
      </c>
      <c r="AJ1241" s="2">
        <f t="shared" si="174"/>
        <v>0</v>
      </c>
      <c r="AK1241" s="2">
        <f t="shared" si="175"/>
        <v>80.888400000000004</v>
      </c>
      <c r="AL1241" s="5">
        <f t="shared" si="176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77"/>
        <v>1</v>
      </c>
      <c r="Z1242" s="2" t="s">
        <v>119</v>
      </c>
      <c r="AA1242" s="2" t="s">
        <v>3379</v>
      </c>
      <c r="AF1242" s="2">
        <f t="shared" si="173"/>
        <v>0</v>
      </c>
      <c r="AJ1242" s="2">
        <f t="shared" si="174"/>
        <v>0</v>
      </c>
      <c r="AK1242" s="2">
        <f t="shared" si="175"/>
        <v>70</v>
      </c>
      <c r="AL1242" s="5">
        <f t="shared" si="176"/>
        <v>1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77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73"/>
        <v>0</v>
      </c>
      <c r="AJ1243" s="2">
        <f t="shared" si="174"/>
        <v>0</v>
      </c>
      <c r="AK1243" s="2">
        <f t="shared" si="175"/>
        <v>55.300000000000011</v>
      </c>
      <c r="AL1243" s="5">
        <f t="shared" si="176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77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73"/>
        <v>0</v>
      </c>
      <c r="AG1244" s="2">
        <v>10.6</v>
      </c>
      <c r="AH1244" s="2">
        <v>18</v>
      </c>
      <c r="AJ1244" s="2">
        <f t="shared" si="174"/>
        <v>0</v>
      </c>
      <c r="AK1244" s="2">
        <f t="shared" si="175"/>
        <v>7.4</v>
      </c>
      <c r="AL1244" s="5">
        <f t="shared" si="176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77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73"/>
        <v>0</v>
      </c>
      <c r="AG1245" s="2">
        <v>8.1999999999999993</v>
      </c>
      <c r="AH1245" s="2">
        <v>13</v>
      </c>
      <c r="AJ1245" s="2">
        <f t="shared" si="174"/>
        <v>0</v>
      </c>
      <c r="AK1245" s="2">
        <f t="shared" si="175"/>
        <v>4.7999999999999989</v>
      </c>
      <c r="AL1245" s="5">
        <f t="shared" si="176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77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73"/>
        <v>0</v>
      </c>
      <c r="AG1246" s="2">
        <v>0.98</v>
      </c>
      <c r="AH1246" s="2">
        <v>1.8</v>
      </c>
      <c r="AJ1246" s="2">
        <f t="shared" si="174"/>
        <v>0</v>
      </c>
      <c r="AK1246" s="2">
        <f t="shared" si="175"/>
        <v>2.02</v>
      </c>
      <c r="AL1246" s="5">
        <f t="shared" si="176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77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73"/>
        <v>0</v>
      </c>
      <c r="AG1247" s="2">
        <v>7.9611999999999998</v>
      </c>
      <c r="AH1247" s="2">
        <v>14.4</v>
      </c>
      <c r="AJ1247" s="2">
        <f t="shared" si="174"/>
        <v>0</v>
      </c>
      <c r="AK1247" s="2">
        <f t="shared" si="175"/>
        <v>7.0388000000000002</v>
      </c>
      <c r="AL1247" s="5">
        <f t="shared" si="176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77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73"/>
        <v>0</v>
      </c>
      <c r="AJ1248" s="2">
        <f t="shared" si="174"/>
        <v>0</v>
      </c>
      <c r="AK1248" s="2">
        <f t="shared" si="175"/>
        <v>375</v>
      </c>
      <c r="AL1248" s="5">
        <f t="shared" si="176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77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73"/>
        <v>0</v>
      </c>
      <c r="AG1249" s="2">
        <v>1000</v>
      </c>
      <c r="AJ1249" s="2">
        <f t="shared" si="174"/>
        <v>0</v>
      </c>
      <c r="AK1249" s="2">
        <f t="shared" si="175"/>
        <v>500</v>
      </c>
      <c r="AL1249" s="5">
        <f t="shared" si="176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77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73"/>
        <v>0</v>
      </c>
      <c r="AJ1250" s="2">
        <f t="shared" si="174"/>
        <v>0</v>
      </c>
      <c r="AK1250" s="2">
        <f t="shared" ref="AK1250:AK1281" si="178">T1250-W1250</f>
        <v>17.555</v>
      </c>
      <c r="AL1250" s="5">
        <f t="shared" si="176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77"/>
        <v>1</v>
      </c>
      <c r="Z1251" s="2" t="s">
        <v>3226</v>
      </c>
      <c r="AF1251" s="2">
        <f t="shared" si="173"/>
        <v>0</v>
      </c>
      <c r="AJ1251" s="2">
        <f t="shared" si="174"/>
        <v>0</v>
      </c>
      <c r="AK1251" s="2">
        <f t="shared" si="178"/>
        <v>99.9</v>
      </c>
      <c r="AL1251" s="5">
        <f t="shared" si="176"/>
        <v>1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77"/>
        <v>1</v>
      </c>
      <c r="Z1252" s="2" t="s">
        <v>117</v>
      </c>
      <c r="AF1252" s="2">
        <f t="shared" si="173"/>
        <v>0</v>
      </c>
      <c r="AJ1252" s="2">
        <f t="shared" si="174"/>
        <v>0</v>
      </c>
      <c r="AK1252" s="2">
        <f t="shared" si="178"/>
        <v>23.33</v>
      </c>
      <c r="AL1252" s="5">
        <f t="shared" si="176"/>
        <v>1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77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73"/>
        <v>0</v>
      </c>
      <c r="AJ1253" s="2">
        <f t="shared" si="174"/>
        <v>0</v>
      </c>
      <c r="AK1253" s="2">
        <f t="shared" si="178"/>
        <v>30</v>
      </c>
      <c r="AL1253" s="5">
        <f t="shared" si="176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77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73"/>
        <v>0</v>
      </c>
      <c r="AJ1254" s="2">
        <f t="shared" si="174"/>
        <v>0</v>
      </c>
      <c r="AK1254" s="2">
        <f t="shared" si="178"/>
        <v>50</v>
      </c>
      <c r="AL1254" s="5">
        <f t="shared" si="176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77"/>
        <v>1</v>
      </c>
      <c r="Z1255" s="2" t="s">
        <v>3226</v>
      </c>
      <c r="AF1255" s="2">
        <f t="shared" si="173"/>
        <v>0</v>
      </c>
      <c r="AJ1255" s="2">
        <f t="shared" si="174"/>
        <v>0</v>
      </c>
      <c r="AK1255" s="2">
        <f t="shared" si="178"/>
        <v>370</v>
      </c>
      <c r="AL1255" s="5">
        <f t="shared" si="176"/>
        <v>1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77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73"/>
        <v>0</v>
      </c>
      <c r="AG1256" s="2">
        <v>2410.69</v>
      </c>
      <c r="AJ1256" s="2">
        <f t="shared" si="174"/>
        <v>0</v>
      </c>
      <c r="AK1256" s="2">
        <f t="shared" si="178"/>
        <v>3789.31</v>
      </c>
      <c r="AL1256" s="5">
        <f t="shared" si="176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77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73"/>
        <v>0</v>
      </c>
      <c r="AJ1257" s="2">
        <f t="shared" si="174"/>
        <v>0</v>
      </c>
      <c r="AK1257" s="2">
        <f t="shared" si="178"/>
        <v>110.39999999999999</v>
      </c>
      <c r="AL1257" s="5">
        <f t="shared" si="176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77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73"/>
        <v>0</v>
      </c>
      <c r="AJ1258" s="2">
        <f t="shared" si="174"/>
        <v>0</v>
      </c>
      <c r="AK1258" s="2">
        <f t="shared" si="178"/>
        <v>50</v>
      </c>
      <c r="AL1258" s="5">
        <f t="shared" si="176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73"/>
        <v>0</v>
      </c>
      <c r="AJ1259" s="2">
        <f t="shared" si="174"/>
        <v>0</v>
      </c>
      <c r="AK1259" s="2">
        <f t="shared" si="178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Z1260" s="2" t="s">
        <v>117</v>
      </c>
      <c r="AF1260" s="2">
        <f t="shared" si="173"/>
        <v>0</v>
      </c>
      <c r="AJ1260" s="2">
        <f t="shared" si="174"/>
        <v>0</v>
      </c>
      <c r="AK1260" s="2">
        <f t="shared" si="178"/>
        <v>0</v>
      </c>
      <c r="AL1260" s="5" t="e">
        <f t="shared" ref="AL1260:AL1278" si="179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80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73"/>
        <v>0</v>
      </c>
      <c r="AJ1261" s="2">
        <f t="shared" si="174"/>
        <v>0</v>
      </c>
      <c r="AK1261" s="2">
        <f t="shared" si="178"/>
        <v>3237.37</v>
      </c>
      <c r="AL1261" s="5">
        <f t="shared" si="179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80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73"/>
        <v>0</v>
      </c>
      <c r="AJ1262" s="2">
        <f t="shared" si="174"/>
        <v>0</v>
      </c>
      <c r="AK1262" s="2">
        <f t="shared" si="178"/>
        <v>72.599999999999994</v>
      </c>
      <c r="AL1262" s="5">
        <f t="shared" si="179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80"/>
        <v>0.88113207547169814</v>
      </c>
      <c r="Z1263" s="2" t="s">
        <v>3226</v>
      </c>
      <c r="AA1263" s="2" t="s">
        <v>155</v>
      </c>
      <c r="AB1263" s="2" t="s">
        <v>3402</v>
      </c>
      <c r="AC1263" s="2" t="s">
        <v>1327</v>
      </c>
      <c r="AF1263" s="2">
        <f t="shared" si="173"/>
        <v>0</v>
      </c>
      <c r="AJ1263" s="2">
        <f t="shared" si="174"/>
        <v>0</v>
      </c>
      <c r="AK1263" s="2">
        <f t="shared" si="178"/>
        <v>46.7</v>
      </c>
      <c r="AL1263" s="5">
        <f t="shared" si="179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80"/>
        <v>0.30000000000000004</v>
      </c>
      <c r="Z1264" s="2" t="s">
        <v>3226</v>
      </c>
      <c r="AA1264" s="2" t="s">
        <v>155</v>
      </c>
      <c r="AB1264" s="2" t="s">
        <v>3402</v>
      </c>
      <c r="AC1264" s="2" t="s">
        <v>1327</v>
      </c>
      <c r="AF1264" s="2">
        <f t="shared" si="173"/>
        <v>0</v>
      </c>
      <c r="AJ1264" s="2">
        <f t="shared" si="174"/>
        <v>0</v>
      </c>
      <c r="AK1264" s="2">
        <f t="shared" si="178"/>
        <v>8.1000000000000014</v>
      </c>
      <c r="AL1264" s="5">
        <f t="shared" si="179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80"/>
        <v>0.30000000000000004</v>
      </c>
      <c r="Z1265" s="2" t="s">
        <v>3226</v>
      </c>
      <c r="AA1265" s="2" t="s">
        <v>155</v>
      </c>
      <c r="AB1265" s="2" t="s">
        <v>3402</v>
      </c>
      <c r="AC1265" s="2" t="s">
        <v>1327</v>
      </c>
      <c r="AF1265" s="2">
        <f t="shared" si="173"/>
        <v>0</v>
      </c>
      <c r="AJ1265" s="2">
        <f t="shared" si="174"/>
        <v>0</v>
      </c>
      <c r="AK1265" s="2">
        <f t="shared" si="178"/>
        <v>8.1000000000000014</v>
      </c>
      <c r="AL1265" s="5">
        <f t="shared" si="179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80"/>
        <v>0.88336415094339626</v>
      </c>
      <c r="Z1266" s="2" t="s">
        <v>3226</v>
      </c>
      <c r="AA1266" s="2" t="s">
        <v>155</v>
      </c>
      <c r="AB1266" s="2" t="s">
        <v>3402</v>
      </c>
      <c r="AC1266" s="2" t="s">
        <v>1327</v>
      </c>
      <c r="AF1266" s="2">
        <f t="shared" si="173"/>
        <v>0</v>
      </c>
      <c r="AJ1266" s="2">
        <f t="shared" si="174"/>
        <v>0</v>
      </c>
      <c r="AK1266" s="2">
        <f t="shared" si="178"/>
        <v>46.818300000000001</v>
      </c>
      <c r="AL1266" s="5">
        <f t="shared" si="179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80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73"/>
        <v>0</v>
      </c>
      <c r="AG1267" s="2">
        <v>2481</v>
      </c>
      <c r="AJ1267" s="2">
        <f t="shared" si="174"/>
        <v>0</v>
      </c>
      <c r="AK1267" s="2">
        <f t="shared" si="178"/>
        <v>1109</v>
      </c>
      <c r="AL1267" s="5">
        <f t="shared" si="179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80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73"/>
        <v>0</v>
      </c>
      <c r="AG1268" s="2">
        <v>2481</v>
      </c>
      <c r="AJ1268" s="2">
        <f t="shared" si="174"/>
        <v>0</v>
      </c>
      <c r="AK1268" s="2">
        <f t="shared" si="178"/>
        <v>1109</v>
      </c>
      <c r="AL1268" s="5">
        <f t="shared" si="179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80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73"/>
        <v>0</v>
      </c>
      <c r="AG1269" s="2">
        <v>386</v>
      </c>
      <c r="AJ1269" s="2">
        <f t="shared" si="174"/>
        <v>0</v>
      </c>
      <c r="AK1269" s="2">
        <f t="shared" si="178"/>
        <v>415.61</v>
      </c>
      <c r="AL1269" s="5">
        <f t="shared" si="179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80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73"/>
        <v>0</v>
      </c>
      <c r="AJ1270" s="2">
        <f t="shared" si="174"/>
        <v>0</v>
      </c>
      <c r="AK1270" s="2">
        <f t="shared" si="178"/>
        <v>108.6</v>
      </c>
      <c r="AL1270" s="5">
        <f t="shared" si="179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80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73"/>
        <v>0</v>
      </c>
      <c r="AJ1271" s="2">
        <f t="shared" si="174"/>
        <v>0</v>
      </c>
      <c r="AK1271" s="2">
        <f t="shared" si="178"/>
        <v>50</v>
      </c>
      <c r="AL1271" s="5">
        <f t="shared" si="179"/>
        <v>0.5</v>
      </c>
    </row>
    <row r="1272" spans="1:38" x14ac:dyDescent="0.2">
      <c r="A1272" s="2">
        <v>2025</v>
      </c>
      <c r="B1272" s="2">
        <v>7</v>
      </c>
      <c r="C1272" s="2" t="s">
        <v>3423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80"/>
        <v>1</v>
      </c>
      <c r="Z1272" s="2" t="s">
        <v>117</v>
      </c>
      <c r="AF1272" s="2">
        <f t="shared" si="173"/>
        <v>0</v>
      </c>
      <c r="AJ1272" s="2">
        <f t="shared" si="174"/>
        <v>0</v>
      </c>
      <c r="AK1272" s="2">
        <f t="shared" si="178"/>
        <v>14.95</v>
      </c>
      <c r="AL1272" s="5">
        <f t="shared" si="179"/>
        <v>1</v>
      </c>
    </row>
    <row r="1273" spans="1:38" x14ac:dyDescent="0.2">
      <c r="A1273" s="2">
        <v>2025</v>
      </c>
      <c r="B1273" s="2">
        <v>7</v>
      </c>
      <c r="C1273" s="2" t="s">
        <v>3423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80"/>
        <v>1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73"/>
        <v>0</v>
      </c>
      <c r="AJ1273" s="2">
        <f t="shared" si="174"/>
        <v>0</v>
      </c>
      <c r="AK1273" s="2">
        <f t="shared" si="178"/>
        <v>525.22</v>
      </c>
      <c r="AL1273" s="5">
        <f t="shared" si="179"/>
        <v>1</v>
      </c>
    </row>
    <row r="1274" spans="1:38" x14ac:dyDescent="0.2">
      <c r="A1274" s="2">
        <v>2025</v>
      </c>
      <c r="B1274" s="2">
        <v>7</v>
      </c>
      <c r="C1274" s="2" t="s">
        <v>3423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80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73"/>
        <v>0</v>
      </c>
      <c r="AJ1274" s="2">
        <f t="shared" si="174"/>
        <v>0</v>
      </c>
      <c r="AK1274" s="2">
        <f t="shared" si="178"/>
        <v>30</v>
      </c>
      <c r="AL1274" s="5">
        <f t="shared" si="179"/>
        <v>0.6</v>
      </c>
    </row>
    <row r="1275" spans="1:38" x14ac:dyDescent="0.2">
      <c r="A1275" s="2">
        <v>2025</v>
      </c>
      <c r="B1275" s="2">
        <v>7</v>
      </c>
      <c r="C1275" s="2" t="s">
        <v>3423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80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73"/>
        <v>0</v>
      </c>
      <c r="AJ1275" s="2">
        <f t="shared" si="174"/>
        <v>0</v>
      </c>
      <c r="AK1275" s="2">
        <f t="shared" si="178"/>
        <v>25</v>
      </c>
      <c r="AL1275" s="5">
        <f t="shared" si="179"/>
        <v>0.5</v>
      </c>
    </row>
    <row r="1276" spans="1:38" x14ac:dyDescent="0.2">
      <c r="A1276" s="2">
        <v>2025</v>
      </c>
      <c r="B1276" s="2">
        <v>7</v>
      </c>
      <c r="C1276" s="2" t="s">
        <v>3315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80"/>
        <v>1</v>
      </c>
      <c r="Z1276" s="2" t="s">
        <v>119</v>
      </c>
      <c r="AA1276" s="2" t="s">
        <v>3379</v>
      </c>
      <c r="AF1276" s="2">
        <f t="shared" si="173"/>
        <v>0</v>
      </c>
      <c r="AJ1276" s="2">
        <f t="shared" si="174"/>
        <v>0</v>
      </c>
      <c r="AK1276" s="2">
        <f t="shared" si="178"/>
        <v>525.28</v>
      </c>
      <c r="AL1276" s="5">
        <f t="shared" si="179"/>
        <v>1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80"/>
        <v>0.4</v>
      </c>
      <c r="Z1277" s="2" t="s">
        <v>3226</v>
      </c>
      <c r="AA1277" s="2" t="s">
        <v>46</v>
      </c>
      <c r="AB1277" s="2" t="s">
        <v>60</v>
      </c>
      <c r="AC1277" s="2" t="s">
        <v>3331</v>
      </c>
      <c r="AF1277" s="2">
        <f t="shared" si="173"/>
        <v>0</v>
      </c>
      <c r="AJ1277" s="2">
        <f t="shared" si="174"/>
        <v>0</v>
      </c>
      <c r="AK1277" s="2">
        <f t="shared" si="178"/>
        <v>46.400000000000006</v>
      </c>
      <c r="AL1277" s="5">
        <f t="shared" si="179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80"/>
        <v>0.4</v>
      </c>
      <c r="Z1278" s="2" t="s">
        <v>3226</v>
      </c>
      <c r="AA1278" s="2" t="s">
        <v>46</v>
      </c>
      <c r="AB1278" s="2" t="s">
        <v>60</v>
      </c>
      <c r="AC1278" s="2" t="s">
        <v>3331</v>
      </c>
      <c r="AF1278" s="2">
        <f t="shared" si="173"/>
        <v>0</v>
      </c>
      <c r="AJ1278" s="2">
        <f t="shared" si="174"/>
        <v>0</v>
      </c>
      <c r="AK1278" s="2">
        <f t="shared" si="178"/>
        <v>92.800000000000011</v>
      </c>
      <c r="AL1278" s="5">
        <f t="shared" si="179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73"/>
        <v>0</v>
      </c>
      <c r="AJ1279" s="2">
        <f t="shared" si="174"/>
        <v>0</v>
      </c>
      <c r="AK1279" s="2">
        <f t="shared" si="178"/>
        <v>0</v>
      </c>
      <c r="AL1279" s="20" t="s">
        <v>3400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81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3331</v>
      </c>
      <c r="AF1280" s="2">
        <f t="shared" si="173"/>
        <v>0</v>
      </c>
      <c r="AJ1280" s="2">
        <f t="shared" si="174"/>
        <v>0</v>
      </c>
      <c r="AK1280" s="2">
        <f t="shared" si="178"/>
        <v>232</v>
      </c>
      <c r="AL1280" s="5">
        <f t="shared" ref="AL1280:AL1323" si="182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81"/>
        <v>0.4</v>
      </c>
      <c r="Z1281" s="2" t="s">
        <v>3226</v>
      </c>
      <c r="AA1281" s="2" t="s">
        <v>46</v>
      </c>
      <c r="AB1281" s="2" t="s">
        <v>60</v>
      </c>
      <c r="AC1281" s="2" t="s">
        <v>3331</v>
      </c>
      <c r="AF1281" s="2">
        <f t="shared" si="173"/>
        <v>0</v>
      </c>
      <c r="AJ1281" s="2">
        <f t="shared" si="174"/>
        <v>0</v>
      </c>
      <c r="AK1281" s="2">
        <f t="shared" si="178"/>
        <v>232</v>
      </c>
      <c r="AL1281" s="5">
        <f t="shared" si="182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81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83">AJ1282</f>
        <v>0</v>
      </c>
      <c r="AG1282" s="2">
        <v>117.453</v>
      </c>
      <c r="AH1282" s="2">
        <v>220</v>
      </c>
      <c r="AJ1282" s="2">
        <f t="shared" ref="AJ1282:AJ1345" si="184">AI1282*T1282</f>
        <v>0</v>
      </c>
      <c r="AK1282" s="2">
        <f t="shared" ref="AK1282:AK1313" si="185">T1282-W1282</f>
        <v>102.547</v>
      </c>
      <c r="AL1282" s="5">
        <f t="shared" si="182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81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83"/>
        <v>0</v>
      </c>
      <c r="AG1283" s="2">
        <v>1.1399999999999999</v>
      </c>
      <c r="AH1283" s="2">
        <v>1.1399999999999999</v>
      </c>
      <c r="AJ1283" s="2">
        <f t="shared" si="184"/>
        <v>0</v>
      </c>
      <c r="AK1283" s="2">
        <f t="shared" si="185"/>
        <v>0</v>
      </c>
      <c r="AL1283" s="5">
        <f t="shared" si="182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81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83"/>
        <v>0</v>
      </c>
      <c r="AJ1284" s="2">
        <f t="shared" si="184"/>
        <v>0</v>
      </c>
      <c r="AK1284" s="2">
        <f t="shared" si="185"/>
        <v>102.6</v>
      </c>
      <c r="AL1284" s="5">
        <f t="shared" si="182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81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83"/>
        <v>0</v>
      </c>
      <c r="AJ1285" s="2">
        <f t="shared" si="184"/>
        <v>0</v>
      </c>
      <c r="AK1285" s="2">
        <f t="shared" si="185"/>
        <v>25</v>
      </c>
      <c r="AL1285" s="5">
        <f t="shared" si="182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81"/>
        <v>1</v>
      </c>
      <c r="Z1286" s="2" t="s">
        <v>119</v>
      </c>
      <c r="AA1286" s="2" t="s">
        <v>3379</v>
      </c>
      <c r="AF1286" s="2">
        <f t="shared" si="183"/>
        <v>0</v>
      </c>
      <c r="AJ1286" s="2">
        <f t="shared" si="184"/>
        <v>0</v>
      </c>
      <c r="AK1286" s="2">
        <f t="shared" si="185"/>
        <v>200.03</v>
      </c>
      <c r="AL1286" s="5">
        <f t="shared" si="182"/>
        <v>1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81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83"/>
        <v>0</v>
      </c>
      <c r="AG1287" s="2">
        <v>246.77</v>
      </c>
      <c r="AJ1287" s="2">
        <f t="shared" si="184"/>
        <v>0</v>
      </c>
      <c r="AK1287" s="2">
        <f t="shared" si="185"/>
        <v>271.52</v>
      </c>
      <c r="AL1287" s="5">
        <f t="shared" si="182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81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83"/>
        <v>0</v>
      </c>
      <c r="AJ1288" s="2">
        <f t="shared" si="184"/>
        <v>0</v>
      </c>
      <c r="AK1288" s="2">
        <f t="shared" si="185"/>
        <v>60</v>
      </c>
      <c r="AL1288" s="5">
        <f t="shared" si="182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81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83"/>
        <v>0</v>
      </c>
      <c r="AJ1289" s="2">
        <f t="shared" si="184"/>
        <v>0</v>
      </c>
      <c r="AK1289" s="2">
        <f t="shared" si="185"/>
        <v>150</v>
      </c>
      <c r="AL1289" s="5">
        <f t="shared" si="182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81"/>
        <v>1</v>
      </c>
      <c r="Z1290" s="2" t="s">
        <v>117</v>
      </c>
      <c r="AA1290" s="2" t="s">
        <v>118</v>
      </c>
      <c r="AB1290" s="2" t="s">
        <v>119</v>
      </c>
      <c r="AF1290" s="2">
        <f t="shared" si="183"/>
        <v>0</v>
      </c>
      <c r="AJ1290" s="2">
        <f t="shared" si="184"/>
        <v>0</v>
      </c>
      <c r="AK1290" s="2">
        <f t="shared" si="185"/>
        <v>267.18</v>
      </c>
      <c r="AL1290" s="5">
        <f t="shared" si="182"/>
        <v>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81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83"/>
        <v>0</v>
      </c>
      <c r="AJ1291" s="2">
        <f t="shared" si="184"/>
        <v>0</v>
      </c>
      <c r="AK1291" s="2">
        <f t="shared" si="185"/>
        <v>44.4</v>
      </c>
      <c r="AL1291" s="5">
        <f t="shared" si="182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81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83"/>
        <v>0</v>
      </c>
      <c r="AJ1292" s="2">
        <f t="shared" si="184"/>
        <v>0</v>
      </c>
      <c r="AK1292" s="2">
        <f t="shared" si="185"/>
        <v>175</v>
      </c>
      <c r="AL1292" s="5">
        <f t="shared" si="182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81"/>
        <v>1</v>
      </c>
      <c r="Z1293" s="2" t="s">
        <v>119</v>
      </c>
      <c r="AA1293" s="2" t="s">
        <v>3379</v>
      </c>
      <c r="AF1293" s="2">
        <f t="shared" si="183"/>
        <v>0</v>
      </c>
      <c r="AJ1293" s="2">
        <f t="shared" si="184"/>
        <v>0</v>
      </c>
      <c r="AK1293" s="2">
        <f t="shared" si="185"/>
        <v>630</v>
      </c>
      <c r="AL1293" s="5">
        <f t="shared" si="182"/>
        <v>1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81"/>
        <v>1</v>
      </c>
      <c r="Z1294" s="2" t="s">
        <v>117</v>
      </c>
      <c r="AF1294" s="2">
        <f t="shared" si="183"/>
        <v>0</v>
      </c>
      <c r="AJ1294" s="2">
        <f t="shared" si="184"/>
        <v>0</v>
      </c>
      <c r="AK1294" s="2">
        <f t="shared" si="185"/>
        <v>273.13</v>
      </c>
      <c r="AL1294" s="5">
        <f t="shared" si="182"/>
        <v>1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81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83"/>
        <v>0</v>
      </c>
      <c r="AG1295" s="2">
        <v>9.3000000000000007</v>
      </c>
      <c r="AH1295" s="2">
        <v>21</v>
      </c>
      <c r="AJ1295" s="2">
        <f t="shared" si="184"/>
        <v>0</v>
      </c>
      <c r="AK1295" s="2">
        <f t="shared" si="185"/>
        <v>39.599999999999994</v>
      </c>
      <c r="AL1295" s="5">
        <f t="shared" si="182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81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83"/>
        <v>0</v>
      </c>
      <c r="AG1296" s="2">
        <v>3.7357999999999998</v>
      </c>
      <c r="AH1296" s="2">
        <v>9</v>
      </c>
      <c r="AJ1296" s="2">
        <f t="shared" si="184"/>
        <v>0</v>
      </c>
      <c r="AK1296" s="2">
        <f t="shared" si="185"/>
        <v>18.656800000000004</v>
      </c>
      <c r="AL1296" s="5">
        <f t="shared" si="182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81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83"/>
        <v>0</v>
      </c>
      <c r="AG1297" s="2">
        <v>10.6</v>
      </c>
      <c r="AH1297" s="2">
        <v>18</v>
      </c>
      <c r="AJ1297" s="2">
        <f t="shared" si="184"/>
        <v>0</v>
      </c>
      <c r="AK1297" s="2">
        <f t="shared" si="185"/>
        <v>7.4</v>
      </c>
      <c r="AL1297" s="5">
        <f t="shared" si="182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81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83"/>
        <v>0</v>
      </c>
      <c r="AG1298" s="2">
        <v>8.1999999999999993</v>
      </c>
      <c r="AH1298" s="2">
        <v>13</v>
      </c>
      <c r="AJ1298" s="2">
        <f t="shared" si="184"/>
        <v>0</v>
      </c>
      <c r="AK1298" s="2">
        <f t="shared" si="185"/>
        <v>4.7999999999999989</v>
      </c>
      <c r="AL1298" s="5">
        <f t="shared" si="182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81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83"/>
        <v>0</v>
      </c>
      <c r="AJ1299" s="2">
        <f t="shared" si="184"/>
        <v>0</v>
      </c>
      <c r="AK1299" s="2">
        <f t="shared" si="185"/>
        <v>44.4</v>
      </c>
      <c r="AL1299" s="5">
        <f t="shared" si="182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81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83"/>
        <v>0</v>
      </c>
      <c r="AJ1300" s="2">
        <f t="shared" si="184"/>
        <v>0</v>
      </c>
      <c r="AK1300" s="2">
        <f t="shared" si="185"/>
        <v>50</v>
      </c>
      <c r="AL1300" s="5">
        <f t="shared" si="182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81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83"/>
        <v>0</v>
      </c>
      <c r="AG1301" s="2">
        <v>117.453</v>
      </c>
      <c r="AH1301" s="2">
        <v>220</v>
      </c>
      <c r="AJ1301" s="2">
        <f t="shared" si="184"/>
        <v>0</v>
      </c>
      <c r="AK1301" s="2">
        <f t="shared" si="185"/>
        <v>205.09399999999999</v>
      </c>
      <c r="AL1301" s="5">
        <f t="shared" si="182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81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83"/>
        <v>0</v>
      </c>
      <c r="AJ1302" s="2">
        <f t="shared" si="184"/>
        <v>0</v>
      </c>
      <c r="AK1302" s="2">
        <f t="shared" si="185"/>
        <v>0</v>
      </c>
      <c r="AL1302" s="5">
        <f t="shared" si="182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81"/>
        <v>1</v>
      </c>
      <c r="Z1303" s="2" t="s">
        <v>117</v>
      </c>
      <c r="AF1303" s="2">
        <f t="shared" si="183"/>
        <v>0</v>
      </c>
      <c r="AJ1303" s="2">
        <f t="shared" si="184"/>
        <v>0</v>
      </c>
      <c r="AK1303" s="2">
        <f t="shared" si="185"/>
        <v>172.63</v>
      </c>
      <c r="AL1303" s="5">
        <f t="shared" si="182"/>
        <v>1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81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83"/>
        <v>0</v>
      </c>
      <c r="AJ1304" s="2">
        <f t="shared" si="184"/>
        <v>0</v>
      </c>
      <c r="AK1304" s="2">
        <f t="shared" si="185"/>
        <v>60</v>
      </c>
      <c r="AL1304" s="5">
        <f t="shared" si="182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81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83"/>
        <v>0</v>
      </c>
      <c r="AJ1305" s="2">
        <f t="shared" si="184"/>
        <v>0</v>
      </c>
      <c r="AK1305" s="2">
        <f t="shared" si="185"/>
        <v>62.5</v>
      </c>
      <c r="AL1305" s="5">
        <f t="shared" si="182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81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83"/>
        <v>0</v>
      </c>
      <c r="AG1306" s="2">
        <v>122.446</v>
      </c>
      <c r="AH1306" s="2">
        <v>230</v>
      </c>
      <c r="AJ1306" s="2">
        <f t="shared" si="184"/>
        <v>0</v>
      </c>
      <c r="AK1306" s="2">
        <f t="shared" si="185"/>
        <v>107.554</v>
      </c>
      <c r="AL1306" s="5">
        <f t="shared" si="182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81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83"/>
        <v>0</v>
      </c>
      <c r="AJ1307" s="2">
        <f t="shared" si="184"/>
        <v>0</v>
      </c>
      <c r="AK1307" s="2">
        <f t="shared" si="185"/>
        <v>0</v>
      </c>
      <c r="AL1307" s="5">
        <f t="shared" si="182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81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83"/>
        <v>0</v>
      </c>
      <c r="AG1308" s="2">
        <v>26.77</v>
      </c>
      <c r="AH1308" s="2">
        <v>57.86</v>
      </c>
      <c r="AJ1308" s="2">
        <f t="shared" si="184"/>
        <v>0</v>
      </c>
      <c r="AK1308" s="2">
        <f t="shared" si="185"/>
        <v>31.09</v>
      </c>
      <c r="AL1308" s="5">
        <f t="shared" si="182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81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83"/>
        <v>0</v>
      </c>
      <c r="AJ1309" s="2">
        <f t="shared" si="184"/>
        <v>0</v>
      </c>
      <c r="AK1309" s="2">
        <f t="shared" si="185"/>
        <v>84.844999999999999</v>
      </c>
      <c r="AL1309" s="5">
        <f t="shared" si="182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81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83"/>
        <v>0</v>
      </c>
      <c r="AG1310" s="2">
        <v>1.1399999999999999</v>
      </c>
      <c r="AH1310" s="2">
        <v>1.1399999999999999</v>
      </c>
      <c r="AJ1310" s="2">
        <f t="shared" si="184"/>
        <v>0</v>
      </c>
      <c r="AK1310" s="2">
        <f t="shared" si="185"/>
        <v>0</v>
      </c>
      <c r="AL1310" s="5">
        <f t="shared" si="182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81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83"/>
        <v>0</v>
      </c>
      <c r="AJ1311" s="2">
        <f t="shared" si="184"/>
        <v>0</v>
      </c>
      <c r="AK1311" s="2">
        <f t="shared" si="185"/>
        <v>33</v>
      </c>
      <c r="AL1311" s="5">
        <f t="shared" si="182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81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83"/>
        <v>0</v>
      </c>
      <c r="AJ1312" s="2">
        <f t="shared" si="184"/>
        <v>0</v>
      </c>
      <c r="AK1312" s="2">
        <f t="shared" si="185"/>
        <v>37.5</v>
      </c>
      <c r="AL1312" s="5">
        <f t="shared" si="182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81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83"/>
        <v>0</v>
      </c>
      <c r="AG1313" s="2">
        <v>131.93</v>
      </c>
      <c r="AH1313" s="2">
        <v>220</v>
      </c>
      <c r="AJ1313" s="2">
        <f t="shared" si="184"/>
        <v>0</v>
      </c>
      <c r="AK1313" s="2">
        <f t="shared" si="185"/>
        <v>78.069999999999993</v>
      </c>
      <c r="AL1313" s="5">
        <f t="shared" si="182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81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83"/>
        <v>0</v>
      </c>
      <c r="AJ1314" s="2">
        <f t="shared" si="184"/>
        <v>0</v>
      </c>
      <c r="AK1314" s="2">
        <f t="shared" ref="AK1314:AK1323" si="186">T1314-W1314</f>
        <v>0</v>
      </c>
      <c r="AL1314" s="5">
        <f t="shared" si="182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81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83"/>
        <v>0</v>
      </c>
      <c r="AJ1315" s="2">
        <f t="shared" si="184"/>
        <v>0</v>
      </c>
      <c r="AK1315" s="2">
        <f t="shared" si="186"/>
        <v>31.462499999999991</v>
      </c>
      <c r="AL1315" s="5">
        <f t="shared" si="182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81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83"/>
        <v>0</v>
      </c>
      <c r="AJ1316" s="2">
        <f t="shared" si="184"/>
        <v>0</v>
      </c>
      <c r="AK1316" s="2">
        <f t="shared" si="186"/>
        <v>7.5758000000000001</v>
      </c>
      <c r="AL1316" s="5">
        <f t="shared" si="182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81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83"/>
        <v>0</v>
      </c>
      <c r="AG1317" s="2">
        <v>117.453</v>
      </c>
      <c r="AH1317" s="2">
        <v>220</v>
      </c>
      <c r="AJ1317" s="2">
        <f t="shared" si="184"/>
        <v>0</v>
      </c>
      <c r="AK1317" s="2">
        <f t="shared" si="186"/>
        <v>92.546999999999997</v>
      </c>
      <c r="AL1317" s="5">
        <f t="shared" si="182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81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83"/>
        <v>0</v>
      </c>
      <c r="AJ1318" s="2">
        <f t="shared" si="184"/>
        <v>0</v>
      </c>
      <c r="AK1318" s="2">
        <f t="shared" si="186"/>
        <v>98.55</v>
      </c>
      <c r="AL1318" s="5">
        <f t="shared" si="182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81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83"/>
        <v>0</v>
      </c>
      <c r="AJ1319" s="2">
        <f t="shared" si="184"/>
        <v>0</v>
      </c>
      <c r="AK1319" s="2">
        <f t="shared" si="186"/>
        <v>22.5</v>
      </c>
      <c r="AL1319" s="5">
        <f t="shared" si="182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81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83"/>
        <v>0</v>
      </c>
      <c r="AJ1320" s="2">
        <f t="shared" si="184"/>
        <v>0</v>
      </c>
      <c r="AK1320" s="2">
        <f t="shared" si="186"/>
        <v>0</v>
      </c>
      <c r="AL1320" s="5">
        <f t="shared" si="182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81"/>
        <v>1</v>
      </c>
      <c r="Z1321" s="2" t="s">
        <v>117</v>
      </c>
      <c r="AF1321" s="2">
        <f t="shared" si="183"/>
        <v>0</v>
      </c>
      <c r="AJ1321" s="2">
        <f t="shared" si="184"/>
        <v>0</v>
      </c>
      <c r="AK1321" s="2">
        <f t="shared" si="186"/>
        <v>1993.35</v>
      </c>
      <c r="AL1321" s="5">
        <f t="shared" si="182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81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83"/>
        <v>0</v>
      </c>
      <c r="AJ1322" s="2">
        <f t="shared" si="184"/>
        <v>0</v>
      </c>
      <c r="AK1322" s="2">
        <f t="shared" si="186"/>
        <v>61.199999999999996</v>
      </c>
      <c r="AL1322" s="5">
        <f t="shared" si="182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81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83"/>
        <v>0</v>
      </c>
      <c r="AJ1323" s="2">
        <f t="shared" si="184"/>
        <v>0</v>
      </c>
      <c r="AK1323" s="2">
        <f t="shared" si="186"/>
        <v>75</v>
      </c>
      <c r="AL1323" s="5">
        <f t="shared" si="182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119</v>
      </c>
      <c r="AA1324" s="2" t="s">
        <v>142</v>
      </c>
      <c r="AF1324" s="2">
        <f t="shared" si="183"/>
        <v>0</v>
      </c>
      <c r="AJ1324" s="2">
        <f t="shared" si="184"/>
        <v>0</v>
      </c>
    </row>
    <row r="1325" spans="1:38" x14ac:dyDescent="0.2">
      <c r="A1325" s="2">
        <v>2025</v>
      </c>
      <c r="B1325" s="2">
        <v>7</v>
      </c>
      <c r="C1325" s="2" t="s">
        <v>3398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83"/>
        <v>0</v>
      </c>
      <c r="AJ1325" s="2">
        <f t="shared" si="184"/>
        <v>0</v>
      </c>
      <c r="AK1325" s="2">
        <f t="shared" ref="AK1325:AK1356" si="187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3398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83"/>
        <v>0</v>
      </c>
      <c r="AJ1326" s="2">
        <f t="shared" si="184"/>
        <v>0</v>
      </c>
      <c r="AK1326" s="2">
        <f t="shared" si="187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83"/>
        <v>0</v>
      </c>
      <c r="AJ1327" s="2">
        <f t="shared" si="184"/>
        <v>0</v>
      </c>
      <c r="AK1327" s="2">
        <f t="shared" si="187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83"/>
        <v>0</v>
      </c>
      <c r="AJ1328" s="2">
        <f t="shared" si="184"/>
        <v>0</v>
      </c>
      <c r="AK1328" s="2">
        <f t="shared" si="187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3331</v>
      </c>
      <c r="AF1329" s="2">
        <f t="shared" si="183"/>
        <v>0</v>
      </c>
      <c r="AJ1329" s="2">
        <f t="shared" si="184"/>
        <v>0</v>
      </c>
      <c r="AK1329" s="2">
        <f t="shared" si="187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3331</v>
      </c>
      <c r="AF1330" s="2">
        <f t="shared" si="183"/>
        <v>0</v>
      </c>
      <c r="AJ1330" s="2">
        <f t="shared" si="184"/>
        <v>0</v>
      </c>
      <c r="AK1330" s="2">
        <f t="shared" si="187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83"/>
        <v>0</v>
      </c>
      <c r="AG1331" s="2">
        <f>1294+95</f>
        <v>1389</v>
      </c>
      <c r="AJ1331" s="2">
        <f t="shared" si="184"/>
        <v>0</v>
      </c>
      <c r="AK1331" s="2">
        <f t="shared" si="187"/>
        <v>111</v>
      </c>
      <c r="AL1331" s="5">
        <f t="shared" ref="AL1331:AL1374" si="188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3380</v>
      </c>
      <c r="AC1332" s="2" t="s">
        <v>1327</v>
      </c>
      <c r="AF1332" s="2">
        <f t="shared" si="183"/>
        <v>0</v>
      </c>
      <c r="AJ1332" s="2">
        <f t="shared" si="184"/>
        <v>0</v>
      </c>
      <c r="AK1332" s="2">
        <f t="shared" si="187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83"/>
        <v>0</v>
      </c>
      <c r="AJ1333" s="2">
        <f t="shared" si="184"/>
        <v>0</v>
      </c>
      <c r="AK1333" s="2">
        <f t="shared" si="187"/>
        <v>800</v>
      </c>
      <c r="AL1333" s="5">
        <f t="shared" si="188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83"/>
        <v>0</v>
      </c>
      <c r="AJ1334" s="2">
        <f t="shared" si="184"/>
        <v>0</v>
      </c>
      <c r="AK1334" s="2">
        <f t="shared" si="187"/>
        <v>108.5</v>
      </c>
      <c r="AL1334" s="5">
        <f t="shared" si="188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83"/>
        <v>0</v>
      </c>
      <c r="AJ1335" s="2">
        <f t="shared" si="184"/>
        <v>0</v>
      </c>
      <c r="AK1335" s="2">
        <f t="shared" si="187"/>
        <v>0</v>
      </c>
      <c r="AL1335" s="5" t="e">
        <f t="shared" si="188"/>
        <v>#DIV/0!</v>
      </c>
    </row>
    <row r="1336" spans="1:38" x14ac:dyDescent="0.2">
      <c r="A1336" s="2">
        <v>2025</v>
      </c>
      <c r="B1336" s="2">
        <v>7</v>
      </c>
      <c r="D1336" s="2" t="s">
        <v>1575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50" si="189">(T1336-W1336)/T1336</f>
        <v>1</v>
      </c>
      <c r="AF1336" s="2">
        <f t="shared" si="183"/>
        <v>0</v>
      </c>
      <c r="AJ1336" s="2">
        <f t="shared" si="184"/>
        <v>0</v>
      </c>
      <c r="AK1336" s="2">
        <f t="shared" si="187"/>
        <v>40.75</v>
      </c>
      <c r="AL1336" s="5">
        <f t="shared" si="188"/>
        <v>1</v>
      </c>
    </row>
    <row r="1337" spans="1:38" x14ac:dyDescent="0.2">
      <c r="A1337" s="2">
        <v>2025</v>
      </c>
      <c r="B1337" s="2">
        <v>7</v>
      </c>
      <c r="D1337" s="2" t="s">
        <v>1575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189"/>
        <v>-0.2</v>
      </c>
      <c r="Z1337" s="2" t="s">
        <v>169</v>
      </c>
      <c r="AA1337" s="2" t="s">
        <v>169</v>
      </c>
      <c r="AF1337" s="2">
        <f t="shared" si="183"/>
        <v>0</v>
      </c>
      <c r="AJ1337" s="2">
        <f t="shared" si="184"/>
        <v>0</v>
      </c>
      <c r="AK1337" s="2">
        <f t="shared" si="187"/>
        <v>-1</v>
      </c>
      <c r="AL1337" s="5">
        <f t="shared" si="188"/>
        <v>-0.2</v>
      </c>
    </row>
    <row r="1338" spans="1:38" x14ac:dyDescent="0.2">
      <c r="A1338" s="2">
        <v>2025</v>
      </c>
      <c r="B1338" s="2">
        <v>7</v>
      </c>
      <c r="C1338" s="2" t="s">
        <v>3315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89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83"/>
        <v>0</v>
      </c>
      <c r="AG1338" s="2">
        <f>4893.23+171</f>
        <v>5064.2299999999996</v>
      </c>
      <c r="AJ1338" s="2">
        <f t="shared" si="184"/>
        <v>0</v>
      </c>
      <c r="AK1338" s="2">
        <f t="shared" si="187"/>
        <v>2435.7700000000004</v>
      </c>
      <c r="AL1338" s="5">
        <f t="shared" si="188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89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83"/>
        <v>0</v>
      </c>
      <c r="AJ1339" s="2">
        <f t="shared" si="184"/>
        <v>0</v>
      </c>
      <c r="AK1339" s="2">
        <f t="shared" si="187"/>
        <v>30</v>
      </c>
      <c r="AL1339" s="5">
        <f t="shared" si="188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89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83"/>
        <v>0</v>
      </c>
      <c r="AJ1340" s="2">
        <f t="shared" si="184"/>
        <v>0</v>
      </c>
      <c r="AK1340" s="2">
        <f t="shared" si="187"/>
        <v>25</v>
      </c>
      <c r="AL1340" s="5">
        <f t="shared" si="188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89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83"/>
        <v>0</v>
      </c>
      <c r="AG1341" s="2">
        <v>6.6266999999999996</v>
      </c>
      <c r="AH1341" s="2">
        <v>12</v>
      </c>
      <c r="AJ1341" s="2">
        <f t="shared" si="184"/>
        <v>0</v>
      </c>
      <c r="AK1341" s="2">
        <f t="shared" si="187"/>
        <v>5.3733000000000004</v>
      </c>
      <c r="AL1341" s="5">
        <f t="shared" si="188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89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83"/>
        <v>0</v>
      </c>
      <c r="AG1342" s="2">
        <v>7.9611999999999998</v>
      </c>
      <c r="AH1342" s="2">
        <v>14.4</v>
      </c>
      <c r="AJ1342" s="2">
        <f t="shared" si="184"/>
        <v>0</v>
      </c>
      <c r="AK1342" s="2">
        <f t="shared" si="187"/>
        <v>7.0388000000000002</v>
      </c>
      <c r="AL1342" s="5">
        <f t="shared" si="188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189"/>
        <v>0.29411764705882354</v>
      </c>
      <c r="Z1343" s="2" t="s">
        <v>169</v>
      </c>
      <c r="AA1343" s="2" t="s">
        <v>169</v>
      </c>
      <c r="AF1343" s="2">
        <f t="shared" si="183"/>
        <v>0</v>
      </c>
      <c r="AJ1343" s="2">
        <f t="shared" si="184"/>
        <v>0</v>
      </c>
      <c r="AK1343" s="2">
        <f t="shared" si="187"/>
        <v>2.5</v>
      </c>
      <c r="AL1343" s="5">
        <f t="shared" si="188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89"/>
        <v>1</v>
      </c>
      <c r="Z1344" s="2" t="s">
        <v>119</v>
      </c>
      <c r="AA1344" s="2" t="s">
        <v>492</v>
      </c>
      <c r="AF1344" s="2">
        <f t="shared" si="183"/>
        <v>0</v>
      </c>
      <c r="AJ1344" s="2">
        <f t="shared" si="184"/>
        <v>0</v>
      </c>
      <c r="AK1344" s="2">
        <f t="shared" si="187"/>
        <v>664.04</v>
      </c>
      <c r="AL1344" s="5">
        <f t="shared" si="188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89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83"/>
        <v>0</v>
      </c>
      <c r="AJ1345" s="2">
        <f t="shared" si="184"/>
        <v>0</v>
      </c>
      <c r="AK1345" s="2">
        <f t="shared" si="187"/>
        <v>56.639999999999986</v>
      </c>
      <c r="AL1345" s="5">
        <f t="shared" si="188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89"/>
        <v>1</v>
      </c>
      <c r="Z1346" s="2" t="s">
        <v>119</v>
      </c>
      <c r="AA1346" s="2" t="s">
        <v>3379</v>
      </c>
      <c r="AF1346" s="2">
        <f t="shared" ref="AF1346:AF1409" si="190">AJ1346</f>
        <v>0</v>
      </c>
      <c r="AJ1346" s="2">
        <f t="shared" ref="AJ1346:AJ1409" si="191">AI1346*T1346</f>
        <v>0</v>
      </c>
      <c r="AK1346" s="2">
        <f t="shared" si="187"/>
        <v>132</v>
      </c>
      <c r="AL1346" s="5">
        <f t="shared" si="188"/>
        <v>1</v>
      </c>
    </row>
    <row r="1347" spans="1:38" x14ac:dyDescent="0.2">
      <c r="A1347" s="2">
        <v>2025</v>
      </c>
      <c r="B1347" s="2">
        <v>7</v>
      </c>
      <c r="D1347" s="2" t="s">
        <v>850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89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190"/>
        <v>0</v>
      </c>
      <c r="AJ1347" s="2">
        <f t="shared" si="191"/>
        <v>0</v>
      </c>
      <c r="AK1347" s="2">
        <f t="shared" si="187"/>
        <v>94.844999999999999</v>
      </c>
      <c r="AL1347" s="5">
        <f t="shared" si="188"/>
        <v>0.43111363636363637</v>
      </c>
    </row>
    <row r="1348" spans="1:38" x14ac:dyDescent="0.2">
      <c r="A1348" s="2">
        <v>2025</v>
      </c>
      <c r="B1348" s="2">
        <v>7</v>
      </c>
      <c r="D1348" s="2" t="s">
        <v>850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89"/>
        <v>0.08</v>
      </c>
      <c r="Z1348" s="2" t="s">
        <v>169</v>
      </c>
      <c r="AA1348" s="2" t="s">
        <v>169</v>
      </c>
      <c r="AF1348" s="2">
        <f t="shared" si="190"/>
        <v>0</v>
      </c>
      <c r="AJ1348" s="2">
        <f t="shared" si="191"/>
        <v>0</v>
      </c>
      <c r="AK1348" s="2">
        <f t="shared" si="187"/>
        <v>2</v>
      </c>
      <c r="AL1348" s="5">
        <f t="shared" si="188"/>
        <v>0.08</v>
      </c>
    </row>
    <row r="1349" spans="1:38" x14ac:dyDescent="0.2">
      <c r="A1349" s="2">
        <v>2025</v>
      </c>
      <c r="B1349" s="2">
        <v>7</v>
      </c>
      <c r="D1349" s="2" t="s">
        <v>850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89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190"/>
        <v>0</v>
      </c>
      <c r="AJ1349" s="2">
        <f t="shared" si="191"/>
        <v>0</v>
      </c>
      <c r="AK1349" s="2">
        <f t="shared" si="187"/>
        <v>0</v>
      </c>
      <c r="AL1349" s="5">
        <f t="shared" si="188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89"/>
        <v>1</v>
      </c>
      <c r="Z1350" s="2" t="s">
        <v>117</v>
      </c>
      <c r="AF1350" s="2">
        <f t="shared" si="190"/>
        <v>0</v>
      </c>
      <c r="AJ1350" s="2">
        <f t="shared" si="191"/>
        <v>0</v>
      </c>
      <c r="AK1350" s="2">
        <f t="shared" si="187"/>
        <v>57.67</v>
      </c>
      <c r="AL1350" s="5">
        <f t="shared" si="188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190"/>
        <v>0</v>
      </c>
      <c r="AJ1351" s="2">
        <f t="shared" si="191"/>
        <v>0</v>
      </c>
      <c r="AK1351" s="2">
        <f t="shared" si="187"/>
        <v>0</v>
      </c>
      <c r="AL1351" s="5" t="e">
        <f t="shared" si="188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4" si="192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190"/>
        <v>0</v>
      </c>
      <c r="AJ1352" s="2">
        <f t="shared" si="191"/>
        <v>0</v>
      </c>
      <c r="AK1352" s="2">
        <f t="shared" si="187"/>
        <v>25</v>
      </c>
      <c r="AL1352" s="5">
        <f t="shared" si="188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92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190"/>
        <v>0</v>
      </c>
      <c r="AJ1353" s="2">
        <f t="shared" si="191"/>
        <v>0</v>
      </c>
      <c r="AK1353" s="2">
        <f t="shared" si="187"/>
        <v>30</v>
      </c>
      <c r="AL1353" s="5">
        <f t="shared" si="188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92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190"/>
        <v>0</v>
      </c>
      <c r="AJ1354" s="2">
        <f t="shared" si="191"/>
        <v>0</v>
      </c>
      <c r="AK1354" s="2">
        <f t="shared" si="187"/>
        <v>75</v>
      </c>
      <c r="AL1354" s="5">
        <f t="shared" si="188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92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190"/>
        <v>0</v>
      </c>
      <c r="AJ1355" s="2">
        <f t="shared" si="191"/>
        <v>0</v>
      </c>
      <c r="AK1355" s="2">
        <f t="shared" si="187"/>
        <v>30</v>
      </c>
      <c r="AL1355" s="5">
        <f t="shared" si="188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92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190"/>
        <v>0</v>
      </c>
      <c r="AJ1356" s="2">
        <f t="shared" si="191"/>
        <v>0</v>
      </c>
      <c r="AK1356" s="2">
        <f t="shared" si="187"/>
        <v>25</v>
      </c>
      <c r="AL1356" s="5">
        <f t="shared" si="188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92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190"/>
        <v>0</v>
      </c>
      <c r="AG1357" s="2">
        <v>15.020300000000001</v>
      </c>
      <c r="AH1357" s="2">
        <v>27.6</v>
      </c>
      <c r="AJ1357" s="2">
        <f t="shared" si="191"/>
        <v>0</v>
      </c>
      <c r="AK1357" s="2">
        <f t="shared" ref="AK1357:AK1390" si="193">T1357-W1357</f>
        <v>23.918799999999997</v>
      </c>
      <c r="AL1357" s="5">
        <f t="shared" si="188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92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190"/>
        <v>0</v>
      </c>
      <c r="AG1358" s="2">
        <v>6.6266999999999996</v>
      </c>
      <c r="AH1358" s="2">
        <v>12</v>
      </c>
      <c r="AJ1358" s="2">
        <f t="shared" si="191"/>
        <v>0</v>
      </c>
      <c r="AK1358" s="2">
        <f t="shared" si="193"/>
        <v>21.493200000000002</v>
      </c>
      <c r="AL1358" s="5">
        <f t="shared" si="188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92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190"/>
        <v>0</v>
      </c>
      <c r="AG1359" s="2">
        <v>8.1999999999999993</v>
      </c>
      <c r="AH1359" s="2">
        <v>13</v>
      </c>
      <c r="AJ1359" s="2">
        <f t="shared" si="191"/>
        <v>0</v>
      </c>
      <c r="AK1359" s="2">
        <f t="shared" si="193"/>
        <v>23</v>
      </c>
      <c r="AL1359" s="5">
        <f t="shared" si="188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192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190"/>
        <v>0</v>
      </c>
      <c r="AJ1360" s="2">
        <f t="shared" si="191"/>
        <v>0</v>
      </c>
      <c r="AK1360" s="2">
        <f t="shared" si="193"/>
        <v>304.87750000000005</v>
      </c>
      <c r="AL1360" s="5">
        <f t="shared" si="188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192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190"/>
        <v>0</v>
      </c>
      <c r="AJ1361" s="2">
        <f t="shared" si="191"/>
        <v>0</v>
      </c>
      <c r="AK1361" s="2">
        <f t="shared" si="193"/>
        <v>7.125</v>
      </c>
      <c r="AL1361" s="5">
        <f t="shared" si="188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192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190"/>
        <v>0</v>
      </c>
      <c r="AJ1362" s="2">
        <f t="shared" si="191"/>
        <v>0</v>
      </c>
      <c r="AK1362" s="2">
        <f t="shared" si="193"/>
        <v>8.7550000000000008</v>
      </c>
      <c r="AL1362" s="5">
        <f t="shared" si="188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192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190"/>
        <v>0</v>
      </c>
      <c r="AJ1363" s="2">
        <f t="shared" si="191"/>
        <v>0</v>
      </c>
      <c r="AK1363" s="2">
        <f t="shared" si="193"/>
        <v>10.593299999999999</v>
      </c>
      <c r="AL1363" s="5">
        <f t="shared" si="188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192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190"/>
        <v>0</v>
      </c>
      <c r="AJ1364" s="2">
        <f t="shared" si="191"/>
        <v>0</v>
      </c>
      <c r="AK1364" s="2">
        <f t="shared" si="193"/>
        <v>12.575099999999999</v>
      </c>
      <c r="AL1364" s="5">
        <f t="shared" si="188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92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190"/>
        <v>0</v>
      </c>
      <c r="AG1365" s="2">
        <v>10.6</v>
      </c>
      <c r="AH1365" s="2">
        <v>18</v>
      </c>
      <c r="AJ1365" s="2">
        <f t="shared" si="191"/>
        <v>0</v>
      </c>
      <c r="AK1365" s="2">
        <f t="shared" si="193"/>
        <v>7.4</v>
      </c>
      <c r="AL1365" s="5">
        <f t="shared" si="188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92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190"/>
        <v>0</v>
      </c>
      <c r="AG1366" s="2">
        <v>0.85609999999999997</v>
      </c>
      <c r="AH1366" s="2">
        <v>1.8</v>
      </c>
      <c r="AJ1366" s="2">
        <f t="shared" si="191"/>
        <v>0</v>
      </c>
      <c r="AK1366" s="2">
        <f t="shared" si="193"/>
        <v>6.6072999999999995</v>
      </c>
      <c r="AL1366" s="5">
        <f t="shared" si="188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92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190"/>
        <v>0</v>
      </c>
      <c r="AG1367" s="2">
        <v>1.1122000000000001</v>
      </c>
      <c r="AH1367" s="2">
        <v>3</v>
      </c>
      <c r="AJ1367" s="2">
        <f t="shared" si="191"/>
        <v>0</v>
      </c>
      <c r="AK1367" s="2">
        <f t="shared" si="193"/>
        <v>56.634</v>
      </c>
      <c r="AL1367" s="5">
        <f t="shared" si="188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92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190"/>
        <v>0</v>
      </c>
      <c r="AJ1368" s="2">
        <f t="shared" si="191"/>
        <v>0</v>
      </c>
      <c r="AK1368" s="2">
        <f t="shared" si="193"/>
        <v>40</v>
      </c>
      <c r="AL1368" s="5">
        <f t="shared" si="188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92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190"/>
        <v>0</v>
      </c>
      <c r="AJ1369" s="2">
        <f t="shared" si="191"/>
        <v>0</v>
      </c>
      <c r="AK1369" s="2">
        <f t="shared" si="193"/>
        <v>38</v>
      </c>
      <c r="AL1369" s="5">
        <f t="shared" si="188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92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190"/>
        <v>0</v>
      </c>
      <c r="AJ1370" s="2">
        <f t="shared" si="191"/>
        <v>0</v>
      </c>
      <c r="AK1370" s="2">
        <f t="shared" si="193"/>
        <v>17.650000000000006</v>
      </c>
      <c r="AL1370" s="5">
        <f t="shared" si="188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92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190"/>
        <v>0</v>
      </c>
      <c r="AJ1371" s="2">
        <f t="shared" si="191"/>
        <v>0</v>
      </c>
      <c r="AK1371" s="2">
        <f t="shared" si="193"/>
        <v>17.650000000000006</v>
      </c>
      <c r="AL1371" s="5">
        <f t="shared" si="188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92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190"/>
        <v>0</v>
      </c>
      <c r="AG1372" s="2">
        <v>9.14</v>
      </c>
      <c r="AH1372" s="2">
        <v>16</v>
      </c>
      <c r="AJ1372" s="2">
        <f t="shared" si="191"/>
        <v>0</v>
      </c>
      <c r="AK1372" s="2">
        <f t="shared" si="193"/>
        <v>38.600000000000009</v>
      </c>
      <c r="AL1372" s="5">
        <f t="shared" si="188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92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190"/>
        <v>0</v>
      </c>
      <c r="AG1373" s="2">
        <v>8.1999999999999993</v>
      </c>
      <c r="AH1373" s="2">
        <v>13</v>
      </c>
      <c r="AJ1373" s="2">
        <f t="shared" si="191"/>
        <v>0</v>
      </c>
      <c r="AK1373" s="2">
        <f t="shared" si="193"/>
        <v>36</v>
      </c>
      <c r="AL1373" s="5">
        <f t="shared" si="188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92"/>
        <v>1</v>
      </c>
      <c r="Z1374" s="2" t="s">
        <v>117</v>
      </c>
      <c r="AF1374" s="2">
        <f t="shared" si="190"/>
        <v>0</v>
      </c>
      <c r="AJ1374" s="2">
        <f t="shared" si="191"/>
        <v>0</v>
      </c>
      <c r="AK1374" s="2">
        <f t="shared" si="193"/>
        <v>-65.239999999999995</v>
      </c>
      <c r="AL1374" s="5">
        <f t="shared" si="188"/>
        <v>1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190"/>
        <v>0</v>
      </c>
      <c r="AJ1375" s="2">
        <f t="shared" si="191"/>
        <v>0</v>
      </c>
      <c r="AK1375" s="2">
        <f t="shared" si="193"/>
        <v>0</v>
      </c>
      <c r="AL1375" s="20" t="s">
        <v>3400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194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3331</v>
      </c>
      <c r="AF1376" s="2">
        <f t="shared" si="190"/>
        <v>0</v>
      </c>
      <c r="AJ1376" s="2">
        <f t="shared" si="191"/>
        <v>0</v>
      </c>
      <c r="AK1376" s="2">
        <f t="shared" si="193"/>
        <v>232</v>
      </c>
      <c r="AL1376" s="5">
        <f t="shared" ref="AL1376:AL1390" si="195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194"/>
        <v>0.4</v>
      </c>
      <c r="Z1377" s="2" t="s">
        <v>3226</v>
      </c>
      <c r="AA1377" s="2" t="s">
        <v>46</v>
      </c>
      <c r="AB1377" s="2" t="s">
        <v>60</v>
      </c>
      <c r="AC1377" s="2" t="s">
        <v>3331</v>
      </c>
      <c r="AF1377" s="2">
        <f t="shared" si="190"/>
        <v>0</v>
      </c>
      <c r="AJ1377" s="2">
        <f t="shared" si="191"/>
        <v>0</v>
      </c>
      <c r="AK1377" s="2">
        <f t="shared" si="193"/>
        <v>232</v>
      </c>
      <c r="AL1377" s="5">
        <f t="shared" si="195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94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190"/>
        <v>0</v>
      </c>
      <c r="AJ1378" s="2">
        <f t="shared" si="191"/>
        <v>0</v>
      </c>
      <c r="AK1378" s="2">
        <f t="shared" si="193"/>
        <v>141.4</v>
      </c>
      <c r="AL1378" s="5">
        <f t="shared" si="195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94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190"/>
        <v>0</v>
      </c>
      <c r="AJ1379" s="2">
        <f t="shared" si="191"/>
        <v>0</v>
      </c>
      <c r="AK1379" s="2">
        <f t="shared" si="193"/>
        <v>0</v>
      </c>
      <c r="AL1379" s="5">
        <f t="shared" si="195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94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190"/>
        <v>0</v>
      </c>
      <c r="AJ1380" s="2">
        <f t="shared" si="191"/>
        <v>0</v>
      </c>
      <c r="AK1380" s="2">
        <f t="shared" si="193"/>
        <v>30</v>
      </c>
      <c r="AL1380" s="5">
        <f t="shared" si="195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94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190"/>
        <v>0</v>
      </c>
      <c r="AJ1381" s="2">
        <f t="shared" si="191"/>
        <v>0</v>
      </c>
      <c r="AK1381" s="2">
        <f t="shared" si="193"/>
        <v>25</v>
      </c>
      <c r="AL1381" s="5">
        <f t="shared" si="195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94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190"/>
        <v>0</v>
      </c>
      <c r="AG1382" s="2">
        <v>27.445</v>
      </c>
      <c r="AJ1382" s="2">
        <f t="shared" si="191"/>
        <v>0</v>
      </c>
      <c r="AK1382" s="2">
        <f t="shared" si="193"/>
        <v>44.91</v>
      </c>
      <c r="AL1382" s="5">
        <f t="shared" si="195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94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190"/>
        <v>0</v>
      </c>
      <c r="AJ1383" s="2">
        <f t="shared" si="191"/>
        <v>0</v>
      </c>
      <c r="AK1383" s="2">
        <f t="shared" si="193"/>
        <v>3.759999999999998</v>
      </c>
      <c r="AL1383" s="5">
        <f t="shared" si="195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94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190"/>
        <v>0</v>
      </c>
      <c r="AJ1384" s="2">
        <f t="shared" si="191"/>
        <v>0</v>
      </c>
      <c r="AK1384" s="2">
        <f t="shared" si="193"/>
        <v>5.5548000000000002</v>
      </c>
      <c r="AL1384" s="5">
        <f t="shared" si="195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94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190"/>
        <v>0</v>
      </c>
      <c r="AG1385" s="2">
        <v>10.15</v>
      </c>
      <c r="AJ1385" s="2">
        <f t="shared" si="191"/>
        <v>0</v>
      </c>
      <c r="AK1385" s="2">
        <f t="shared" si="193"/>
        <v>74.89</v>
      </c>
      <c r="AL1385" s="5">
        <f t="shared" si="195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94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190"/>
        <v>0</v>
      </c>
      <c r="AJ1386" s="2">
        <f t="shared" si="191"/>
        <v>0</v>
      </c>
      <c r="AK1386" s="2">
        <f t="shared" si="193"/>
        <v>82.8</v>
      </c>
      <c r="AL1386" s="5">
        <f t="shared" si="195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94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190"/>
        <v>0</v>
      </c>
      <c r="AJ1387" s="2">
        <f t="shared" si="191"/>
        <v>0</v>
      </c>
      <c r="AK1387" s="2">
        <f t="shared" si="193"/>
        <v>106.25</v>
      </c>
      <c r="AL1387" s="5">
        <f t="shared" si="195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94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190"/>
        <v>0</v>
      </c>
      <c r="AG1388" s="2">
        <v>117.453</v>
      </c>
      <c r="AH1388" s="2">
        <v>220</v>
      </c>
      <c r="AJ1388" s="2">
        <f t="shared" si="191"/>
        <v>0</v>
      </c>
      <c r="AK1388" s="2">
        <f t="shared" si="193"/>
        <v>195.09399999999999</v>
      </c>
      <c r="AL1388" s="5">
        <f t="shared" si="195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94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190"/>
        <v>0</v>
      </c>
      <c r="AG1389" s="2">
        <f>144.14+15.4</f>
        <v>159.54</v>
      </c>
      <c r="AH1389" s="2">
        <v>280</v>
      </c>
      <c r="AJ1389" s="2">
        <f t="shared" si="191"/>
        <v>0</v>
      </c>
      <c r="AK1389" s="2">
        <f t="shared" si="193"/>
        <v>80.450000000000017</v>
      </c>
      <c r="AL1389" s="5">
        <f t="shared" si="195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94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190"/>
        <v>0</v>
      </c>
      <c r="AJ1390" s="2">
        <f t="shared" si="191"/>
        <v>0</v>
      </c>
      <c r="AK1390" s="2">
        <f t="shared" si="193"/>
        <v>217.95999999999998</v>
      </c>
      <c r="AL1390" s="5">
        <f t="shared" si="195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119</v>
      </c>
      <c r="AA1391" s="2" t="s">
        <v>142</v>
      </c>
      <c r="AF1391" s="2">
        <f t="shared" si="190"/>
        <v>0</v>
      </c>
      <c r="AJ1391" s="2">
        <f t="shared" si="191"/>
        <v>0</v>
      </c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196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190"/>
        <v>0</v>
      </c>
      <c r="AJ1392" s="2">
        <f t="shared" si="191"/>
        <v>0</v>
      </c>
      <c r="AK1392" s="2">
        <f t="shared" ref="AK1392:AK1423" si="197">T1392-W1392</f>
        <v>0</v>
      </c>
      <c r="AL1392" s="5">
        <f t="shared" ref="AL1392:AL1397" si="198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96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190"/>
        <v>0</v>
      </c>
      <c r="AG1393" s="2">
        <v>117.453</v>
      </c>
      <c r="AH1393" s="2">
        <v>220</v>
      </c>
      <c r="AJ1393" s="2">
        <f t="shared" si="191"/>
        <v>0</v>
      </c>
      <c r="AK1393" s="2">
        <f t="shared" si="197"/>
        <v>92.546999999999997</v>
      </c>
      <c r="AL1393" s="5">
        <f t="shared" si="198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96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190"/>
        <v>0</v>
      </c>
      <c r="AJ1394" s="2">
        <f t="shared" si="191"/>
        <v>0</v>
      </c>
      <c r="AK1394" s="2">
        <f t="shared" si="197"/>
        <v>0</v>
      </c>
      <c r="AL1394" s="5">
        <f t="shared" si="198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96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190"/>
        <v>0</v>
      </c>
      <c r="AG1395" s="2">
        <v>37.96</v>
      </c>
      <c r="AJ1395" s="2">
        <f t="shared" si="191"/>
        <v>0</v>
      </c>
      <c r="AK1395" s="2">
        <f t="shared" si="197"/>
        <v>28.449999999999996</v>
      </c>
      <c r="AL1395" s="5">
        <f t="shared" si="198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96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190"/>
        <v>0</v>
      </c>
      <c r="AG1396" s="2">
        <v>32.024999999999999</v>
      </c>
      <c r="AJ1396" s="2">
        <f t="shared" si="191"/>
        <v>0</v>
      </c>
      <c r="AK1396" s="2">
        <f t="shared" si="197"/>
        <v>89.034999999999997</v>
      </c>
      <c r="AL1396" s="5">
        <f t="shared" si="198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96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190"/>
        <v>0</v>
      </c>
      <c r="AG1397" s="2">
        <v>291.58999999999997</v>
      </c>
      <c r="AH1397" s="2">
        <v>450</v>
      </c>
      <c r="AJ1397" s="2">
        <f t="shared" si="191"/>
        <v>0</v>
      </c>
      <c r="AK1397" s="2">
        <f t="shared" si="197"/>
        <v>316.82000000000005</v>
      </c>
      <c r="AL1397" s="5">
        <f t="shared" si="198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190"/>
        <v>0</v>
      </c>
      <c r="AJ1398" s="2">
        <f t="shared" si="191"/>
        <v>0</v>
      </c>
      <c r="AK1398" s="2">
        <f t="shared" si="197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99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190"/>
        <v>0</v>
      </c>
      <c r="AJ1399" s="2">
        <f t="shared" si="191"/>
        <v>0</v>
      </c>
      <c r="AK1399" s="2">
        <f t="shared" si="197"/>
        <v>67.5</v>
      </c>
      <c r="AL1399" s="5">
        <f t="shared" ref="AL1399:AL1430" si="200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99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190"/>
        <v>0</v>
      </c>
      <c r="AG1400" s="2">
        <v>1.1399999999999999</v>
      </c>
      <c r="AH1400" s="2">
        <v>1.1399999999999999</v>
      </c>
      <c r="AJ1400" s="2">
        <f t="shared" si="191"/>
        <v>0</v>
      </c>
      <c r="AK1400" s="2">
        <f t="shared" si="197"/>
        <v>0</v>
      </c>
      <c r="AL1400" s="5">
        <f t="shared" si="200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99"/>
        <v>1</v>
      </c>
      <c r="Z1401" s="2" t="s">
        <v>119</v>
      </c>
      <c r="AA1401" s="2" t="s">
        <v>3379</v>
      </c>
      <c r="AF1401" s="2">
        <f t="shared" si="190"/>
        <v>0</v>
      </c>
      <c r="AJ1401" s="2">
        <f t="shared" si="191"/>
        <v>0</v>
      </c>
      <c r="AK1401" s="2">
        <f t="shared" si="197"/>
        <v>42.77</v>
      </c>
      <c r="AL1401" s="5">
        <f t="shared" si="200"/>
        <v>1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99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190"/>
        <v>0</v>
      </c>
      <c r="AJ1402" s="2">
        <f t="shared" si="191"/>
        <v>0</v>
      </c>
      <c r="AK1402" s="2">
        <f t="shared" si="197"/>
        <v>88.93</v>
      </c>
      <c r="AL1402" s="5">
        <f t="shared" si="200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99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190"/>
        <v>0</v>
      </c>
      <c r="AJ1403" s="2">
        <f t="shared" si="191"/>
        <v>0</v>
      </c>
      <c r="AK1403" s="2">
        <f t="shared" si="197"/>
        <v>0</v>
      </c>
      <c r="AL1403" s="5">
        <f t="shared" si="200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99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190"/>
        <v>0</v>
      </c>
      <c r="AG1404" s="2">
        <v>117.453</v>
      </c>
      <c r="AH1404" s="2">
        <v>220</v>
      </c>
      <c r="AJ1404" s="2">
        <f t="shared" si="191"/>
        <v>0</v>
      </c>
      <c r="AK1404" s="2">
        <f t="shared" si="197"/>
        <v>102.547</v>
      </c>
      <c r="AL1404" s="5">
        <f t="shared" si="200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99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190"/>
        <v>0</v>
      </c>
      <c r="AJ1405" s="2">
        <f t="shared" si="191"/>
        <v>0</v>
      </c>
      <c r="AK1405" s="2">
        <f t="shared" si="197"/>
        <v>153.47999999999999</v>
      </c>
      <c r="AL1405" s="5">
        <f t="shared" si="200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99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190"/>
        <v>0</v>
      </c>
      <c r="AJ1406" s="2">
        <f t="shared" si="191"/>
        <v>0</v>
      </c>
      <c r="AK1406" s="2">
        <f t="shared" si="197"/>
        <v>0</v>
      </c>
      <c r="AL1406" s="5">
        <f t="shared" si="200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99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190"/>
        <v>0</v>
      </c>
      <c r="AJ1407" s="2">
        <f t="shared" si="191"/>
        <v>0</v>
      </c>
      <c r="AK1407" s="2">
        <f t="shared" si="197"/>
        <v>786.75</v>
      </c>
      <c r="AL1407" s="5">
        <f t="shared" si="200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99"/>
        <v>1</v>
      </c>
      <c r="Z1408" s="2" t="s">
        <v>117</v>
      </c>
      <c r="AF1408" s="2">
        <f t="shared" si="190"/>
        <v>0</v>
      </c>
      <c r="AJ1408" s="2">
        <f t="shared" si="191"/>
        <v>0</v>
      </c>
      <c r="AK1408" s="2">
        <f t="shared" si="197"/>
        <v>14.95</v>
      </c>
      <c r="AL1408" s="5">
        <f t="shared" si="200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99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190"/>
        <v>0</v>
      </c>
      <c r="AJ1409" s="2">
        <f t="shared" si="191"/>
        <v>0</v>
      </c>
      <c r="AK1409" s="2">
        <f t="shared" si="197"/>
        <v>70.22</v>
      </c>
      <c r="AL1409" s="5">
        <f t="shared" si="200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199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01">AJ1410</f>
        <v>0</v>
      </c>
      <c r="AJ1410" s="2">
        <f t="shared" ref="AJ1410:AJ1473" si="202">AI1410*T1410</f>
        <v>0</v>
      </c>
      <c r="AK1410" s="2">
        <f t="shared" si="197"/>
        <v>32.1</v>
      </c>
      <c r="AL1410" s="5">
        <f t="shared" si="200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99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01"/>
        <v>0</v>
      </c>
      <c r="AG1411" s="2">
        <v>8.1999999999999993</v>
      </c>
      <c r="AH1411" s="2">
        <v>13</v>
      </c>
      <c r="AJ1411" s="2">
        <f t="shared" si="202"/>
        <v>0</v>
      </c>
      <c r="AK1411" s="2">
        <f t="shared" si="197"/>
        <v>69</v>
      </c>
      <c r="AL1411" s="5">
        <f t="shared" si="200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99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01"/>
        <v>0</v>
      </c>
      <c r="AG1412" s="2">
        <v>117.453</v>
      </c>
      <c r="AH1412" s="2">
        <v>220</v>
      </c>
      <c r="AJ1412" s="2">
        <f t="shared" si="202"/>
        <v>0</v>
      </c>
      <c r="AK1412" s="2">
        <f t="shared" si="197"/>
        <v>102.547</v>
      </c>
      <c r="AL1412" s="5">
        <f t="shared" si="200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99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01"/>
        <v>0</v>
      </c>
      <c r="AJ1413" s="2">
        <f t="shared" si="202"/>
        <v>0</v>
      </c>
      <c r="AK1413" s="2">
        <f t="shared" si="197"/>
        <v>0</v>
      </c>
      <c r="AL1413" s="5">
        <f t="shared" si="200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99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01"/>
        <v>0</v>
      </c>
      <c r="AG1414" s="2">
        <v>209.3</v>
      </c>
      <c r="AJ1414" s="2">
        <f t="shared" si="202"/>
        <v>0</v>
      </c>
      <c r="AK1414" s="2">
        <f t="shared" si="197"/>
        <v>159.69999999999999</v>
      </c>
      <c r="AL1414" s="5">
        <f t="shared" si="200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99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01"/>
        <v>0</v>
      </c>
      <c r="AG1415" s="2">
        <v>136.94999999999999</v>
      </c>
      <c r="AJ1415" s="2">
        <f t="shared" si="202"/>
        <v>0</v>
      </c>
      <c r="AK1415" s="2">
        <f t="shared" si="197"/>
        <v>112.05000000000001</v>
      </c>
      <c r="AL1415" s="5">
        <f t="shared" si="200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99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01"/>
        <v>0</v>
      </c>
      <c r="AG1416" s="2">
        <v>64.349999999999994</v>
      </c>
      <c r="AJ1416" s="2">
        <f t="shared" si="202"/>
        <v>0</v>
      </c>
      <c r="AK1416" s="2">
        <f t="shared" si="197"/>
        <v>69.300000000000011</v>
      </c>
      <c r="AL1416" s="5">
        <f t="shared" si="200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99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01"/>
        <v>0</v>
      </c>
      <c r="AJ1417" s="2">
        <f t="shared" si="202"/>
        <v>0</v>
      </c>
      <c r="AK1417" s="2">
        <f t="shared" si="197"/>
        <v>45</v>
      </c>
      <c r="AL1417" s="5">
        <f t="shared" si="200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99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01"/>
        <v>0</v>
      </c>
      <c r="AJ1418" s="2">
        <f t="shared" si="202"/>
        <v>0</v>
      </c>
      <c r="AK1418" s="2">
        <f t="shared" si="197"/>
        <v>50</v>
      </c>
      <c r="AL1418" s="5">
        <f t="shared" si="200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99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01"/>
        <v>0</v>
      </c>
      <c r="AG1419" s="2">
        <v>6.6266999999999996</v>
      </c>
      <c r="AH1419" s="2">
        <v>12</v>
      </c>
      <c r="AJ1419" s="2">
        <f t="shared" si="202"/>
        <v>0</v>
      </c>
      <c r="AK1419" s="2">
        <f t="shared" si="197"/>
        <v>43.733000000000004</v>
      </c>
      <c r="AL1419" s="5">
        <f t="shared" si="200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99"/>
        <v>1</v>
      </c>
      <c r="Z1420" s="2" t="s">
        <v>117</v>
      </c>
      <c r="AA1420" s="2" t="s">
        <v>317</v>
      </c>
      <c r="AF1420" s="2">
        <f t="shared" si="201"/>
        <v>0</v>
      </c>
      <c r="AJ1420" s="2">
        <f t="shared" si="202"/>
        <v>0</v>
      </c>
      <c r="AK1420" s="2">
        <f t="shared" si="197"/>
        <v>461</v>
      </c>
      <c r="AL1420" s="5">
        <f t="shared" si="200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99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01"/>
        <v>0</v>
      </c>
      <c r="AJ1421" s="2">
        <f t="shared" si="202"/>
        <v>0</v>
      </c>
      <c r="AK1421" s="2">
        <f t="shared" si="197"/>
        <v>6.1699999999999982</v>
      </c>
      <c r="AL1421" s="5">
        <f t="shared" si="200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99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01"/>
        <v>0</v>
      </c>
      <c r="AG1422" s="2">
        <v>10.6</v>
      </c>
      <c r="AH1422" s="2">
        <v>18</v>
      </c>
      <c r="AJ1422" s="2">
        <f t="shared" si="202"/>
        <v>0</v>
      </c>
      <c r="AK1422" s="2">
        <f t="shared" si="197"/>
        <v>54</v>
      </c>
      <c r="AL1422" s="5">
        <f t="shared" si="200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99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01"/>
        <v>0</v>
      </c>
      <c r="AG1423" s="2">
        <v>8.1999999999999993</v>
      </c>
      <c r="AH1423" s="2">
        <v>13</v>
      </c>
      <c r="AJ1423" s="2">
        <f t="shared" si="202"/>
        <v>0</v>
      </c>
      <c r="AK1423" s="2">
        <f t="shared" si="197"/>
        <v>23</v>
      </c>
      <c r="AL1423" s="5">
        <f t="shared" si="200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99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01"/>
        <v>0</v>
      </c>
      <c r="AG1424" s="2">
        <v>3.7555999999999998</v>
      </c>
      <c r="AH1424" s="2">
        <v>7.2</v>
      </c>
      <c r="AJ1424" s="2">
        <f t="shared" si="202"/>
        <v>0</v>
      </c>
      <c r="AK1424" s="2">
        <f t="shared" ref="AK1424:AK1451" si="203">T1424-W1424</f>
        <v>56.888000000000005</v>
      </c>
      <c r="AL1424" s="5">
        <f t="shared" si="200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99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01"/>
        <v>0</v>
      </c>
      <c r="AG1425" s="2">
        <v>1.4114</v>
      </c>
      <c r="AH1425" s="2">
        <v>3</v>
      </c>
      <c r="AJ1425" s="2">
        <f t="shared" si="202"/>
        <v>0</v>
      </c>
      <c r="AK1425" s="2">
        <f t="shared" si="203"/>
        <v>19.771999999999998</v>
      </c>
      <c r="AL1425" s="5">
        <f t="shared" si="200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99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01"/>
        <v>0</v>
      </c>
      <c r="AG1426" s="2">
        <v>15.020300000000001</v>
      </c>
      <c r="AH1426" s="2">
        <v>27.6</v>
      </c>
      <c r="AJ1426" s="2">
        <f t="shared" si="202"/>
        <v>0</v>
      </c>
      <c r="AK1426" s="2">
        <f t="shared" si="203"/>
        <v>12.959399999999999</v>
      </c>
      <c r="AL1426" s="5">
        <f t="shared" si="200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99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01"/>
        <v>0</v>
      </c>
      <c r="AG1427" s="2">
        <v>9.14</v>
      </c>
      <c r="AH1427" s="2">
        <v>16</v>
      </c>
      <c r="AJ1427" s="2">
        <f t="shared" si="202"/>
        <v>0</v>
      </c>
      <c r="AK1427" s="2">
        <f t="shared" si="203"/>
        <v>4.8600000000000012</v>
      </c>
      <c r="AL1427" s="5">
        <f t="shared" si="200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199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01"/>
        <v>0</v>
      </c>
      <c r="AJ1428" s="2">
        <f t="shared" si="202"/>
        <v>0</v>
      </c>
      <c r="AK1428" s="2">
        <f t="shared" si="203"/>
        <v>18.246000000000002</v>
      </c>
      <c r="AL1428" s="5">
        <f t="shared" si="200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199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01"/>
        <v>0</v>
      </c>
      <c r="AJ1429" s="2">
        <f t="shared" si="202"/>
        <v>0</v>
      </c>
      <c r="AK1429" s="2">
        <f t="shared" si="203"/>
        <v>18.799999999999997</v>
      </c>
      <c r="AL1429" s="5">
        <f t="shared" si="200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99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01"/>
        <v>0</v>
      </c>
      <c r="AG1430" s="2">
        <v>3.7357999999999998</v>
      </c>
      <c r="AH1430" s="2">
        <v>9</v>
      </c>
      <c r="AJ1430" s="2">
        <f t="shared" si="202"/>
        <v>0</v>
      </c>
      <c r="AK1430" s="2">
        <f t="shared" si="203"/>
        <v>8.1283999999999992</v>
      </c>
      <c r="AL1430" s="5">
        <f t="shared" si="200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04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01"/>
        <v>0</v>
      </c>
      <c r="AG1431" s="2">
        <v>10.6</v>
      </c>
      <c r="AH1431" s="2">
        <v>18</v>
      </c>
      <c r="AJ1431" s="2">
        <f t="shared" si="202"/>
        <v>0</v>
      </c>
      <c r="AK1431" s="2">
        <f t="shared" si="203"/>
        <v>27</v>
      </c>
      <c r="AL1431" s="5">
        <f t="shared" ref="AL1431:AL1451" si="205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04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01"/>
        <v>0</v>
      </c>
      <c r="AG1432" s="2">
        <v>8.1999999999999993</v>
      </c>
      <c r="AH1432" s="2">
        <v>13</v>
      </c>
      <c r="AJ1432" s="2">
        <f t="shared" si="202"/>
        <v>0</v>
      </c>
      <c r="AK1432" s="2">
        <f t="shared" si="203"/>
        <v>24</v>
      </c>
      <c r="AL1432" s="5">
        <f t="shared" si="205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04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01"/>
        <v>0</v>
      </c>
      <c r="AJ1433" s="2">
        <f t="shared" si="202"/>
        <v>0</v>
      </c>
      <c r="AK1433" s="2">
        <f t="shared" si="203"/>
        <v>64.8</v>
      </c>
      <c r="AL1433" s="5">
        <f t="shared" si="205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04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01"/>
        <v>0</v>
      </c>
      <c r="AJ1434" s="2">
        <f t="shared" si="202"/>
        <v>0</v>
      </c>
      <c r="AK1434" s="2">
        <f t="shared" si="203"/>
        <v>67.5</v>
      </c>
      <c r="AL1434" s="5">
        <f t="shared" si="205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204"/>
        <v>1</v>
      </c>
      <c r="Z1435" s="2" t="s">
        <v>119</v>
      </c>
      <c r="AA1435" s="2" t="s">
        <v>3379</v>
      </c>
      <c r="AF1435" s="2">
        <f t="shared" si="201"/>
        <v>0</v>
      </c>
      <c r="AJ1435" s="2">
        <f t="shared" si="202"/>
        <v>0</v>
      </c>
      <c r="AK1435" s="2">
        <f t="shared" si="203"/>
        <v>11.4</v>
      </c>
      <c r="AL1435" s="5">
        <f t="shared" si="205"/>
        <v>1</v>
      </c>
    </row>
    <row r="1436" spans="1:38" x14ac:dyDescent="0.2">
      <c r="A1436" s="2">
        <v>2025</v>
      </c>
      <c r="B1436" s="2">
        <v>7</v>
      </c>
      <c r="C1436" s="2" t="s">
        <v>3399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04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01"/>
        <v>0</v>
      </c>
      <c r="AJ1436" s="2">
        <f t="shared" si="202"/>
        <v>0</v>
      </c>
      <c r="AK1436" s="2">
        <f t="shared" si="203"/>
        <v>20.860000000000007</v>
      </c>
      <c r="AL1436" s="5">
        <f t="shared" si="205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04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01"/>
        <v>0</v>
      </c>
      <c r="AG1437" s="2">
        <v>5.2342000000000004</v>
      </c>
      <c r="AJ1437" s="2">
        <f t="shared" si="202"/>
        <v>0</v>
      </c>
      <c r="AK1437" s="2">
        <f t="shared" si="203"/>
        <v>19.421599999999998</v>
      </c>
      <c r="AL1437" s="5">
        <f t="shared" si="205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3300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04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01"/>
        <v>0</v>
      </c>
      <c r="AJ1438" s="2">
        <f t="shared" si="202"/>
        <v>0</v>
      </c>
      <c r="AK1438" s="2">
        <f t="shared" si="203"/>
        <v>100</v>
      </c>
      <c r="AL1438" s="5">
        <f t="shared" si="205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3300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04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01"/>
        <v>0</v>
      </c>
      <c r="AJ1439" s="2">
        <f t="shared" si="202"/>
        <v>0</v>
      </c>
      <c r="AK1439" s="2">
        <f t="shared" si="203"/>
        <v>59.808399999999999</v>
      </c>
      <c r="AL1439" s="5">
        <f t="shared" si="205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04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01"/>
        <v>0</v>
      </c>
      <c r="AJ1440" s="2">
        <f t="shared" si="202"/>
        <v>0</v>
      </c>
      <c r="AK1440" s="2">
        <f t="shared" si="203"/>
        <v>89.183300000000003</v>
      </c>
      <c r="AL1440" s="5">
        <f t="shared" si="205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04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01"/>
        <v>0</v>
      </c>
      <c r="AG1441" s="2">
        <v>122.446</v>
      </c>
      <c r="AH1441" s="2">
        <v>230</v>
      </c>
      <c r="AJ1441" s="2">
        <f t="shared" si="202"/>
        <v>0</v>
      </c>
      <c r="AK1441" s="2">
        <f t="shared" si="203"/>
        <v>90.954000000000008</v>
      </c>
      <c r="AL1441" s="5">
        <f t="shared" si="205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04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01"/>
        <v>0</v>
      </c>
      <c r="AJ1442" s="2">
        <f t="shared" si="202"/>
        <v>0</v>
      </c>
      <c r="AK1442" s="2">
        <f t="shared" si="203"/>
        <v>125.74000000000001</v>
      </c>
      <c r="AL1442" s="5">
        <f t="shared" si="205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04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01"/>
        <v>0</v>
      </c>
      <c r="AJ1443" s="2">
        <f t="shared" si="202"/>
        <v>0</v>
      </c>
      <c r="AK1443" s="2">
        <f t="shared" si="203"/>
        <v>157.98000000000002</v>
      </c>
      <c r="AL1443" s="5">
        <f t="shared" si="205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04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01"/>
        <v>0</v>
      </c>
      <c r="AJ1444" s="2">
        <f t="shared" si="202"/>
        <v>0</v>
      </c>
      <c r="AK1444" s="2">
        <f t="shared" si="203"/>
        <v>84.639999999999986</v>
      </c>
      <c r="AL1444" s="5">
        <f t="shared" si="205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04"/>
        <v>0.23333333333333334</v>
      </c>
      <c r="Z1445" s="2" t="s">
        <v>169</v>
      </c>
      <c r="AA1445" s="2" t="s">
        <v>169</v>
      </c>
      <c r="AF1445" s="2">
        <f t="shared" si="201"/>
        <v>0</v>
      </c>
      <c r="AJ1445" s="2">
        <f t="shared" si="202"/>
        <v>0</v>
      </c>
      <c r="AK1445" s="2">
        <f t="shared" si="203"/>
        <v>7</v>
      </c>
      <c r="AL1445" s="5">
        <f t="shared" si="205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04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01"/>
        <v>0</v>
      </c>
      <c r="AJ1446" s="2">
        <f t="shared" si="202"/>
        <v>0</v>
      </c>
      <c r="AK1446" s="2">
        <f t="shared" si="203"/>
        <v>0</v>
      </c>
      <c r="AL1446" s="5">
        <f t="shared" si="205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04"/>
        <v>0.4</v>
      </c>
      <c r="Z1447" s="2" t="s">
        <v>3226</v>
      </c>
      <c r="AA1447" s="2" t="s">
        <v>46</v>
      </c>
      <c r="AB1447" s="2" t="s">
        <v>60</v>
      </c>
      <c r="AC1447" s="2" t="s">
        <v>3331</v>
      </c>
      <c r="AF1447" s="2">
        <f t="shared" si="201"/>
        <v>0</v>
      </c>
      <c r="AJ1447" s="2">
        <f t="shared" si="202"/>
        <v>0</v>
      </c>
      <c r="AK1447" s="2">
        <f t="shared" si="203"/>
        <v>23.200000000000003</v>
      </c>
      <c r="AL1447" s="5">
        <f t="shared" si="205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04"/>
        <v>0.4</v>
      </c>
      <c r="Z1448" s="2" t="s">
        <v>3226</v>
      </c>
      <c r="AA1448" s="2" t="s">
        <v>46</v>
      </c>
      <c r="AB1448" s="2" t="s">
        <v>60</v>
      </c>
      <c r="AC1448" s="2" t="s">
        <v>3331</v>
      </c>
      <c r="AF1448" s="2">
        <f t="shared" si="201"/>
        <v>0</v>
      </c>
      <c r="AJ1448" s="2">
        <f t="shared" si="202"/>
        <v>0</v>
      </c>
      <c r="AK1448" s="2">
        <f t="shared" si="203"/>
        <v>11.600000000000001</v>
      </c>
      <c r="AL1448" s="5">
        <f t="shared" si="205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04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01"/>
        <v>0</v>
      </c>
      <c r="AG1449" s="2">
        <v>0.85609999999999997</v>
      </c>
      <c r="AH1449" s="2">
        <v>1.8</v>
      </c>
      <c r="AJ1449" s="2">
        <f t="shared" si="202"/>
        <v>0</v>
      </c>
      <c r="AK1449" s="2">
        <f t="shared" si="203"/>
        <v>9.4390000000000001</v>
      </c>
      <c r="AL1449" s="5">
        <f t="shared" si="205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04"/>
        <v>1</v>
      </c>
      <c r="Z1450" s="2" t="s">
        <v>117</v>
      </c>
      <c r="AF1450" s="2">
        <f t="shared" si="201"/>
        <v>0</v>
      </c>
      <c r="AJ1450" s="2">
        <f t="shared" si="202"/>
        <v>0</v>
      </c>
      <c r="AK1450" s="2">
        <f t="shared" si="203"/>
        <v>30.13</v>
      </c>
      <c r="AL1450" s="5">
        <f t="shared" si="205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04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01"/>
        <v>0</v>
      </c>
      <c r="AJ1451" s="2">
        <f t="shared" si="202"/>
        <v>0</v>
      </c>
      <c r="AK1451" s="2">
        <f t="shared" si="203"/>
        <v>13.93</v>
      </c>
      <c r="AL1451" s="5">
        <f t="shared" si="205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01"/>
        <v>0</v>
      </c>
      <c r="AJ1452" s="2">
        <f t="shared" si="202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06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01"/>
        <v>0</v>
      </c>
      <c r="AG1453" s="2">
        <v>565.755</v>
      </c>
      <c r="AJ1453" s="2">
        <f t="shared" si="202"/>
        <v>0</v>
      </c>
      <c r="AK1453" s="2">
        <f t="shared" ref="AK1453:AK1469" si="207">T1453-W1453</f>
        <v>2069.8150000000001</v>
      </c>
      <c r="AL1453" s="5">
        <f t="shared" ref="AL1453:AL1469" si="208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06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01"/>
        <v>0</v>
      </c>
      <c r="AJ1454" s="2">
        <f t="shared" si="202"/>
        <v>0</v>
      </c>
      <c r="AK1454" s="2">
        <f t="shared" si="207"/>
        <v>145.19999999999999</v>
      </c>
      <c r="AL1454" s="5">
        <f t="shared" si="208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06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01"/>
        <v>0</v>
      </c>
      <c r="AJ1455" s="2">
        <f t="shared" si="202"/>
        <v>0</v>
      </c>
      <c r="AK1455" s="2">
        <f t="shared" si="207"/>
        <v>100</v>
      </c>
      <c r="AL1455" s="5">
        <f t="shared" si="208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206"/>
        <v>1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01"/>
        <v>0</v>
      </c>
      <c r="AJ1456" s="2">
        <f t="shared" si="202"/>
        <v>0</v>
      </c>
      <c r="AK1456" s="2">
        <f t="shared" si="207"/>
        <v>-580</v>
      </c>
      <c r="AL1456" s="5">
        <f t="shared" si="208"/>
        <v>1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06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01"/>
        <v>0</v>
      </c>
      <c r="AJ1457" s="2">
        <f t="shared" si="202"/>
        <v>0</v>
      </c>
      <c r="AK1457" s="2">
        <f t="shared" si="207"/>
        <v>25.11</v>
      </c>
      <c r="AL1457" s="5">
        <f t="shared" si="208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06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01"/>
        <v>0</v>
      </c>
      <c r="AJ1458" s="2">
        <f t="shared" si="202"/>
        <v>0</v>
      </c>
      <c r="AK1458" s="2">
        <f t="shared" si="207"/>
        <v>5.2949999999999999</v>
      </c>
      <c r="AL1458" s="5">
        <f t="shared" si="208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06"/>
        <v>0.29411764705882354</v>
      </c>
      <c r="Z1459" s="2" t="s">
        <v>169</v>
      </c>
      <c r="AA1459" s="2" t="s">
        <v>169</v>
      </c>
      <c r="AF1459" s="2">
        <f t="shared" si="201"/>
        <v>0</v>
      </c>
      <c r="AJ1459" s="2">
        <f t="shared" si="202"/>
        <v>0</v>
      </c>
      <c r="AK1459" s="2">
        <f t="shared" si="207"/>
        <v>2.5</v>
      </c>
      <c r="AL1459" s="5">
        <f t="shared" si="208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06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01"/>
        <v>0</v>
      </c>
      <c r="AJ1460" s="2">
        <f t="shared" si="202"/>
        <v>0</v>
      </c>
      <c r="AK1460" s="2">
        <f t="shared" si="207"/>
        <v>22.027999999999999</v>
      </c>
      <c r="AL1460" s="5">
        <f t="shared" si="208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06"/>
        <v>1</v>
      </c>
      <c r="Z1461" s="2" t="s">
        <v>117</v>
      </c>
      <c r="AF1461" s="2">
        <f t="shared" si="201"/>
        <v>0</v>
      </c>
      <c r="AJ1461" s="2">
        <f t="shared" si="202"/>
        <v>0</v>
      </c>
      <c r="AK1461" s="2">
        <f t="shared" si="207"/>
        <v>70.12</v>
      </c>
      <c r="AL1461" s="5">
        <f t="shared" si="208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206"/>
        <v>1</v>
      </c>
      <c r="Z1462" s="2" t="s">
        <v>119</v>
      </c>
      <c r="AA1462" s="2" t="s">
        <v>3379</v>
      </c>
      <c r="AF1462" s="2">
        <f t="shared" si="201"/>
        <v>0</v>
      </c>
      <c r="AJ1462" s="2">
        <f t="shared" si="202"/>
        <v>0</v>
      </c>
      <c r="AK1462" s="2">
        <f t="shared" si="207"/>
        <v>120.75</v>
      </c>
      <c r="AL1462" s="5">
        <f t="shared" si="208"/>
        <v>1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06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01"/>
        <v>0</v>
      </c>
      <c r="AG1463" s="2">
        <v>8.1999999999999993</v>
      </c>
      <c r="AH1463" s="2">
        <v>13</v>
      </c>
      <c r="AJ1463" s="2">
        <f t="shared" si="202"/>
        <v>0</v>
      </c>
      <c r="AK1463" s="2">
        <f t="shared" si="207"/>
        <v>36</v>
      </c>
      <c r="AL1463" s="5">
        <f t="shared" si="208"/>
        <v>0.18</v>
      </c>
    </row>
    <row r="1464" spans="1:38" x14ac:dyDescent="0.2">
      <c r="A1464" s="2">
        <v>2025</v>
      </c>
      <c r="B1464" s="2">
        <v>7</v>
      </c>
      <c r="C1464" s="2" t="s">
        <v>3423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06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01"/>
        <v>0</v>
      </c>
      <c r="AJ1464" s="2">
        <f t="shared" si="202"/>
        <v>0</v>
      </c>
      <c r="AK1464" s="2">
        <f t="shared" si="207"/>
        <v>25.356000000000002</v>
      </c>
      <c r="AL1464" s="5">
        <f t="shared" si="208"/>
        <v>0.5090544067456334</v>
      </c>
    </row>
    <row r="1465" spans="1:38" x14ac:dyDescent="0.2">
      <c r="A1465" s="2">
        <v>2025</v>
      </c>
      <c r="B1465" s="2">
        <v>7</v>
      </c>
      <c r="C1465" s="2" t="s">
        <v>3423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06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01"/>
        <v>0</v>
      </c>
      <c r="AJ1465" s="2">
        <f t="shared" si="202"/>
        <v>0</v>
      </c>
      <c r="AK1465" s="2">
        <f t="shared" si="207"/>
        <v>118.19999999999999</v>
      </c>
      <c r="AL1465" s="5">
        <f t="shared" si="208"/>
        <v>0.6</v>
      </c>
    </row>
    <row r="1466" spans="1:38" x14ac:dyDescent="0.2">
      <c r="A1466" s="2">
        <v>2025</v>
      </c>
      <c r="B1466" s="2">
        <v>7</v>
      </c>
      <c r="C1466" s="2" t="s">
        <v>3423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06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01"/>
        <v>0</v>
      </c>
      <c r="AJ1466" s="2">
        <f t="shared" si="202"/>
        <v>0</v>
      </c>
      <c r="AK1466" s="2">
        <f t="shared" si="207"/>
        <v>25</v>
      </c>
      <c r="AL1466" s="5">
        <f t="shared" si="208"/>
        <v>0.5</v>
      </c>
    </row>
    <row r="1467" spans="1:38" x14ac:dyDescent="0.2">
      <c r="A1467" s="2">
        <v>2025</v>
      </c>
      <c r="B1467" s="2">
        <v>7</v>
      </c>
      <c r="C1467" s="2" t="s">
        <v>3423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06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01"/>
        <v>0</v>
      </c>
      <c r="AG1467" s="2">
        <v>117.453</v>
      </c>
      <c r="AH1467" s="2">
        <v>220</v>
      </c>
      <c r="AJ1467" s="2">
        <f t="shared" si="202"/>
        <v>0</v>
      </c>
      <c r="AK1467" s="2">
        <f t="shared" si="207"/>
        <v>102.547</v>
      </c>
      <c r="AL1467" s="5">
        <f t="shared" si="208"/>
        <v>0.46612272727272724</v>
      </c>
    </row>
    <row r="1468" spans="1:38" x14ac:dyDescent="0.2">
      <c r="A1468" s="2">
        <v>2025</v>
      </c>
      <c r="B1468" s="2">
        <v>7</v>
      </c>
      <c r="C1468" s="2" t="s">
        <v>3423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06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01"/>
        <v>0</v>
      </c>
      <c r="AJ1468" s="2">
        <f t="shared" si="202"/>
        <v>0</v>
      </c>
      <c r="AK1468" s="2">
        <f t="shared" si="207"/>
        <v>0</v>
      </c>
      <c r="AL1468" s="5">
        <f t="shared" si="208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06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01"/>
        <v>0</v>
      </c>
      <c r="AJ1469" s="2">
        <f t="shared" si="202"/>
        <v>0</v>
      </c>
      <c r="AK1469" s="2">
        <f t="shared" si="207"/>
        <v>1900</v>
      </c>
      <c r="AL1469" s="5">
        <f t="shared" si="208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01"/>
        <v>0</v>
      </c>
      <c r="AJ1470" s="2">
        <f t="shared" si="202"/>
        <v>0</v>
      </c>
    </row>
    <row r="1471" spans="1:38" x14ac:dyDescent="0.2">
      <c r="A1471" s="2">
        <v>2025</v>
      </c>
      <c r="B1471" s="2">
        <v>7</v>
      </c>
      <c r="C1471" s="2" t="s">
        <v>3423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09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01"/>
        <v>0</v>
      </c>
      <c r="AJ1471" s="2">
        <f t="shared" si="202"/>
        <v>0</v>
      </c>
      <c r="AK1471" s="2">
        <f t="shared" ref="AK1471:AK1512" si="210">T1471-W1471</f>
        <v>1023.1600000000001</v>
      </c>
      <c r="AL1471" s="5">
        <f t="shared" ref="AL1471:AL1512" si="211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09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01"/>
        <v>0</v>
      </c>
      <c r="AJ1472" s="2">
        <f t="shared" si="202"/>
        <v>0</v>
      </c>
      <c r="AK1472" s="2">
        <f t="shared" si="210"/>
        <v>30</v>
      </c>
      <c r="AL1472" s="5">
        <f t="shared" si="211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09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01"/>
        <v>0</v>
      </c>
      <c r="AJ1473" s="2">
        <f t="shared" si="202"/>
        <v>0</v>
      </c>
      <c r="AK1473" s="2">
        <f t="shared" si="210"/>
        <v>50</v>
      </c>
      <c r="AL1473" s="5">
        <f t="shared" si="211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09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12">AJ1474</f>
        <v>0</v>
      </c>
      <c r="AJ1474" s="2">
        <f t="shared" ref="AJ1474:AJ1537" si="213">AI1474*T1474</f>
        <v>0</v>
      </c>
      <c r="AK1474" s="2">
        <f t="shared" si="210"/>
        <v>2.7650000000000006</v>
      </c>
      <c r="AL1474" s="5">
        <f t="shared" si="211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09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12"/>
        <v>0</v>
      </c>
      <c r="AG1475" s="2">
        <v>10.6</v>
      </c>
      <c r="AH1475" s="2">
        <v>18</v>
      </c>
      <c r="AJ1475" s="2">
        <f t="shared" si="213"/>
        <v>0</v>
      </c>
      <c r="AK1475" s="2">
        <f t="shared" si="210"/>
        <v>7.8000000000000007</v>
      </c>
      <c r="AL1475" s="5">
        <f t="shared" si="211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09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12"/>
        <v>0</v>
      </c>
      <c r="AG1476" s="2">
        <v>9.14</v>
      </c>
      <c r="AH1476" s="2">
        <v>16</v>
      </c>
      <c r="AJ1476" s="2">
        <f t="shared" si="213"/>
        <v>0</v>
      </c>
      <c r="AK1476" s="2">
        <f t="shared" si="210"/>
        <v>2.8600000000000012</v>
      </c>
      <c r="AL1476" s="5">
        <f t="shared" si="211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09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12"/>
        <v>0</v>
      </c>
      <c r="AG1477" s="2">
        <v>8.1999999999999993</v>
      </c>
      <c r="AH1477" s="2">
        <v>13</v>
      </c>
      <c r="AJ1477" s="2">
        <f t="shared" si="213"/>
        <v>0</v>
      </c>
      <c r="AK1477" s="2">
        <f t="shared" si="210"/>
        <v>5.3999999999999986</v>
      </c>
      <c r="AL1477" s="5">
        <f t="shared" si="211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09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12"/>
        <v>0</v>
      </c>
      <c r="AJ1478" s="2">
        <f t="shared" si="213"/>
        <v>0</v>
      </c>
      <c r="AK1478" s="2">
        <f t="shared" si="210"/>
        <v>100.46</v>
      </c>
      <c r="AL1478" s="5">
        <f t="shared" si="211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09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12"/>
        <v>0</v>
      </c>
      <c r="AJ1479" s="2">
        <f t="shared" si="213"/>
        <v>0</v>
      </c>
      <c r="AK1479" s="2">
        <f t="shared" si="210"/>
        <v>118.02</v>
      </c>
      <c r="AL1479" s="5">
        <f t="shared" si="211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09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12"/>
        <v>0</v>
      </c>
      <c r="AJ1480" s="2">
        <f t="shared" si="213"/>
        <v>0</v>
      </c>
      <c r="AK1480" s="2">
        <f t="shared" si="210"/>
        <v>117.70999999999998</v>
      </c>
      <c r="AL1480" s="5">
        <f t="shared" si="211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09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12"/>
        <v>0</v>
      </c>
      <c r="AJ1481" s="2">
        <f t="shared" si="213"/>
        <v>0</v>
      </c>
      <c r="AK1481" s="2">
        <f t="shared" si="210"/>
        <v>108.13999999999999</v>
      </c>
      <c r="AL1481" s="5">
        <f t="shared" si="211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09"/>
        <v>0.08</v>
      </c>
      <c r="Z1482" s="2" t="s">
        <v>169</v>
      </c>
      <c r="AA1482" s="2" t="s">
        <v>169</v>
      </c>
      <c r="AF1482" s="2">
        <f t="shared" si="212"/>
        <v>0</v>
      </c>
      <c r="AJ1482" s="2">
        <f t="shared" si="213"/>
        <v>0</v>
      </c>
      <c r="AK1482" s="2">
        <f t="shared" si="210"/>
        <v>4</v>
      </c>
      <c r="AL1482" s="5">
        <f t="shared" si="211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09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12"/>
        <v>0</v>
      </c>
      <c r="AJ1483" s="2">
        <f t="shared" si="213"/>
        <v>0</v>
      </c>
      <c r="AK1483" s="2">
        <f t="shared" si="210"/>
        <v>0</v>
      </c>
      <c r="AL1483" s="5">
        <f t="shared" si="211"/>
        <v>0</v>
      </c>
    </row>
    <row r="1484" spans="1:38" x14ac:dyDescent="0.2">
      <c r="A1484" s="2">
        <v>2025</v>
      </c>
      <c r="B1484" s="2">
        <v>6</v>
      </c>
      <c r="C1484" s="2" t="s">
        <v>3392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09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12"/>
        <v>0</v>
      </c>
      <c r="AG1484" s="2">
        <v>5.2972999999999999</v>
      </c>
      <c r="AH1484" s="2">
        <v>10.8</v>
      </c>
      <c r="AJ1484" s="2">
        <f t="shared" si="213"/>
        <v>0</v>
      </c>
      <c r="AK1484" s="2">
        <f t="shared" si="210"/>
        <v>8.6053999999999995</v>
      </c>
      <c r="AL1484" s="5">
        <f t="shared" si="211"/>
        <v>0.44819791666666664</v>
      </c>
    </row>
    <row r="1485" spans="1:38" x14ac:dyDescent="0.2">
      <c r="A1485" s="2">
        <v>2025</v>
      </c>
      <c r="B1485" s="2">
        <v>6</v>
      </c>
      <c r="C1485" s="2" t="s">
        <v>3392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09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12"/>
        <v>0</v>
      </c>
      <c r="AG1485" s="2">
        <v>10.6</v>
      </c>
      <c r="AH1485" s="2">
        <v>18</v>
      </c>
      <c r="AJ1485" s="2">
        <f t="shared" si="213"/>
        <v>0</v>
      </c>
      <c r="AK1485" s="2">
        <f t="shared" si="210"/>
        <v>22.200000000000003</v>
      </c>
      <c r="AL1485" s="5">
        <f t="shared" si="211"/>
        <v>0.41111111111111115</v>
      </c>
    </row>
    <row r="1486" spans="1:38" x14ac:dyDescent="0.2">
      <c r="A1486" s="2">
        <v>2025</v>
      </c>
      <c r="B1486" s="2">
        <v>6</v>
      </c>
      <c r="C1486" s="2" t="s">
        <v>3392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09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12"/>
        <v>0</v>
      </c>
      <c r="AJ1486" s="2">
        <f t="shared" si="213"/>
        <v>0</v>
      </c>
      <c r="AK1486" s="2">
        <f t="shared" si="210"/>
        <v>9.7200000000000024</v>
      </c>
      <c r="AL1486" s="5">
        <f t="shared" si="211"/>
        <v>0.34714285714285725</v>
      </c>
    </row>
    <row r="1487" spans="1:38" x14ac:dyDescent="0.2">
      <c r="A1487" s="2">
        <v>2025</v>
      </c>
      <c r="B1487" s="2">
        <v>6</v>
      </c>
      <c r="C1487" s="2" t="s">
        <v>3392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09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12"/>
        <v>0</v>
      </c>
      <c r="AJ1487" s="2">
        <f t="shared" si="213"/>
        <v>0</v>
      </c>
      <c r="AK1487" s="2">
        <f t="shared" si="210"/>
        <v>13</v>
      </c>
      <c r="AL1487" s="5">
        <f t="shared" si="211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09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12"/>
        <v>0</v>
      </c>
      <c r="AJ1488" s="2">
        <f t="shared" si="213"/>
        <v>0</v>
      </c>
      <c r="AK1488" s="2">
        <f t="shared" si="210"/>
        <v>80.400000000000006</v>
      </c>
      <c r="AL1488" s="5">
        <f t="shared" si="211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09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12"/>
        <v>0</v>
      </c>
      <c r="AJ1489" s="2">
        <f t="shared" si="213"/>
        <v>0</v>
      </c>
      <c r="AK1489" s="2">
        <f t="shared" si="210"/>
        <v>50</v>
      </c>
      <c r="AL1489" s="5">
        <f t="shared" si="211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09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12"/>
        <v>0</v>
      </c>
      <c r="AG1490" s="2">
        <v>10.6</v>
      </c>
      <c r="AH1490" s="2">
        <v>18</v>
      </c>
      <c r="AJ1490" s="2">
        <f t="shared" si="213"/>
        <v>0</v>
      </c>
      <c r="AK1490" s="2">
        <f t="shared" si="210"/>
        <v>64</v>
      </c>
      <c r="AL1490" s="5">
        <f t="shared" si="211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09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12"/>
        <v>0</v>
      </c>
      <c r="AG1491" s="2">
        <v>8.1999999999999993</v>
      </c>
      <c r="AH1491" s="2">
        <v>13</v>
      </c>
      <c r="AJ1491" s="2">
        <f t="shared" si="213"/>
        <v>0</v>
      </c>
      <c r="AK1491" s="2">
        <f t="shared" si="210"/>
        <v>14</v>
      </c>
      <c r="AL1491" s="5">
        <f t="shared" si="211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09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12"/>
        <v>0</v>
      </c>
      <c r="AG1492" s="2">
        <v>15.020300000000001</v>
      </c>
      <c r="AH1492" s="2">
        <v>27.6</v>
      </c>
      <c r="AJ1492" s="2">
        <f t="shared" si="213"/>
        <v>0</v>
      </c>
      <c r="AK1492" s="2">
        <f t="shared" si="210"/>
        <v>24.898499999999999</v>
      </c>
      <c r="AL1492" s="5">
        <f t="shared" si="211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09"/>
        <v>1</v>
      </c>
      <c r="Z1493" s="2" t="s">
        <v>117</v>
      </c>
      <c r="AF1493" s="2">
        <f t="shared" si="212"/>
        <v>0</v>
      </c>
      <c r="AJ1493" s="2">
        <f t="shared" si="213"/>
        <v>0</v>
      </c>
      <c r="AK1493" s="2">
        <f t="shared" si="210"/>
        <v>390.29</v>
      </c>
      <c r="AL1493" s="5">
        <f t="shared" si="211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09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12"/>
        <v>0</v>
      </c>
      <c r="AJ1494" s="2">
        <f t="shared" si="213"/>
        <v>0</v>
      </c>
      <c r="AK1494" s="2">
        <f t="shared" si="210"/>
        <v>22.027999999999999</v>
      </c>
      <c r="AL1494" s="5">
        <f t="shared" si="211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09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12"/>
        <v>0</v>
      </c>
      <c r="AJ1495" s="2">
        <f t="shared" si="213"/>
        <v>0</v>
      </c>
      <c r="AK1495" s="2">
        <f t="shared" si="210"/>
        <v>81.028999999999996</v>
      </c>
      <c r="AL1495" s="5">
        <f t="shared" si="211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09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12"/>
        <v>0</v>
      </c>
      <c r="AG1496" s="2">
        <v>5.33</v>
      </c>
      <c r="AJ1496" s="2">
        <f t="shared" si="213"/>
        <v>0</v>
      </c>
      <c r="AK1496" s="2">
        <f t="shared" si="210"/>
        <v>35.83</v>
      </c>
      <c r="AL1496" s="5">
        <f t="shared" si="211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09"/>
        <v>0.14285714285714285</v>
      </c>
      <c r="Z1497" s="2" t="s">
        <v>169</v>
      </c>
      <c r="AA1497" s="2" t="s">
        <v>169</v>
      </c>
      <c r="AF1497" s="2">
        <f t="shared" si="212"/>
        <v>0</v>
      </c>
      <c r="AJ1497" s="2">
        <f t="shared" si="213"/>
        <v>0</v>
      </c>
      <c r="AK1497" s="2">
        <f t="shared" si="210"/>
        <v>1</v>
      </c>
      <c r="AL1497" s="5">
        <f t="shared" si="211"/>
        <v>0.14285714285714285</v>
      </c>
    </row>
    <row r="1498" spans="1:38" x14ac:dyDescent="0.2">
      <c r="A1498" s="2">
        <v>2025</v>
      </c>
      <c r="B1498" s="2">
        <v>6</v>
      </c>
      <c r="C1498" s="2" t="s">
        <v>3416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09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12"/>
        <v>0</v>
      </c>
      <c r="AJ1498" s="2">
        <f t="shared" si="213"/>
        <v>0</v>
      </c>
      <c r="AK1498" s="2">
        <f t="shared" si="210"/>
        <v>800</v>
      </c>
      <c r="AL1498" s="5">
        <f t="shared" si="211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209"/>
        <v>1</v>
      </c>
      <c r="Z1499" s="2" t="s">
        <v>119</v>
      </c>
      <c r="AA1499" s="2" t="s">
        <v>3379</v>
      </c>
      <c r="AF1499" s="2">
        <f t="shared" si="212"/>
        <v>0</v>
      </c>
      <c r="AJ1499" s="2">
        <f t="shared" si="213"/>
        <v>0</v>
      </c>
      <c r="AK1499" s="2">
        <f t="shared" si="210"/>
        <v>21.6</v>
      </c>
      <c r="AL1499" s="5">
        <f t="shared" si="211"/>
        <v>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09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12"/>
        <v>0</v>
      </c>
      <c r="AJ1500" s="2">
        <f t="shared" si="213"/>
        <v>0</v>
      </c>
      <c r="AK1500" s="2">
        <f t="shared" si="210"/>
        <v>1186.9499999999998</v>
      </c>
      <c r="AL1500" s="5">
        <f t="shared" si="211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09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12"/>
        <v>0</v>
      </c>
      <c r="AJ1501" s="2">
        <f t="shared" si="213"/>
        <v>0</v>
      </c>
      <c r="AK1501" s="2">
        <f t="shared" si="210"/>
        <v>427.27660000000003</v>
      </c>
      <c r="AL1501" s="5">
        <f t="shared" si="211"/>
        <v>0.44507979166666672</v>
      </c>
    </row>
    <row r="1502" spans="1:38" x14ac:dyDescent="0.2">
      <c r="A1502" s="2">
        <v>2025</v>
      </c>
      <c r="B1502" s="2">
        <v>6</v>
      </c>
      <c r="C1502" s="2" t="s">
        <v>3416</v>
      </c>
      <c r="D1502" s="2" t="s">
        <v>3415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09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12"/>
        <v>0</v>
      </c>
      <c r="AJ1502" s="2">
        <f t="shared" si="213"/>
        <v>0</v>
      </c>
      <c r="AK1502" s="2">
        <f t="shared" si="210"/>
        <v>445.75549999999998</v>
      </c>
      <c r="AL1502" s="5">
        <f t="shared" si="211"/>
        <v>0.26376065088757394</v>
      </c>
    </row>
    <row r="1503" spans="1:38" x14ac:dyDescent="0.2">
      <c r="A1503" s="2">
        <v>2025</v>
      </c>
      <c r="B1503" s="2">
        <v>6</v>
      </c>
      <c r="C1503" s="2" t="s">
        <v>3416</v>
      </c>
      <c r="D1503" s="2" t="s">
        <v>3415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09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12"/>
        <v>0</v>
      </c>
      <c r="AJ1503" s="2">
        <f t="shared" si="213"/>
        <v>0</v>
      </c>
      <c r="AK1503" s="2">
        <f t="shared" si="210"/>
        <v>4320.6000000000004</v>
      </c>
      <c r="AL1503" s="5">
        <f t="shared" si="211"/>
        <v>0.28823215476984659</v>
      </c>
    </row>
    <row r="1504" spans="1:38" x14ac:dyDescent="0.2">
      <c r="A1504" s="2">
        <v>2025</v>
      </c>
      <c r="B1504" s="2">
        <v>6</v>
      </c>
      <c r="C1504" s="2" t="s">
        <v>3416</v>
      </c>
      <c r="D1504" s="2" t="s">
        <v>3415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09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12"/>
        <v>0</v>
      </c>
      <c r="AJ1504" s="2">
        <f t="shared" si="213"/>
        <v>0</v>
      </c>
      <c r="AK1504" s="2">
        <f t="shared" si="210"/>
        <v>1300.81</v>
      </c>
      <c r="AL1504" s="5">
        <f t="shared" si="211"/>
        <v>0.28401965065502183</v>
      </c>
    </row>
    <row r="1505" spans="1:38" x14ac:dyDescent="0.2">
      <c r="A1505" s="2">
        <v>2025</v>
      </c>
      <c r="B1505" s="2">
        <v>6</v>
      </c>
      <c r="C1505" s="2" t="s">
        <v>3416</v>
      </c>
      <c r="D1505" s="2" t="s">
        <v>3415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09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12"/>
        <v>0</v>
      </c>
      <c r="AJ1505" s="2">
        <f t="shared" si="213"/>
        <v>0</v>
      </c>
      <c r="AK1505" s="2">
        <f t="shared" si="210"/>
        <v>1347.37</v>
      </c>
      <c r="AL1505" s="5">
        <f t="shared" si="211"/>
        <v>0.28728571428571426</v>
      </c>
    </row>
    <row r="1506" spans="1:38" x14ac:dyDescent="0.2">
      <c r="A1506" s="2">
        <v>2025</v>
      </c>
      <c r="B1506" s="2">
        <v>6</v>
      </c>
      <c r="C1506" s="2" t="s">
        <v>3416</v>
      </c>
      <c r="D1506" s="2" t="s">
        <v>3415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09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12"/>
        <v>0</v>
      </c>
      <c r="AJ1506" s="2">
        <f t="shared" si="213"/>
        <v>0</v>
      </c>
      <c r="AK1506" s="2">
        <f t="shared" si="210"/>
        <v>5351.66</v>
      </c>
      <c r="AL1506" s="5">
        <f t="shared" si="211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09"/>
        <v>1</v>
      </c>
      <c r="Z1507" s="2" t="s">
        <v>117</v>
      </c>
      <c r="AF1507" s="2">
        <f t="shared" si="212"/>
        <v>0</v>
      </c>
      <c r="AJ1507" s="2">
        <f t="shared" si="213"/>
        <v>0</v>
      </c>
      <c r="AK1507" s="2">
        <f t="shared" si="210"/>
        <v>80.7</v>
      </c>
      <c r="AL1507" s="5">
        <f t="shared" si="211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09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12"/>
        <v>0</v>
      </c>
      <c r="AJ1508" s="2">
        <f t="shared" si="213"/>
        <v>0</v>
      </c>
      <c r="AK1508" s="2">
        <f t="shared" si="210"/>
        <v>17.650000000000006</v>
      </c>
      <c r="AL1508" s="5">
        <f t="shared" si="211"/>
        <v>0.25579710144927542</v>
      </c>
    </row>
    <row r="1509" spans="1:38" x14ac:dyDescent="0.2">
      <c r="A1509" s="2">
        <v>2025</v>
      </c>
      <c r="B1509" s="2">
        <v>6</v>
      </c>
      <c r="C1509" s="2" t="s">
        <v>3323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09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12"/>
        <v>0</v>
      </c>
      <c r="AJ1509" s="2">
        <f t="shared" si="213"/>
        <v>0</v>
      </c>
      <c r="AK1509" s="2">
        <f t="shared" si="210"/>
        <v>1160.8866</v>
      </c>
      <c r="AL1509" s="5">
        <f t="shared" si="211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09"/>
        <v>1</v>
      </c>
      <c r="Z1510" s="2" t="s">
        <v>117</v>
      </c>
      <c r="AF1510" s="2">
        <f t="shared" si="212"/>
        <v>0</v>
      </c>
      <c r="AJ1510" s="2">
        <f t="shared" si="213"/>
        <v>0</v>
      </c>
      <c r="AK1510" s="2">
        <f t="shared" si="210"/>
        <v>1120.44</v>
      </c>
      <c r="AL1510" s="5">
        <f t="shared" si="211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09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12"/>
        <v>0</v>
      </c>
      <c r="AJ1511" s="2">
        <f t="shared" si="213"/>
        <v>0</v>
      </c>
      <c r="AK1511" s="2">
        <f t="shared" si="210"/>
        <v>22.5</v>
      </c>
      <c r="AL1511" s="5">
        <f t="shared" si="211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09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12"/>
        <v>0</v>
      </c>
      <c r="AJ1512" s="2">
        <f t="shared" si="213"/>
        <v>0</v>
      </c>
      <c r="AK1512" s="2">
        <f t="shared" si="210"/>
        <v>135</v>
      </c>
      <c r="AL1512" s="5">
        <f t="shared" si="211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119</v>
      </c>
      <c r="AA1513" s="2" t="s">
        <v>142</v>
      </c>
      <c r="AF1513" s="2">
        <f t="shared" si="212"/>
        <v>0</v>
      </c>
      <c r="AJ1513" s="2">
        <f t="shared" si="213"/>
        <v>0</v>
      </c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12"/>
        <v>0</v>
      </c>
      <c r="AJ1514" s="2">
        <f t="shared" si="213"/>
        <v>0</v>
      </c>
      <c r="AK1514" s="2">
        <f t="shared" ref="AK1514:AK1552" si="214">T1514-W1514</f>
        <v>106.28100000000001</v>
      </c>
      <c r="AL1514" s="5">
        <f t="shared" ref="AL1514:AL1552" si="215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12"/>
        <v>0</v>
      </c>
      <c r="AJ1515" s="2">
        <f t="shared" si="213"/>
        <v>0</v>
      </c>
      <c r="AK1515" s="2">
        <f t="shared" si="214"/>
        <v>100.65799999999999</v>
      </c>
      <c r="AL1515" s="5">
        <f t="shared" si="215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12"/>
        <v>0</v>
      </c>
      <c r="AG1516" s="2">
        <v>117.453</v>
      </c>
      <c r="AH1516" s="2">
        <v>220</v>
      </c>
      <c r="AJ1516" s="2">
        <f t="shared" si="213"/>
        <v>0</v>
      </c>
      <c r="AK1516" s="2">
        <f t="shared" si="214"/>
        <v>0</v>
      </c>
      <c r="AL1516" s="5" t="e">
        <f t="shared" si="215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12"/>
        <v>0</v>
      </c>
      <c r="AJ1517" s="2">
        <f t="shared" si="213"/>
        <v>0</v>
      </c>
      <c r="AK1517" s="2">
        <f t="shared" si="214"/>
        <v>0</v>
      </c>
      <c r="AL1517" s="5" t="e">
        <f t="shared" si="215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16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12"/>
        <v>0</v>
      </c>
      <c r="AJ1518" s="2">
        <f t="shared" si="213"/>
        <v>0</v>
      </c>
      <c r="AK1518" s="2">
        <f t="shared" si="214"/>
        <v>30</v>
      </c>
      <c r="AL1518" s="5">
        <f t="shared" si="215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16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12"/>
        <v>0</v>
      </c>
      <c r="AJ1519" s="2">
        <f t="shared" si="213"/>
        <v>0</v>
      </c>
      <c r="AK1519" s="2">
        <f t="shared" si="214"/>
        <v>25</v>
      </c>
      <c r="AL1519" s="5">
        <f t="shared" si="215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216"/>
        <v>1</v>
      </c>
      <c r="Z1520" s="2" t="s">
        <v>119</v>
      </c>
      <c r="AA1520" s="2" t="s">
        <v>3379</v>
      </c>
      <c r="AF1520" s="2">
        <f t="shared" si="212"/>
        <v>0</v>
      </c>
      <c r="AJ1520" s="2">
        <f t="shared" si="213"/>
        <v>0</v>
      </c>
      <c r="AK1520" s="2">
        <f t="shared" si="214"/>
        <v>303</v>
      </c>
      <c r="AL1520" s="5">
        <f t="shared" si="215"/>
        <v>1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16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12"/>
        <v>0</v>
      </c>
      <c r="AG1521" s="2">
        <v>117.453</v>
      </c>
      <c r="AH1521" s="2">
        <v>220</v>
      </c>
      <c r="AJ1521" s="2">
        <f t="shared" si="213"/>
        <v>0</v>
      </c>
      <c r="AK1521" s="2">
        <f t="shared" si="214"/>
        <v>92.546999999999997</v>
      </c>
      <c r="AL1521" s="5">
        <f t="shared" si="215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16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12"/>
        <v>0</v>
      </c>
      <c r="AJ1522" s="2">
        <f t="shared" si="213"/>
        <v>0</v>
      </c>
      <c r="AK1522" s="2">
        <f t="shared" si="214"/>
        <v>0</v>
      </c>
      <c r="AL1522" s="5">
        <f t="shared" si="215"/>
        <v>0</v>
      </c>
    </row>
    <row r="1523" spans="1:38" x14ac:dyDescent="0.2">
      <c r="A1523" s="2">
        <v>2025</v>
      </c>
      <c r="B1523" s="2">
        <v>6</v>
      </c>
      <c r="C1523" s="2" t="s">
        <v>3416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16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12"/>
        <v>0</v>
      </c>
      <c r="AJ1523" s="2">
        <f t="shared" si="213"/>
        <v>0</v>
      </c>
      <c r="AK1523" s="2">
        <f t="shared" si="214"/>
        <v>23.35</v>
      </c>
      <c r="AL1523" s="5">
        <f t="shared" si="215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16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12"/>
        <v>0</v>
      </c>
      <c r="AG1524" s="2">
        <v>117.453</v>
      </c>
      <c r="AH1524" s="2">
        <v>220</v>
      </c>
      <c r="AJ1524" s="2">
        <f t="shared" si="213"/>
        <v>0</v>
      </c>
      <c r="AK1524" s="2">
        <f t="shared" si="214"/>
        <v>82.546999999999997</v>
      </c>
      <c r="AL1524" s="5">
        <f t="shared" si="215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16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12"/>
        <v>0</v>
      </c>
      <c r="AG1525" s="2">
        <v>1.1399999999999999</v>
      </c>
      <c r="AH1525" s="2">
        <v>1.1399999999999999</v>
      </c>
      <c r="AJ1525" s="2">
        <f t="shared" si="213"/>
        <v>0</v>
      </c>
      <c r="AK1525" s="2">
        <f t="shared" si="214"/>
        <v>0</v>
      </c>
      <c r="AL1525" s="5">
        <f t="shared" si="215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16"/>
        <v>1</v>
      </c>
      <c r="Z1526" s="2" t="s">
        <v>117</v>
      </c>
      <c r="AF1526" s="2">
        <f t="shared" si="212"/>
        <v>0</v>
      </c>
      <c r="AJ1526" s="2">
        <f t="shared" si="213"/>
        <v>0</v>
      </c>
      <c r="AK1526" s="2">
        <f t="shared" si="214"/>
        <v>73.69</v>
      </c>
      <c r="AL1526" s="5">
        <f t="shared" si="215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16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12"/>
        <v>0</v>
      </c>
      <c r="AJ1527" s="2">
        <f t="shared" si="213"/>
        <v>0</v>
      </c>
      <c r="AK1527" s="2">
        <f t="shared" si="214"/>
        <v>128.39999999999998</v>
      </c>
      <c r="AL1527" s="5">
        <f t="shared" si="215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16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12"/>
        <v>0</v>
      </c>
      <c r="AJ1528" s="2">
        <f t="shared" si="213"/>
        <v>0</v>
      </c>
      <c r="AK1528" s="2">
        <f t="shared" si="214"/>
        <v>45</v>
      </c>
      <c r="AL1528" s="5">
        <f t="shared" si="215"/>
        <v>0.5</v>
      </c>
    </row>
    <row r="1529" spans="1:38" x14ac:dyDescent="0.2">
      <c r="A1529" s="2">
        <v>2025</v>
      </c>
      <c r="B1529" s="2">
        <v>6</v>
      </c>
      <c r="C1529" s="2" t="s">
        <v>3323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16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12"/>
        <v>0</v>
      </c>
      <c r="AJ1529" s="2">
        <f t="shared" si="213"/>
        <v>0</v>
      </c>
      <c r="AK1529" s="2">
        <f t="shared" si="214"/>
        <v>35</v>
      </c>
      <c r="AL1529" s="5">
        <f t="shared" si="215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16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12"/>
        <v>0</v>
      </c>
      <c r="AJ1530" s="2">
        <f t="shared" si="213"/>
        <v>0</v>
      </c>
      <c r="AK1530" s="2">
        <f t="shared" si="214"/>
        <v>22.027999999999999</v>
      </c>
      <c r="AL1530" s="5">
        <f t="shared" si="215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16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12"/>
        <v>0</v>
      </c>
      <c r="AJ1531" s="2">
        <f t="shared" si="213"/>
        <v>0</v>
      </c>
      <c r="AK1531" s="2">
        <f t="shared" si="214"/>
        <v>22.027999999999999</v>
      </c>
      <c r="AL1531" s="5">
        <f t="shared" si="215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16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12"/>
        <v>0</v>
      </c>
      <c r="AJ1532" s="2">
        <f t="shared" si="213"/>
        <v>0</v>
      </c>
      <c r="AK1532" s="2">
        <f t="shared" si="214"/>
        <v>30</v>
      </c>
      <c r="AL1532" s="5">
        <f t="shared" si="215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16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12"/>
        <v>0</v>
      </c>
      <c r="AJ1533" s="2">
        <f t="shared" si="213"/>
        <v>0</v>
      </c>
      <c r="AK1533" s="2">
        <f t="shared" si="214"/>
        <v>25</v>
      </c>
      <c r="AL1533" s="5">
        <f t="shared" si="215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16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12"/>
        <v>0</v>
      </c>
      <c r="AJ1534" s="2">
        <f t="shared" si="213"/>
        <v>0</v>
      </c>
      <c r="AK1534" s="2">
        <f t="shared" si="214"/>
        <v>119.39999999999999</v>
      </c>
      <c r="AL1534" s="5">
        <f t="shared" si="215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16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12"/>
        <v>0</v>
      </c>
      <c r="AG1535" s="2">
        <v>75</v>
      </c>
      <c r="AJ1535" s="2">
        <f t="shared" si="213"/>
        <v>0</v>
      </c>
      <c r="AK1535" s="2">
        <f t="shared" si="214"/>
        <v>75</v>
      </c>
      <c r="AL1535" s="5">
        <f t="shared" si="215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16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12"/>
        <v>0</v>
      </c>
      <c r="AJ1536" s="2">
        <f t="shared" si="213"/>
        <v>0</v>
      </c>
      <c r="AK1536" s="2">
        <f t="shared" si="214"/>
        <v>278</v>
      </c>
      <c r="AL1536" s="5">
        <f t="shared" si="215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16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12"/>
        <v>0</v>
      </c>
      <c r="AG1537" s="2">
        <v>121.46</v>
      </c>
      <c r="AH1537" s="2">
        <v>210</v>
      </c>
      <c r="AJ1537" s="2">
        <f t="shared" si="213"/>
        <v>0</v>
      </c>
      <c r="AK1537" s="2">
        <f t="shared" si="214"/>
        <v>88.54</v>
      </c>
      <c r="AL1537" s="5">
        <f t="shared" si="215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16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17">AJ1538</f>
        <v>0</v>
      </c>
      <c r="AJ1538" s="2">
        <f t="shared" ref="AJ1538:AJ1601" si="218">AI1538*T1538</f>
        <v>0</v>
      </c>
      <c r="AK1538" s="2">
        <f t="shared" si="214"/>
        <v>0</v>
      </c>
      <c r="AL1538" s="5">
        <f t="shared" si="215"/>
        <v>0</v>
      </c>
    </row>
    <row r="1539" spans="1:38" x14ac:dyDescent="0.2">
      <c r="A1539" s="2">
        <v>2025</v>
      </c>
      <c r="B1539" s="2">
        <v>6</v>
      </c>
      <c r="C1539" s="2" t="s">
        <v>3392</v>
      </c>
      <c r="D1539" s="2" t="s">
        <v>3406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16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17"/>
        <v>0</v>
      </c>
      <c r="AG1539" s="2">
        <v>796.8</v>
      </c>
      <c r="AJ1539" s="2">
        <f t="shared" si="218"/>
        <v>0</v>
      </c>
      <c r="AK1539" s="2">
        <f t="shared" si="214"/>
        <v>179.20000000000005</v>
      </c>
      <c r="AL1539" s="5">
        <f t="shared" si="215"/>
        <v>0.18360655737704923</v>
      </c>
    </row>
    <row r="1540" spans="1:38" x14ac:dyDescent="0.2">
      <c r="A1540" s="2">
        <v>2025</v>
      </c>
      <c r="B1540" s="2">
        <v>6</v>
      </c>
      <c r="C1540" s="2" t="s">
        <v>3392</v>
      </c>
      <c r="D1540" s="2" t="s">
        <v>3406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16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17"/>
        <v>0</v>
      </c>
      <c r="AG1540" s="2">
        <f>305.4+19.25</f>
        <v>324.64999999999998</v>
      </c>
      <c r="AJ1540" s="2">
        <f t="shared" si="218"/>
        <v>0</v>
      </c>
      <c r="AK1540" s="2">
        <f t="shared" si="214"/>
        <v>25.350000000000023</v>
      </c>
      <c r="AL1540" s="5">
        <f t="shared" si="215"/>
        <v>7.2428571428571495E-2</v>
      </c>
    </row>
    <row r="1541" spans="1:38" x14ac:dyDescent="0.2">
      <c r="A1541" s="2">
        <v>2025</v>
      </c>
      <c r="B1541" s="2">
        <v>6</v>
      </c>
      <c r="C1541" s="2" t="s">
        <v>3392</v>
      </c>
      <c r="D1541" s="2" t="s">
        <v>3406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16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17"/>
        <v>0</v>
      </c>
      <c r="AG1541" s="2">
        <v>319.5</v>
      </c>
      <c r="AJ1541" s="2">
        <f t="shared" si="218"/>
        <v>0</v>
      </c>
      <c r="AK1541" s="2">
        <f t="shared" si="214"/>
        <v>74.5</v>
      </c>
      <c r="AL1541" s="5">
        <f t="shared" si="215"/>
        <v>0.18908629441624367</v>
      </c>
    </row>
    <row r="1542" spans="1:38" x14ac:dyDescent="0.2">
      <c r="A1542" s="2">
        <v>2025</v>
      </c>
      <c r="B1542" s="2">
        <v>6</v>
      </c>
      <c r="C1542" s="2" t="s">
        <v>3392</v>
      </c>
      <c r="D1542" s="2" t="s">
        <v>3406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16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17"/>
        <v>0</v>
      </c>
      <c r="AG1542" s="2">
        <v>399.2</v>
      </c>
      <c r="AJ1542" s="2">
        <f t="shared" si="218"/>
        <v>0</v>
      </c>
      <c r="AK1542" s="2">
        <f t="shared" si="214"/>
        <v>350.8</v>
      </c>
      <c r="AL1542" s="5">
        <f t="shared" si="215"/>
        <v>0.46773333333333333</v>
      </c>
    </row>
    <row r="1543" spans="1:38" x14ac:dyDescent="0.2">
      <c r="A1543" s="2">
        <v>2025</v>
      </c>
      <c r="B1543" s="2">
        <v>6</v>
      </c>
      <c r="C1543" s="2" t="s">
        <v>3392</v>
      </c>
      <c r="D1543" s="2" t="s">
        <v>3406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16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17"/>
        <v>0</v>
      </c>
      <c r="AG1543" s="2">
        <f>7734.84+638.76</f>
        <v>8373.6</v>
      </c>
      <c r="AJ1543" s="2">
        <f t="shared" si="218"/>
        <v>0</v>
      </c>
      <c r="AK1543" s="2">
        <f t="shared" si="214"/>
        <v>3376.3999999999996</v>
      </c>
      <c r="AL1543" s="5">
        <f t="shared" si="215"/>
        <v>0.28735319148936167</v>
      </c>
    </row>
    <row r="1544" spans="1:38" x14ac:dyDescent="0.2">
      <c r="A1544" s="2">
        <v>2025</v>
      </c>
      <c r="B1544" s="2">
        <v>6</v>
      </c>
      <c r="C1544" s="2" t="s">
        <v>3392</v>
      </c>
      <c r="D1544" s="2" t="s">
        <v>3406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16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17"/>
        <v>0</v>
      </c>
      <c r="AG1544" s="2">
        <f>2084.42+172</f>
        <v>2256.42</v>
      </c>
      <c r="AJ1544" s="2">
        <f t="shared" si="218"/>
        <v>0</v>
      </c>
      <c r="AK1544" s="2">
        <f t="shared" si="214"/>
        <v>3343.58</v>
      </c>
      <c r="AL1544" s="5">
        <f t="shared" si="215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16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17"/>
        <v>0</v>
      </c>
      <c r="AJ1545" s="2">
        <f t="shared" si="218"/>
        <v>0</v>
      </c>
      <c r="AK1545" s="2">
        <f t="shared" si="214"/>
        <v>20</v>
      </c>
      <c r="AL1545" s="5">
        <f t="shared" si="215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16"/>
        <v>1</v>
      </c>
      <c r="Z1546" s="2" t="s">
        <v>117</v>
      </c>
      <c r="AF1546" s="2">
        <f t="shared" si="217"/>
        <v>0</v>
      </c>
      <c r="AJ1546" s="2">
        <f t="shared" si="218"/>
        <v>0</v>
      </c>
      <c r="AK1546" s="2">
        <f t="shared" si="214"/>
        <v>108.89</v>
      </c>
      <c r="AL1546" s="5">
        <f t="shared" si="215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16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17"/>
        <v>0</v>
      </c>
      <c r="AJ1547" s="2">
        <f t="shared" si="218"/>
        <v>0</v>
      </c>
      <c r="AK1547" s="2">
        <f t="shared" si="214"/>
        <v>60.75</v>
      </c>
      <c r="AL1547" s="5">
        <f t="shared" si="215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16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17"/>
        <v>0</v>
      </c>
      <c r="AJ1548" s="2">
        <f t="shared" si="218"/>
        <v>0</v>
      </c>
      <c r="AK1548" s="2">
        <f t="shared" si="214"/>
        <v>33.299999999999997</v>
      </c>
      <c r="AL1548" s="5">
        <f t="shared" si="215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16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17"/>
        <v>0</v>
      </c>
      <c r="AJ1549" s="2">
        <f t="shared" si="218"/>
        <v>0</v>
      </c>
      <c r="AK1549" s="2">
        <f t="shared" si="214"/>
        <v>16.875</v>
      </c>
      <c r="AL1549" s="5">
        <f t="shared" si="215"/>
        <v>0.5</v>
      </c>
    </row>
    <row r="1550" spans="1:38" x14ac:dyDescent="0.2">
      <c r="A1550" s="2">
        <v>2025</v>
      </c>
      <c r="B1550" s="2">
        <v>6</v>
      </c>
      <c r="C1550" s="2" t="s">
        <v>3416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16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17"/>
        <v>0</v>
      </c>
      <c r="AJ1550" s="2">
        <f t="shared" si="218"/>
        <v>0</v>
      </c>
      <c r="AK1550" s="2">
        <f t="shared" si="214"/>
        <v>9320.6</v>
      </c>
      <c r="AL1550" s="5">
        <f t="shared" si="215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16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17"/>
        <v>0</v>
      </c>
      <c r="AG1551" s="2">
        <v>111.98</v>
      </c>
      <c r="AH1551" s="2">
        <v>210</v>
      </c>
      <c r="AJ1551" s="2">
        <f t="shared" si="218"/>
        <v>0</v>
      </c>
      <c r="AK1551" s="2">
        <f t="shared" si="214"/>
        <v>98.02</v>
      </c>
      <c r="AL1551" s="5">
        <f t="shared" si="215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16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17"/>
        <v>0</v>
      </c>
      <c r="AJ1552" s="2">
        <f t="shared" si="218"/>
        <v>0</v>
      </c>
      <c r="AK1552" s="2">
        <f t="shared" si="214"/>
        <v>0</v>
      </c>
      <c r="AL1552" s="5">
        <f t="shared" si="215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17"/>
        <v>0</v>
      </c>
      <c r="AJ1553" s="2">
        <f t="shared" si="218"/>
        <v>0</v>
      </c>
      <c r="AK1553" s="2">
        <f>T1553+(W1553)</f>
        <v>-76.699999999999989</v>
      </c>
      <c r="AL1553" s="18">
        <f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17"/>
        <v>0</v>
      </c>
      <c r="AJ1554" s="2">
        <f t="shared" si="218"/>
        <v>0</v>
      </c>
      <c r="AK1554" s="2">
        <f>T1554+(W1554)</f>
        <v>0</v>
      </c>
      <c r="AL1554" s="18">
        <f>SIGN(T1554)*((ABS(T1554)-W1554)/ABS(T1554))</f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19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17"/>
        <v>0</v>
      </c>
      <c r="AJ1555" s="2">
        <f t="shared" si="218"/>
        <v>0</v>
      </c>
      <c r="AK1555" s="2">
        <f t="shared" ref="AK1555:AK1566" si="220">T1555-W1555</f>
        <v>103.2</v>
      </c>
      <c r="AL1555" s="5">
        <f t="shared" ref="AL1555:AL1566" si="221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19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17"/>
        <v>0</v>
      </c>
      <c r="AJ1556" s="2">
        <f t="shared" si="218"/>
        <v>0</v>
      </c>
      <c r="AK1556" s="2">
        <f t="shared" si="220"/>
        <v>25</v>
      </c>
      <c r="AL1556" s="5">
        <f t="shared" si="221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19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17"/>
        <v>0</v>
      </c>
      <c r="AJ1557" s="2">
        <f t="shared" si="218"/>
        <v>0</v>
      </c>
      <c r="AK1557" s="2">
        <f t="shared" si="220"/>
        <v>132.75</v>
      </c>
      <c r="AL1557" s="5">
        <f t="shared" si="221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19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17"/>
        <v>0</v>
      </c>
      <c r="AJ1558" s="2">
        <f t="shared" si="218"/>
        <v>0</v>
      </c>
      <c r="AK1558" s="2">
        <f t="shared" si="220"/>
        <v>135</v>
      </c>
      <c r="AL1558" s="5">
        <f t="shared" si="221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19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17"/>
        <v>0</v>
      </c>
      <c r="AJ1559" s="2">
        <f t="shared" si="218"/>
        <v>0</v>
      </c>
      <c r="AK1559" s="2">
        <f t="shared" si="220"/>
        <v>59.4</v>
      </c>
      <c r="AL1559" s="5">
        <f t="shared" si="221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19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17"/>
        <v>0</v>
      </c>
      <c r="AJ1560" s="2">
        <f t="shared" si="218"/>
        <v>0</v>
      </c>
      <c r="AK1560" s="2">
        <f t="shared" si="220"/>
        <v>12.5</v>
      </c>
      <c r="AL1560" s="5">
        <f t="shared" si="221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19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17"/>
        <v>0</v>
      </c>
      <c r="AJ1561" s="2">
        <f t="shared" si="218"/>
        <v>0</v>
      </c>
      <c r="AK1561" s="2">
        <f t="shared" si="220"/>
        <v>11.060000000000002</v>
      </c>
      <c r="AL1561" s="5">
        <f t="shared" si="221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19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17"/>
        <v>0</v>
      </c>
      <c r="AJ1562" s="2">
        <f t="shared" si="218"/>
        <v>0</v>
      </c>
      <c r="AK1562" s="2">
        <f t="shared" si="220"/>
        <v>16.59</v>
      </c>
      <c r="AL1562" s="5">
        <f t="shared" si="221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19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17"/>
        <v>0</v>
      </c>
      <c r="AG1563" s="2">
        <v>3.3595999999999999</v>
      </c>
      <c r="AJ1563" s="2">
        <f t="shared" si="218"/>
        <v>0</v>
      </c>
      <c r="AK1563" s="2">
        <f t="shared" si="220"/>
        <v>2.7303999999999999</v>
      </c>
      <c r="AL1563" s="5">
        <f t="shared" si="221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19"/>
        <v>1</v>
      </c>
      <c r="Z1564" s="2" t="s">
        <v>117</v>
      </c>
      <c r="AF1564" s="2">
        <f t="shared" si="217"/>
        <v>0</v>
      </c>
      <c r="AJ1564" s="2">
        <f t="shared" si="218"/>
        <v>0</v>
      </c>
      <c r="AK1564" s="2">
        <f t="shared" si="220"/>
        <v>363.6</v>
      </c>
      <c r="AL1564" s="5">
        <f t="shared" si="221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19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17"/>
        <v>0</v>
      </c>
      <c r="AJ1565" s="2">
        <f t="shared" si="218"/>
        <v>0</v>
      </c>
      <c r="AK1565" s="2">
        <f t="shared" si="220"/>
        <v>42.599999999999994</v>
      </c>
      <c r="AL1565" s="5">
        <f t="shared" si="221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19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17"/>
        <v>0</v>
      </c>
      <c r="AJ1566" s="2">
        <f t="shared" si="218"/>
        <v>0</v>
      </c>
      <c r="AK1566" s="2">
        <f t="shared" si="220"/>
        <v>25</v>
      </c>
      <c r="AL1566" s="5">
        <f t="shared" si="221"/>
        <v>0.5</v>
      </c>
    </row>
    <row r="1567" spans="1:38" x14ac:dyDescent="0.2">
      <c r="A1567" s="2">
        <v>2025</v>
      </c>
      <c r="B1567" s="2">
        <v>6</v>
      </c>
      <c r="C1567" s="2" t="s">
        <v>3390</v>
      </c>
      <c r="D1567" s="15" t="s">
        <v>3336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17"/>
        <v>0</v>
      </c>
      <c r="AJ1567" s="2">
        <f t="shared" si="218"/>
        <v>0</v>
      </c>
      <c r="AK1567" s="2">
        <f>T1567+(W1567)</f>
        <v>-64.460000000000008</v>
      </c>
      <c r="AL1567" s="18">
        <f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3390</v>
      </c>
      <c r="D1568" s="15" t="s">
        <v>3336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17"/>
        <v>0</v>
      </c>
      <c r="AJ1568" s="2">
        <f t="shared" si="218"/>
        <v>0</v>
      </c>
      <c r="AK1568" s="2">
        <f>T1568+(W1568)</f>
        <v>0</v>
      </c>
      <c r="AL1568" s="18">
        <f>SIGN(T1568)*((ABS(T1568)-W1568)/ABS(T1568))</f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22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17"/>
        <v>0</v>
      </c>
      <c r="AJ1569" s="2">
        <f t="shared" si="218"/>
        <v>0</v>
      </c>
      <c r="AK1569" s="2">
        <f t="shared" ref="AK1569:AK1602" si="223">T1569-W1569</f>
        <v>355.75549999999998</v>
      </c>
      <c r="AL1569" s="5">
        <f t="shared" ref="AL1569:AL1589" si="224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22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17"/>
        <v>0</v>
      </c>
      <c r="AJ1570" s="2">
        <f t="shared" si="218"/>
        <v>0</v>
      </c>
      <c r="AK1570" s="2">
        <f t="shared" si="223"/>
        <v>4330.6000000000004</v>
      </c>
      <c r="AL1570" s="5">
        <f t="shared" si="224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22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17"/>
        <v>0</v>
      </c>
      <c r="AG1571" s="2">
        <v>6468.73</v>
      </c>
      <c r="AJ1571" s="2">
        <f t="shared" si="218"/>
        <v>0</v>
      </c>
      <c r="AK1571" s="2">
        <f t="shared" si="223"/>
        <v>3530.2700000000004</v>
      </c>
      <c r="AL1571" s="5">
        <f t="shared" si="224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22"/>
        <v>1</v>
      </c>
      <c r="Z1572" s="2" t="s">
        <v>104</v>
      </c>
      <c r="AF1572" s="2">
        <f t="shared" si="217"/>
        <v>0</v>
      </c>
      <c r="AJ1572" s="2">
        <f t="shared" si="218"/>
        <v>0</v>
      </c>
      <c r="AK1572" s="2">
        <f t="shared" si="223"/>
        <v>4600</v>
      </c>
      <c r="AL1572" s="5">
        <f t="shared" si="224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22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17"/>
        <v>0</v>
      </c>
      <c r="AJ1573" s="2">
        <f t="shared" si="218"/>
        <v>0</v>
      </c>
      <c r="AK1573" s="2">
        <f t="shared" si="223"/>
        <v>2650</v>
      </c>
      <c r="AL1573" s="5">
        <f t="shared" si="224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22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17"/>
        <v>0</v>
      </c>
      <c r="AJ1574" s="2">
        <f t="shared" si="218"/>
        <v>0</v>
      </c>
      <c r="AK1574" s="2">
        <f t="shared" si="223"/>
        <v>428.14</v>
      </c>
      <c r="AL1574" s="5">
        <f t="shared" si="224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22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17"/>
        <v>0</v>
      </c>
      <c r="AJ1575" s="2">
        <f t="shared" si="218"/>
        <v>0</v>
      </c>
      <c r="AK1575" s="2">
        <f t="shared" si="223"/>
        <v>60</v>
      </c>
      <c r="AL1575" s="5">
        <f t="shared" si="224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22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17"/>
        <v>0</v>
      </c>
      <c r="AJ1576" s="2">
        <f t="shared" si="218"/>
        <v>0</v>
      </c>
      <c r="AK1576" s="2">
        <f t="shared" si="223"/>
        <v>100</v>
      </c>
      <c r="AL1576" s="5">
        <f t="shared" si="224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22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17"/>
        <v>0</v>
      </c>
      <c r="AG1577" s="2">
        <v>10.6</v>
      </c>
      <c r="AH1577" s="2">
        <v>18</v>
      </c>
      <c r="AJ1577" s="2">
        <f t="shared" si="218"/>
        <v>0</v>
      </c>
      <c r="AK1577" s="2">
        <f t="shared" si="223"/>
        <v>14.8</v>
      </c>
      <c r="AL1577" s="5">
        <f t="shared" si="224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22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17"/>
        <v>0</v>
      </c>
      <c r="AJ1578" s="2">
        <f t="shared" si="218"/>
        <v>0</v>
      </c>
      <c r="AK1578" s="2">
        <f t="shared" si="223"/>
        <v>59.4</v>
      </c>
      <c r="AL1578" s="5">
        <f t="shared" si="224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22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17"/>
        <v>0</v>
      </c>
      <c r="AJ1579" s="2">
        <f t="shared" si="218"/>
        <v>0</v>
      </c>
      <c r="AK1579" s="2">
        <f t="shared" si="223"/>
        <v>25</v>
      </c>
      <c r="AL1579" s="5">
        <f t="shared" si="224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22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17"/>
        <v>0</v>
      </c>
      <c r="AJ1580" s="2">
        <f t="shared" si="218"/>
        <v>0</v>
      </c>
      <c r="AK1580" s="2">
        <f t="shared" si="223"/>
        <v>2.7650000000000006</v>
      </c>
      <c r="AL1580" s="5">
        <f t="shared" si="224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22"/>
        <v>1</v>
      </c>
      <c r="Z1581" s="2" t="s">
        <v>119</v>
      </c>
      <c r="AA1581" s="2" t="s">
        <v>492</v>
      </c>
      <c r="AF1581" s="2">
        <f t="shared" si="217"/>
        <v>0</v>
      </c>
      <c r="AJ1581" s="2">
        <f t="shared" si="218"/>
        <v>0</v>
      </c>
      <c r="AK1581" s="2">
        <f t="shared" si="223"/>
        <v>664.04</v>
      </c>
      <c r="AL1581" s="5">
        <f t="shared" si="224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22"/>
        <v>1</v>
      </c>
      <c r="Z1582" s="2" t="s">
        <v>117</v>
      </c>
      <c r="AF1582" s="2">
        <f t="shared" si="217"/>
        <v>0</v>
      </c>
      <c r="AJ1582" s="2">
        <f t="shared" si="218"/>
        <v>0</v>
      </c>
      <c r="AK1582" s="2">
        <f t="shared" si="223"/>
        <v>351.26</v>
      </c>
      <c r="AL1582" s="5">
        <f t="shared" si="224"/>
        <v>1</v>
      </c>
    </row>
    <row r="1583" spans="1:38" x14ac:dyDescent="0.2">
      <c r="A1583" s="2">
        <v>2025</v>
      </c>
      <c r="B1583" s="2">
        <v>6</v>
      </c>
      <c r="D1583" s="2" t="s">
        <v>850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22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17"/>
        <v>0</v>
      </c>
      <c r="AJ1583" s="2">
        <f t="shared" si="218"/>
        <v>0</v>
      </c>
      <c r="AK1583" s="2">
        <f t="shared" si="223"/>
        <v>354.09659999999997</v>
      </c>
      <c r="AL1583" s="5">
        <f t="shared" si="224"/>
        <v>0.50635864435864431</v>
      </c>
    </row>
    <row r="1584" spans="1:38" x14ac:dyDescent="0.2">
      <c r="A1584" s="2">
        <v>2025</v>
      </c>
      <c r="B1584" s="2">
        <v>6</v>
      </c>
      <c r="D1584" s="2" t="s">
        <v>850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22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17"/>
        <v>0</v>
      </c>
      <c r="AJ1584" s="2">
        <f t="shared" si="218"/>
        <v>0</v>
      </c>
      <c r="AK1584" s="2">
        <f t="shared" si="223"/>
        <v>30</v>
      </c>
      <c r="AL1584" s="5">
        <f t="shared" si="224"/>
        <v>0.6</v>
      </c>
    </row>
    <row r="1585" spans="1:38" x14ac:dyDescent="0.2">
      <c r="A1585" s="2">
        <v>2025</v>
      </c>
      <c r="B1585" s="2">
        <v>6</v>
      </c>
      <c r="D1585" s="2" t="s">
        <v>850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22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17"/>
        <v>0</v>
      </c>
      <c r="AJ1585" s="2">
        <f t="shared" si="218"/>
        <v>0</v>
      </c>
      <c r="AK1585" s="2">
        <f t="shared" si="223"/>
        <v>25</v>
      </c>
      <c r="AL1585" s="5">
        <f t="shared" si="224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22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17"/>
        <v>0</v>
      </c>
      <c r="AJ1586" s="2">
        <f t="shared" si="218"/>
        <v>0</v>
      </c>
      <c r="AK1586" s="2">
        <f t="shared" si="223"/>
        <v>22.027999999999999</v>
      </c>
      <c r="AL1586" s="5">
        <f t="shared" si="224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22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17"/>
        <v>0</v>
      </c>
      <c r="AG1587" s="2">
        <v>6.6266999999999996</v>
      </c>
      <c r="AH1587" s="2">
        <v>12</v>
      </c>
      <c r="AJ1587" s="2">
        <f t="shared" si="218"/>
        <v>0</v>
      </c>
      <c r="AK1587" s="2">
        <f t="shared" si="223"/>
        <v>10.746600000000001</v>
      </c>
      <c r="AL1587" s="5">
        <f t="shared" si="224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22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17"/>
        <v>0</v>
      </c>
      <c r="AG1588" s="2">
        <v>10.6</v>
      </c>
      <c r="AH1588" s="2">
        <v>18</v>
      </c>
      <c r="AJ1588" s="2">
        <f t="shared" si="218"/>
        <v>0</v>
      </c>
      <c r="AK1588" s="2">
        <f t="shared" si="223"/>
        <v>14.8</v>
      </c>
      <c r="AL1588" s="5">
        <f t="shared" si="224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22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17"/>
        <v>0</v>
      </c>
      <c r="AG1589" s="2">
        <v>10.6</v>
      </c>
      <c r="AH1589" s="2">
        <v>18</v>
      </c>
      <c r="AJ1589" s="2">
        <f t="shared" si="218"/>
        <v>0</v>
      </c>
      <c r="AK1589" s="2">
        <f t="shared" si="223"/>
        <v>34</v>
      </c>
      <c r="AL1589" s="5">
        <f t="shared" si="224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17"/>
        <v>0</v>
      </c>
      <c r="AJ1590" s="2">
        <f t="shared" si="218"/>
        <v>0</v>
      </c>
      <c r="AK1590" s="2">
        <f t="shared" si="223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25">(T1591-W1591)/T1591</f>
        <v>1</v>
      </c>
      <c r="Z1591" s="2" t="s">
        <v>104</v>
      </c>
      <c r="AF1591" s="2">
        <f t="shared" si="217"/>
        <v>0</v>
      </c>
      <c r="AJ1591" s="2">
        <f t="shared" si="218"/>
        <v>0</v>
      </c>
      <c r="AK1591" s="2">
        <f t="shared" si="223"/>
        <v>5500</v>
      </c>
      <c r="AL1591" s="5">
        <f t="shared" ref="AL1591:AL1602" si="226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225"/>
        <v>1</v>
      </c>
      <c r="Z1592" s="2" t="s">
        <v>117</v>
      </c>
      <c r="AF1592" s="2">
        <f t="shared" si="217"/>
        <v>0</v>
      </c>
      <c r="AJ1592" s="2">
        <f t="shared" si="218"/>
        <v>0</v>
      </c>
      <c r="AK1592" s="2">
        <f t="shared" si="223"/>
        <v>57.86</v>
      </c>
      <c r="AL1592" s="5">
        <f t="shared" si="226"/>
        <v>1</v>
      </c>
    </row>
    <row r="1593" spans="1:38" x14ac:dyDescent="0.2">
      <c r="A1593" s="2">
        <v>2025</v>
      </c>
      <c r="B1593" s="2">
        <v>6</v>
      </c>
      <c r="D1593" s="2" t="s">
        <v>1590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225"/>
        <v>1</v>
      </c>
      <c r="Z1593" s="2" t="s">
        <v>117</v>
      </c>
      <c r="AF1593" s="2">
        <f t="shared" si="217"/>
        <v>0</v>
      </c>
      <c r="AJ1593" s="2">
        <f t="shared" si="218"/>
        <v>0</v>
      </c>
      <c r="AK1593" s="2">
        <f t="shared" si="223"/>
        <v>65.239999999999995</v>
      </c>
      <c r="AL1593" s="5">
        <f t="shared" si="226"/>
        <v>1</v>
      </c>
    </row>
    <row r="1594" spans="1:38" x14ac:dyDescent="0.2">
      <c r="A1594" s="2">
        <v>2025</v>
      </c>
      <c r="B1594" s="2">
        <v>6</v>
      </c>
      <c r="D1594" s="2" t="s">
        <v>1590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25"/>
        <v>0.25</v>
      </c>
      <c r="Z1594" s="2" t="s">
        <v>169</v>
      </c>
      <c r="AA1594" s="2" t="s">
        <v>169</v>
      </c>
      <c r="AF1594" s="2">
        <f t="shared" si="217"/>
        <v>0</v>
      </c>
      <c r="AJ1594" s="2">
        <f t="shared" si="218"/>
        <v>0</v>
      </c>
      <c r="AK1594" s="2">
        <f t="shared" si="223"/>
        <v>2</v>
      </c>
      <c r="AL1594" s="5">
        <f t="shared" si="226"/>
        <v>0.25</v>
      </c>
    </row>
    <row r="1595" spans="1:38" x14ac:dyDescent="0.2">
      <c r="A1595" s="2">
        <v>2025</v>
      </c>
      <c r="B1595" s="2">
        <v>6</v>
      </c>
      <c r="C1595" s="2" t="s">
        <v>3390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25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17"/>
        <v>0</v>
      </c>
      <c r="AJ1595" s="2">
        <f t="shared" si="218"/>
        <v>0</v>
      </c>
      <c r="AK1595" s="2">
        <f t="shared" si="223"/>
        <v>27.650000000000006</v>
      </c>
      <c r="AL1595" s="5">
        <f t="shared" si="226"/>
        <v>0.35000000000000009</v>
      </c>
    </row>
    <row r="1596" spans="1:38" x14ac:dyDescent="0.2">
      <c r="A1596" s="2">
        <v>2025</v>
      </c>
      <c r="B1596" s="2">
        <v>6</v>
      </c>
      <c r="C1596" s="2" t="s">
        <v>3392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25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17"/>
        <v>0</v>
      </c>
      <c r="AJ1596" s="2">
        <f t="shared" si="218"/>
        <v>0</v>
      </c>
      <c r="AK1596" s="2">
        <f t="shared" si="223"/>
        <v>119.9</v>
      </c>
      <c r="AL1596" s="5">
        <f t="shared" si="226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25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17"/>
        <v>0</v>
      </c>
      <c r="AG1597" s="2">
        <v>117.453</v>
      </c>
      <c r="AH1597" s="2">
        <v>220</v>
      </c>
      <c r="AJ1597" s="2">
        <f t="shared" si="218"/>
        <v>0</v>
      </c>
      <c r="AK1597" s="2">
        <f t="shared" si="223"/>
        <v>102.547</v>
      </c>
      <c r="AL1597" s="5">
        <f t="shared" si="226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25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17"/>
        <v>0</v>
      </c>
      <c r="AG1598" s="2">
        <v>1.1399999999999999</v>
      </c>
      <c r="AH1598" s="2">
        <v>1.1399999999999999</v>
      </c>
      <c r="AJ1598" s="2">
        <f t="shared" si="218"/>
        <v>0</v>
      </c>
      <c r="AK1598" s="2">
        <f t="shared" si="223"/>
        <v>0</v>
      </c>
      <c r="AL1598" s="5">
        <f t="shared" si="226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25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17"/>
        <v>0</v>
      </c>
      <c r="AJ1599" s="2">
        <f t="shared" si="218"/>
        <v>0</v>
      </c>
      <c r="AK1599" s="2">
        <f t="shared" si="223"/>
        <v>44.91</v>
      </c>
      <c r="AL1599" s="5">
        <f t="shared" si="226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25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17"/>
        <v>0</v>
      </c>
      <c r="AJ1600" s="2">
        <f t="shared" si="218"/>
        <v>0</v>
      </c>
      <c r="AK1600" s="2">
        <f t="shared" si="223"/>
        <v>59.808399999999999</v>
      </c>
      <c r="AL1600" s="5">
        <f t="shared" si="226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25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17"/>
        <v>0</v>
      </c>
      <c r="AG1601" s="2">
        <v>117.453</v>
      </c>
      <c r="AH1601" s="2">
        <v>220</v>
      </c>
      <c r="AJ1601" s="2">
        <f t="shared" si="218"/>
        <v>0</v>
      </c>
      <c r="AK1601" s="2">
        <f t="shared" si="223"/>
        <v>92.546999999999997</v>
      </c>
      <c r="AL1601" s="5">
        <f t="shared" si="226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25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27">AJ1602</f>
        <v>0</v>
      </c>
      <c r="AG1602" s="2">
        <v>113.33</v>
      </c>
      <c r="AH1602" s="2">
        <v>220</v>
      </c>
      <c r="AJ1602" s="2">
        <f t="shared" ref="AJ1602:AJ1665" si="228">AI1602*T1602</f>
        <v>0</v>
      </c>
      <c r="AK1602" s="2">
        <f t="shared" si="223"/>
        <v>96.67</v>
      </c>
      <c r="AL1602" s="5">
        <f t="shared" si="226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119</v>
      </c>
      <c r="AA1603" s="2" t="s">
        <v>142</v>
      </c>
      <c r="AF1603" s="2">
        <f t="shared" si="227"/>
        <v>0</v>
      </c>
      <c r="AJ1603" s="2">
        <f t="shared" si="228"/>
        <v>0</v>
      </c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29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27"/>
        <v>0</v>
      </c>
      <c r="AJ1604" s="2">
        <f t="shared" si="228"/>
        <v>0</v>
      </c>
      <c r="AK1604" s="2">
        <f t="shared" ref="AK1604:AK1635" si="230">T1604-W1604</f>
        <v>0</v>
      </c>
      <c r="AL1604" s="5">
        <f t="shared" ref="AL1604:AL1627" si="231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29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27"/>
        <v>0</v>
      </c>
      <c r="AJ1605" s="2">
        <f t="shared" si="228"/>
        <v>0</v>
      </c>
      <c r="AK1605" s="2">
        <f t="shared" si="230"/>
        <v>302.68</v>
      </c>
      <c r="AL1605" s="5">
        <f t="shared" si="231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229"/>
        <v>1</v>
      </c>
      <c r="Z1606" s="2" t="s">
        <v>119</v>
      </c>
      <c r="AA1606" s="2" t="s">
        <v>3379</v>
      </c>
      <c r="AF1606" s="2">
        <f t="shared" si="227"/>
        <v>0</v>
      </c>
      <c r="AJ1606" s="2">
        <f t="shared" si="228"/>
        <v>0</v>
      </c>
      <c r="AK1606" s="2">
        <f t="shared" si="230"/>
        <v>344.58</v>
      </c>
      <c r="AL1606" s="5">
        <f t="shared" si="231"/>
        <v>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29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27"/>
        <v>0</v>
      </c>
      <c r="AJ1607" s="2">
        <f t="shared" si="228"/>
        <v>0</v>
      </c>
      <c r="AK1607" s="2">
        <f t="shared" si="230"/>
        <v>90.94</v>
      </c>
      <c r="AL1607" s="5">
        <f t="shared" si="231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29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27"/>
        <v>0</v>
      </c>
      <c r="AJ1608" s="2">
        <f t="shared" si="228"/>
        <v>0</v>
      </c>
      <c r="AK1608" s="2">
        <f t="shared" si="230"/>
        <v>0</v>
      </c>
      <c r="AL1608" s="5">
        <f t="shared" si="231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29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27"/>
        <v>0</v>
      </c>
      <c r="AG1609" s="2">
        <v>119.33</v>
      </c>
      <c r="AH1609" s="2">
        <v>220</v>
      </c>
      <c r="AJ1609" s="2">
        <f t="shared" si="228"/>
        <v>0</v>
      </c>
      <c r="AK1609" s="2">
        <f t="shared" si="230"/>
        <v>100.67</v>
      </c>
      <c r="AL1609" s="5">
        <f t="shared" si="231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29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27"/>
        <v>0</v>
      </c>
      <c r="AG1610" s="2">
        <v>111.98</v>
      </c>
      <c r="AH1610" s="2">
        <v>210</v>
      </c>
      <c r="AJ1610" s="2">
        <f t="shared" si="228"/>
        <v>0</v>
      </c>
      <c r="AK1610" s="2">
        <f t="shared" si="230"/>
        <v>98.02</v>
      </c>
      <c r="AL1610" s="5">
        <f t="shared" si="231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29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27"/>
        <v>0</v>
      </c>
      <c r="AG1611" s="2">
        <v>141.16</v>
      </c>
      <c r="AH1611" s="2">
        <v>220</v>
      </c>
      <c r="AJ1611" s="2">
        <f t="shared" si="228"/>
        <v>0</v>
      </c>
      <c r="AK1611" s="2">
        <f t="shared" si="230"/>
        <v>38.840000000000003</v>
      </c>
      <c r="AL1611" s="5">
        <f t="shared" si="231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29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27"/>
        <v>0</v>
      </c>
      <c r="AG1612" s="2">
        <v>1.1399999999999999</v>
      </c>
      <c r="AH1612" s="2">
        <v>1.1399999999999999</v>
      </c>
      <c r="AJ1612" s="2">
        <f t="shared" si="228"/>
        <v>0</v>
      </c>
      <c r="AK1612" s="2">
        <f t="shared" si="230"/>
        <v>0</v>
      </c>
      <c r="AL1612" s="5">
        <f t="shared" si="231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29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27"/>
        <v>0</v>
      </c>
      <c r="AG1613" s="2">
        <v>5.9066999999999998</v>
      </c>
      <c r="AH1613" s="2">
        <v>12.6</v>
      </c>
      <c r="AJ1613" s="2">
        <f t="shared" si="228"/>
        <v>0</v>
      </c>
      <c r="AK1613" s="2">
        <f t="shared" si="230"/>
        <v>6.0933000000000002</v>
      </c>
      <c r="AL1613" s="5">
        <f t="shared" si="231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29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27"/>
        <v>0</v>
      </c>
      <c r="AG1614" s="2">
        <v>10.6</v>
      </c>
      <c r="AH1614" s="2">
        <v>18</v>
      </c>
      <c r="AJ1614" s="2">
        <f t="shared" si="228"/>
        <v>0</v>
      </c>
      <c r="AK1614" s="2">
        <f t="shared" si="230"/>
        <v>40.800000000000011</v>
      </c>
      <c r="AL1614" s="5">
        <f t="shared" si="231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29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27"/>
        <v>0</v>
      </c>
      <c r="AJ1615" s="2">
        <f t="shared" si="228"/>
        <v>0</v>
      </c>
      <c r="AK1615" s="2">
        <f t="shared" si="230"/>
        <v>4.5449999999999999</v>
      </c>
      <c r="AL1615" s="5">
        <f t="shared" si="231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29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27"/>
        <v>0</v>
      </c>
      <c r="AJ1616" s="2">
        <f t="shared" si="228"/>
        <v>0</v>
      </c>
      <c r="AK1616" s="2">
        <f t="shared" si="230"/>
        <v>4.2765999999999993</v>
      </c>
      <c r="AL1616" s="5">
        <f t="shared" si="231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29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27"/>
        <v>0</v>
      </c>
      <c r="AJ1617" s="2">
        <f t="shared" si="228"/>
        <v>0</v>
      </c>
      <c r="AK1617" s="2">
        <f t="shared" si="230"/>
        <v>101.32</v>
      </c>
      <c r="AL1617" s="5">
        <f t="shared" si="231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29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27"/>
        <v>0</v>
      </c>
      <c r="AJ1618" s="2">
        <f t="shared" si="228"/>
        <v>0</v>
      </c>
      <c r="AK1618" s="2">
        <f t="shared" si="230"/>
        <v>50</v>
      </c>
      <c r="AL1618" s="5">
        <f t="shared" si="231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29"/>
        <v>1</v>
      </c>
      <c r="Z1619" s="2" t="s">
        <v>117</v>
      </c>
      <c r="AF1619" s="2">
        <f t="shared" si="227"/>
        <v>0</v>
      </c>
      <c r="AJ1619" s="2">
        <f t="shared" si="228"/>
        <v>0</v>
      </c>
      <c r="AK1619" s="2">
        <f t="shared" si="230"/>
        <v>700</v>
      </c>
      <c r="AL1619" s="5">
        <f t="shared" si="231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29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27"/>
        <v>0</v>
      </c>
      <c r="AG1620" s="2">
        <v>3.7357999999999998</v>
      </c>
      <c r="AH1620" s="2">
        <v>9</v>
      </c>
      <c r="AJ1620" s="2">
        <f t="shared" si="228"/>
        <v>0</v>
      </c>
      <c r="AK1620" s="2">
        <f t="shared" si="230"/>
        <v>4.0641999999999996</v>
      </c>
      <c r="AL1620" s="5">
        <f t="shared" si="231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29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27"/>
        <v>0</v>
      </c>
      <c r="AG1621" s="2">
        <v>10.6</v>
      </c>
      <c r="AH1621" s="2">
        <v>18</v>
      </c>
      <c r="AJ1621" s="2">
        <f t="shared" si="228"/>
        <v>0</v>
      </c>
      <c r="AK1621" s="2">
        <f t="shared" si="230"/>
        <v>34</v>
      </c>
      <c r="AL1621" s="5">
        <f t="shared" si="231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29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27"/>
        <v>0</v>
      </c>
      <c r="AJ1622" s="2">
        <f t="shared" si="228"/>
        <v>0</v>
      </c>
      <c r="AK1622" s="2">
        <f t="shared" si="230"/>
        <v>36.599999999999994</v>
      </c>
      <c r="AL1622" s="5">
        <f t="shared" si="231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29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27"/>
        <v>0</v>
      </c>
      <c r="AJ1623" s="2">
        <f t="shared" si="228"/>
        <v>0</v>
      </c>
      <c r="AK1623" s="2">
        <f t="shared" si="230"/>
        <v>37.5</v>
      </c>
      <c r="AL1623" s="5">
        <f t="shared" si="231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29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27"/>
        <v>0</v>
      </c>
      <c r="AJ1624" s="2">
        <f t="shared" si="228"/>
        <v>0</v>
      </c>
      <c r="AK1624" s="2">
        <f t="shared" si="230"/>
        <v>104.39999999999999</v>
      </c>
      <c r="AL1624" s="5">
        <f t="shared" si="231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29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27"/>
        <v>0</v>
      </c>
      <c r="AJ1625" s="2">
        <f t="shared" si="228"/>
        <v>0</v>
      </c>
      <c r="AK1625" s="2">
        <f t="shared" si="230"/>
        <v>37.5</v>
      </c>
      <c r="AL1625" s="5">
        <f t="shared" si="231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29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27"/>
        <v>0</v>
      </c>
      <c r="AJ1626" s="2">
        <f t="shared" si="228"/>
        <v>0</v>
      </c>
      <c r="AK1626" s="2">
        <f t="shared" si="230"/>
        <v>354.09659999999997</v>
      </c>
      <c r="AL1626" s="5">
        <f t="shared" si="231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29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27"/>
        <v>0</v>
      </c>
      <c r="AJ1627" s="2">
        <f t="shared" si="228"/>
        <v>0</v>
      </c>
      <c r="AK1627" s="2">
        <f t="shared" si="230"/>
        <v>61.199999999999996</v>
      </c>
      <c r="AL1627" s="5">
        <f t="shared" si="231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27"/>
        <v>0</v>
      </c>
      <c r="AJ1628" s="2">
        <f t="shared" si="228"/>
        <v>0</v>
      </c>
      <c r="AK1628" s="2">
        <f t="shared" si="230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32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27"/>
        <v>0</v>
      </c>
      <c r="AJ1629" s="2">
        <f t="shared" si="228"/>
        <v>0</v>
      </c>
      <c r="AK1629" s="2">
        <f t="shared" si="230"/>
        <v>89.953999999999979</v>
      </c>
      <c r="AL1629" s="5">
        <f t="shared" ref="AL1629:AL1653" si="233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32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27"/>
        <v>0</v>
      </c>
      <c r="AJ1630" s="2">
        <f t="shared" si="228"/>
        <v>0</v>
      </c>
      <c r="AK1630" s="2">
        <f t="shared" si="230"/>
        <v>22.454999999999998</v>
      </c>
      <c r="AL1630" s="5">
        <f t="shared" si="233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32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27"/>
        <v>0</v>
      </c>
      <c r="AJ1631" s="2">
        <f t="shared" si="228"/>
        <v>0</v>
      </c>
      <c r="AK1631" s="2">
        <f t="shared" si="230"/>
        <v>17.650000000000006</v>
      </c>
      <c r="AL1631" s="5">
        <f t="shared" si="233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32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27"/>
        <v>0</v>
      </c>
      <c r="AJ1632" s="2">
        <f t="shared" si="228"/>
        <v>0</v>
      </c>
      <c r="AK1632" s="2">
        <f t="shared" si="230"/>
        <v>31.990000000000002</v>
      </c>
      <c r="AL1632" s="5">
        <f t="shared" si="233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32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27"/>
        <v>0</v>
      </c>
      <c r="AJ1633" s="2">
        <f t="shared" si="228"/>
        <v>0</v>
      </c>
      <c r="AK1633" s="2">
        <f t="shared" si="230"/>
        <v>39.599999999999994</v>
      </c>
      <c r="AL1633" s="5">
        <f t="shared" si="233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32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27"/>
        <v>0</v>
      </c>
      <c r="AJ1634" s="2">
        <f t="shared" si="228"/>
        <v>0</v>
      </c>
      <c r="AK1634" s="2">
        <f t="shared" si="230"/>
        <v>25</v>
      </c>
      <c r="AL1634" s="5">
        <f t="shared" si="233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32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27"/>
        <v>0</v>
      </c>
      <c r="AJ1635" s="2">
        <f t="shared" si="228"/>
        <v>0</v>
      </c>
      <c r="AK1635" s="2">
        <f t="shared" si="230"/>
        <v>150</v>
      </c>
      <c r="AL1635" s="5">
        <f t="shared" si="233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32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27"/>
        <v>0</v>
      </c>
      <c r="AJ1636" s="2">
        <f t="shared" si="228"/>
        <v>0</v>
      </c>
      <c r="AK1636" s="2">
        <f t="shared" ref="AK1636:AK1667" si="234">T1636-W1636</f>
        <v>4.6999999999999993</v>
      </c>
      <c r="AL1636" s="5">
        <f t="shared" si="233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32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27"/>
        <v>0</v>
      </c>
      <c r="AG1637" s="2">
        <v>10.6</v>
      </c>
      <c r="AH1637" s="2">
        <v>18</v>
      </c>
      <c r="AJ1637" s="2">
        <f t="shared" si="228"/>
        <v>0</v>
      </c>
      <c r="AK1637" s="2">
        <f t="shared" si="234"/>
        <v>21</v>
      </c>
      <c r="AL1637" s="5">
        <f t="shared" si="233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32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27"/>
        <v>0</v>
      </c>
      <c r="AG1638" s="2">
        <v>8.1999999999999993</v>
      </c>
      <c r="AH1638" s="2">
        <v>13</v>
      </c>
      <c r="AJ1638" s="2">
        <f t="shared" si="228"/>
        <v>0</v>
      </c>
      <c r="AK1638" s="2">
        <f t="shared" si="234"/>
        <v>20.200000000000003</v>
      </c>
      <c r="AL1638" s="5">
        <f t="shared" si="233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32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27"/>
        <v>0</v>
      </c>
      <c r="AJ1639" s="2">
        <f t="shared" si="228"/>
        <v>0</v>
      </c>
      <c r="AK1639" s="2">
        <f t="shared" si="234"/>
        <v>10.065799999999999</v>
      </c>
      <c r="AL1639" s="5">
        <f t="shared" si="233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32"/>
        <v>1</v>
      </c>
      <c r="Z1640" s="2" t="s">
        <v>117</v>
      </c>
      <c r="AF1640" s="2">
        <f t="shared" si="227"/>
        <v>0</v>
      </c>
      <c r="AJ1640" s="2">
        <f t="shared" si="228"/>
        <v>0</v>
      </c>
      <c r="AK1640" s="2">
        <f t="shared" si="234"/>
        <v>28.25</v>
      </c>
      <c r="AL1640" s="5">
        <f t="shared" si="233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32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27"/>
        <v>0</v>
      </c>
      <c r="AJ1641" s="2">
        <f t="shared" si="228"/>
        <v>0</v>
      </c>
      <c r="AK1641" s="2">
        <f t="shared" si="234"/>
        <v>22.23</v>
      </c>
      <c r="AL1641" s="5">
        <f t="shared" si="233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32"/>
        <v>0.29411764705882354</v>
      </c>
      <c r="Z1642" s="2" t="s">
        <v>169</v>
      </c>
      <c r="AA1642" s="2" t="s">
        <v>169</v>
      </c>
      <c r="AF1642" s="2">
        <f t="shared" si="227"/>
        <v>0</v>
      </c>
      <c r="AJ1642" s="2">
        <f t="shared" si="228"/>
        <v>0</v>
      </c>
      <c r="AK1642" s="2">
        <f t="shared" si="234"/>
        <v>2.5</v>
      </c>
      <c r="AL1642" s="5">
        <f t="shared" si="233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32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27"/>
        <v>0</v>
      </c>
      <c r="AG1643" s="2">
        <v>113.33</v>
      </c>
      <c r="AH1643" s="2">
        <v>220</v>
      </c>
      <c r="AJ1643" s="2">
        <f t="shared" si="228"/>
        <v>0</v>
      </c>
      <c r="AK1643" s="2">
        <f t="shared" si="234"/>
        <v>106.67</v>
      </c>
      <c r="AL1643" s="5">
        <f t="shared" si="233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32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27"/>
        <v>0</v>
      </c>
      <c r="AJ1644" s="2">
        <f t="shared" si="228"/>
        <v>0</v>
      </c>
      <c r="AK1644" s="2">
        <f t="shared" si="234"/>
        <v>0</v>
      </c>
      <c r="AL1644" s="5">
        <f t="shared" si="233"/>
        <v>0</v>
      </c>
    </row>
    <row r="1645" spans="1:38" x14ac:dyDescent="0.2">
      <c r="A1645" s="2">
        <v>2025</v>
      </c>
      <c r="B1645" s="2">
        <v>8</v>
      </c>
      <c r="C1645" s="2" t="s">
        <v>3317</v>
      </c>
      <c r="D1645" s="2" t="s">
        <v>1750</v>
      </c>
      <c r="E1645" s="2" t="s">
        <v>38</v>
      </c>
      <c r="F1645" s="2" t="s">
        <v>39</v>
      </c>
      <c r="I1645" s="2" t="s">
        <v>3387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32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27"/>
        <v>0</v>
      </c>
      <c r="AJ1645" s="2">
        <f t="shared" si="228"/>
        <v>0</v>
      </c>
      <c r="AK1645" s="2">
        <f t="shared" si="234"/>
        <v>81.699999999999989</v>
      </c>
      <c r="AL1645" s="5">
        <f t="shared" si="233"/>
        <v>0.38904761904761898</v>
      </c>
    </row>
    <row r="1646" spans="1:38" x14ac:dyDescent="0.2">
      <c r="A1646" s="2">
        <v>2025</v>
      </c>
      <c r="B1646" s="2">
        <v>8</v>
      </c>
      <c r="C1646" s="2" t="s">
        <v>3317</v>
      </c>
      <c r="D1646" s="2" t="s">
        <v>1750</v>
      </c>
      <c r="E1646" s="2" t="s">
        <v>38</v>
      </c>
      <c r="F1646" s="2" t="s">
        <v>39</v>
      </c>
      <c r="I1646" s="2" t="s">
        <v>3387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32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27"/>
        <v>0</v>
      </c>
      <c r="AJ1646" s="2">
        <f t="shared" si="228"/>
        <v>0</v>
      </c>
      <c r="AK1646" s="2">
        <f t="shared" si="234"/>
        <v>0</v>
      </c>
      <c r="AL1646" s="5">
        <f t="shared" si="233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32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27"/>
        <v>0</v>
      </c>
      <c r="AJ1647" s="2">
        <f t="shared" si="228"/>
        <v>0</v>
      </c>
      <c r="AK1647" s="2">
        <f t="shared" si="234"/>
        <v>30</v>
      </c>
      <c r="AL1647" s="5">
        <f t="shared" si="233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32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27"/>
        <v>0</v>
      </c>
      <c r="AJ1648" s="2">
        <f t="shared" si="228"/>
        <v>0</v>
      </c>
      <c r="AK1648" s="2">
        <f t="shared" si="234"/>
        <v>12.5</v>
      </c>
      <c r="AL1648" s="5">
        <f t="shared" si="233"/>
        <v>0.5</v>
      </c>
    </row>
    <row r="1649" spans="1:38" x14ac:dyDescent="0.2">
      <c r="A1649" s="2">
        <v>2025</v>
      </c>
      <c r="B1649" s="2">
        <v>8</v>
      </c>
      <c r="C1649" s="2" t="s">
        <v>3317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32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27"/>
        <v>0</v>
      </c>
      <c r="AJ1649" s="2">
        <f t="shared" si="228"/>
        <v>0</v>
      </c>
      <c r="AK1649" s="2">
        <f t="shared" si="234"/>
        <v>100.7133</v>
      </c>
      <c r="AL1649" s="5">
        <f t="shared" si="233"/>
        <v>0.42924306354686104</v>
      </c>
    </row>
    <row r="1650" spans="1:38" x14ac:dyDescent="0.2">
      <c r="A1650" s="2">
        <v>2025</v>
      </c>
      <c r="B1650" s="2">
        <v>8</v>
      </c>
      <c r="C1650" s="2" t="s">
        <v>3317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32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27"/>
        <v>0</v>
      </c>
      <c r="AJ1650" s="2">
        <f t="shared" si="228"/>
        <v>0</v>
      </c>
      <c r="AK1650" s="2">
        <f t="shared" si="234"/>
        <v>0</v>
      </c>
      <c r="AL1650" s="5">
        <f t="shared" si="233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32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27"/>
        <v>0</v>
      </c>
      <c r="AG1651" s="2">
        <v>10.6</v>
      </c>
      <c r="AH1651" s="2">
        <v>18</v>
      </c>
      <c r="AJ1651" s="2">
        <f t="shared" si="228"/>
        <v>0</v>
      </c>
      <c r="AK1651" s="2">
        <f t="shared" si="234"/>
        <v>34</v>
      </c>
      <c r="AL1651" s="5">
        <f t="shared" si="233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32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27"/>
        <v>0</v>
      </c>
      <c r="AG1652" s="2">
        <v>0.85609999999999997</v>
      </c>
      <c r="AH1652" s="2">
        <v>1.8</v>
      </c>
      <c r="AJ1652" s="2">
        <f t="shared" si="228"/>
        <v>0</v>
      </c>
      <c r="AK1652" s="2">
        <f t="shared" si="234"/>
        <v>18.878</v>
      </c>
      <c r="AL1652" s="5">
        <f t="shared" si="233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32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27"/>
        <v>0</v>
      </c>
      <c r="AG1653" s="2">
        <v>40.357500000000002</v>
      </c>
      <c r="AJ1653" s="2">
        <f t="shared" si="228"/>
        <v>0</v>
      </c>
      <c r="AK1653" s="2">
        <f t="shared" si="234"/>
        <v>43.432500000000005</v>
      </c>
      <c r="AL1653" s="5">
        <f t="shared" si="233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27"/>
        <v>0</v>
      </c>
      <c r="AJ1654" s="2">
        <f t="shared" si="228"/>
        <v>0</v>
      </c>
      <c r="AK1654" s="2">
        <f t="shared" si="234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35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27"/>
        <v>0</v>
      </c>
      <c r="AJ1655" s="2">
        <f t="shared" si="228"/>
        <v>0</v>
      </c>
      <c r="AK1655" s="2">
        <f t="shared" si="234"/>
        <v>18.75</v>
      </c>
      <c r="AL1655" s="5">
        <f t="shared" ref="AL1655:AL1686" si="236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35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27"/>
        <v>0</v>
      </c>
      <c r="AG1656" s="2">
        <f>3130.82+148.37</f>
        <v>3279.19</v>
      </c>
      <c r="AJ1656" s="2">
        <f t="shared" si="228"/>
        <v>0</v>
      </c>
      <c r="AK1656" s="2">
        <f t="shared" si="234"/>
        <v>1220.81</v>
      </c>
      <c r="AL1656" s="5">
        <f t="shared" si="236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35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27"/>
        <v>0</v>
      </c>
      <c r="AG1657" s="2">
        <v>10.6</v>
      </c>
      <c r="AH1657" s="2">
        <v>18</v>
      </c>
      <c r="AJ1657" s="2">
        <f t="shared" si="228"/>
        <v>0</v>
      </c>
      <c r="AK1657" s="2">
        <f t="shared" si="234"/>
        <v>36.600000000000009</v>
      </c>
      <c r="AL1657" s="5">
        <f t="shared" si="236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35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27"/>
        <v>0</v>
      </c>
      <c r="AG1658" s="2">
        <v>8.1999999999999993</v>
      </c>
      <c r="AH1658" s="2">
        <v>13</v>
      </c>
      <c r="AJ1658" s="2">
        <f t="shared" si="228"/>
        <v>0</v>
      </c>
      <c r="AK1658" s="2">
        <f t="shared" si="234"/>
        <v>4.7999999999999989</v>
      </c>
      <c r="AL1658" s="5">
        <f t="shared" si="236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35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27"/>
        <v>0</v>
      </c>
      <c r="AJ1659" s="2">
        <f t="shared" si="228"/>
        <v>0</v>
      </c>
      <c r="AK1659" s="2">
        <f t="shared" si="234"/>
        <v>4.8600000000000012</v>
      </c>
      <c r="AL1659" s="5">
        <f t="shared" si="236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35"/>
        <v>0.25</v>
      </c>
      <c r="Z1660" s="2" t="s">
        <v>169</v>
      </c>
      <c r="AA1660" s="2" t="s">
        <v>169</v>
      </c>
      <c r="AF1660" s="2">
        <f t="shared" si="227"/>
        <v>0</v>
      </c>
      <c r="AJ1660" s="2">
        <f t="shared" si="228"/>
        <v>0</v>
      </c>
      <c r="AK1660" s="2">
        <f t="shared" si="234"/>
        <v>2</v>
      </c>
      <c r="AL1660" s="5">
        <f t="shared" si="236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35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27"/>
        <v>0</v>
      </c>
      <c r="AJ1661" s="2">
        <f t="shared" si="228"/>
        <v>0</v>
      </c>
      <c r="AK1661" s="2">
        <f t="shared" si="234"/>
        <v>169</v>
      </c>
      <c r="AL1661" s="5">
        <f t="shared" si="236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35"/>
        <v>0.25</v>
      </c>
      <c r="Z1662" s="2" t="s">
        <v>169</v>
      </c>
      <c r="AA1662" s="2" t="s">
        <v>169</v>
      </c>
      <c r="AF1662" s="2">
        <f t="shared" si="227"/>
        <v>0</v>
      </c>
      <c r="AJ1662" s="2">
        <f t="shared" si="228"/>
        <v>0</v>
      </c>
      <c r="AK1662" s="2">
        <f t="shared" si="234"/>
        <v>10</v>
      </c>
      <c r="AL1662" s="5">
        <f t="shared" si="236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35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27"/>
        <v>0</v>
      </c>
      <c r="AJ1663" s="2">
        <f t="shared" si="228"/>
        <v>0</v>
      </c>
      <c r="AK1663" s="2">
        <f t="shared" si="234"/>
        <v>0</v>
      </c>
      <c r="AL1663" s="5">
        <f t="shared" si="236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35"/>
        <v>1</v>
      </c>
      <c r="Z1664" s="2" t="s">
        <v>104</v>
      </c>
      <c r="AF1664" s="2">
        <f t="shared" si="227"/>
        <v>0</v>
      </c>
      <c r="AJ1664" s="2">
        <f t="shared" si="228"/>
        <v>0</v>
      </c>
      <c r="AK1664" s="2">
        <f t="shared" si="234"/>
        <v>5750</v>
      </c>
      <c r="AL1664" s="5">
        <f t="shared" si="236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35"/>
        <v>1</v>
      </c>
      <c r="Z1665" s="2" t="s">
        <v>104</v>
      </c>
      <c r="AF1665" s="2">
        <f t="shared" si="227"/>
        <v>0</v>
      </c>
      <c r="AJ1665" s="2">
        <f t="shared" si="228"/>
        <v>0</v>
      </c>
      <c r="AK1665" s="2">
        <f t="shared" si="234"/>
        <v>6095</v>
      </c>
      <c r="AL1665" s="5">
        <f t="shared" si="236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35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37">AJ1666</f>
        <v>0</v>
      </c>
      <c r="AJ1666" s="2">
        <f t="shared" ref="AJ1666:AJ1729" si="238">AI1666*T1666</f>
        <v>0</v>
      </c>
      <c r="AK1666" s="2">
        <f t="shared" si="234"/>
        <v>47.4</v>
      </c>
      <c r="AL1666" s="5">
        <f t="shared" si="236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35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37"/>
        <v>0</v>
      </c>
      <c r="AJ1667" s="2">
        <f t="shared" si="238"/>
        <v>0</v>
      </c>
      <c r="AK1667" s="2">
        <f t="shared" si="234"/>
        <v>50</v>
      </c>
      <c r="AL1667" s="5">
        <f t="shared" si="236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35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37"/>
        <v>0</v>
      </c>
      <c r="AJ1668" s="2">
        <f t="shared" si="238"/>
        <v>0</v>
      </c>
      <c r="AK1668" s="2">
        <f t="shared" ref="AK1668:AK1699" si="239">T1668-W1668</f>
        <v>42</v>
      </c>
      <c r="AL1668" s="5">
        <f t="shared" si="236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35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37"/>
        <v>0</v>
      </c>
      <c r="AJ1669" s="2">
        <f t="shared" si="238"/>
        <v>0</v>
      </c>
      <c r="AK1669" s="2">
        <f t="shared" si="239"/>
        <v>25</v>
      </c>
      <c r="AL1669" s="5">
        <f t="shared" si="236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35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37"/>
        <v>0</v>
      </c>
      <c r="AG1670" s="2">
        <v>117.453</v>
      </c>
      <c r="AH1670" s="2">
        <v>220</v>
      </c>
      <c r="AJ1670" s="2">
        <f t="shared" si="238"/>
        <v>0</v>
      </c>
      <c r="AK1670" s="2">
        <f t="shared" si="239"/>
        <v>92.546999999999997</v>
      </c>
      <c r="AL1670" s="5">
        <f t="shared" si="236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35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37"/>
        <v>0</v>
      </c>
      <c r="AG1671" s="2">
        <v>1.1399999999999999</v>
      </c>
      <c r="AH1671" s="2">
        <v>1.1399999999999999</v>
      </c>
      <c r="AJ1671" s="2">
        <f t="shared" si="238"/>
        <v>0</v>
      </c>
      <c r="AK1671" s="2">
        <f t="shared" si="239"/>
        <v>0</v>
      </c>
      <c r="AL1671" s="5">
        <f t="shared" si="236"/>
        <v>0</v>
      </c>
    </row>
    <row r="1672" spans="1:38" x14ac:dyDescent="0.2">
      <c r="A1672" s="2">
        <v>2025</v>
      </c>
      <c r="B1672" s="2">
        <v>8</v>
      </c>
      <c r="C1672" s="2" t="s">
        <v>3488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35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37"/>
        <v>0</v>
      </c>
      <c r="AJ1672" s="2">
        <f t="shared" si="238"/>
        <v>0</v>
      </c>
      <c r="AK1672" s="2">
        <f t="shared" si="239"/>
        <v>44.902799999999999</v>
      </c>
      <c r="AL1672" s="5">
        <f t="shared" si="236"/>
        <v>0.65208829509149002</v>
      </c>
    </row>
    <row r="1673" spans="1:38" x14ac:dyDescent="0.2">
      <c r="A1673" s="2">
        <v>2025</v>
      </c>
      <c r="B1673" s="2">
        <v>8</v>
      </c>
      <c r="C1673" s="2" t="s">
        <v>3488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35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37"/>
        <v>0</v>
      </c>
      <c r="AJ1673" s="2">
        <f t="shared" si="238"/>
        <v>0</v>
      </c>
      <c r="AK1673" s="2">
        <f t="shared" si="239"/>
        <v>69</v>
      </c>
      <c r="AL1673" s="5">
        <f t="shared" si="236"/>
        <v>0.6</v>
      </c>
    </row>
    <row r="1674" spans="1:38" x14ac:dyDescent="0.2">
      <c r="A1674" s="2">
        <v>2025</v>
      </c>
      <c r="B1674" s="2">
        <v>8</v>
      </c>
      <c r="C1674" s="2" t="s">
        <v>3488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35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37"/>
        <v>0</v>
      </c>
      <c r="AJ1674" s="2">
        <f t="shared" si="238"/>
        <v>0</v>
      </c>
      <c r="AK1674" s="2">
        <f t="shared" si="239"/>
        <v>37.5</v>
      </c>
      <c r="AL1674" s="5">
        <f t="shared" si="236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35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37"/>
        <v>0</v>
      </c>
      <c r="AG1675" s="2">
        <v>122.446</v>
      </c>
      <c r="AH1675" s="2">
        <v>230</v>
      </c>
      <c r="AJ1675" s="2">
        <f t="shared" si="238"/>
        <v>0</v>
      </c>
      <c r="AK1675" s="2">
        <f t="shared" si="239"/>
        <v>107.554</v>
      </c>
      <c r="AL1675" s="5">
        <f t="shared" si="236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35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37"/>
        <v>0</v>
      </c>
      <c r="AG1676" s="2">
        <v>1.1399999999999999</v>
      </c>
      <c r="AH1676" s="2">
        <v>1.1399999999999999</v>
      </c>
      <c r="AJ1676" s="2">
        <f t="shared" si="238"/>
        <v>0</v>
      </c>
      <c r="AK1676" s="2">
        <f t="shared" si="239"/>
        <v>0</v>
      </c>
      <c r="AL1676" s="5">
        <f t="shared" si="236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35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37"/>
        <v>0</v>
      </c>
      <c r="AJ1677" s="2">
        <f t="shared" si="238"/>
        <v>0</v>
      </c>
      <c r="AK1677" s="2">
        <f t="shared" si="239"/>
        <v>30</v>
      </c>
      <c r="AL1677" s="5">
        <f t="shared" si="236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35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37"/>
        <v>0</v>
      </c>
      <c r="AJ1678" s="2">
        <f t="shared" si="238"/>
        <v>0</v>
      </c>
      <c r="AK1678" s="2">
        <f t="shared" si="239"/>
        <v>31.25</v>
      </c>
      <c r="AL1678" s="5">
        <f t="shared" si="236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35"/>
        <v>1</v>
      </c>
      <c r="Z1679" s="2" t="s">
        <v>3226</v>
      </c>
      <c r="AF1679" s="2">
        <f t="shared" si="237"/>
        <v>0</v>
      </c>
      <c r="AJ1679" s="2">
        <f t="shared" si="238"/>
        <v>0</v>
      </c>
      <c r="AK1679" s="2">
        <f t="shared" si="239"/>
        <v>180</v>
      </c>
      <c r="AL1679" s="5">
        <f t="shared" si="236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35"/>
        <v>1</v>
      </c>
      <c r="AF1680" s="2">
        <f t="shared" si="237"/>
        <v>0</v>
      </c>
      <c r="AJ1680" s="2">
        <f t="shared" si="238"/>
        <v>0</v>
      </c>
      <c r="AK1680" s="2">
        <f t="shared" si="239"/>
        <v>541.59</v>
      </c>
      <c r="AL1680" s="5">
        <f t="shared" si="236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35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37"/>
        <v>0</v>
      </c>
      <c r="AJ1681" s="2">
        <f t="shared" si="238"/>
        <v>0</v>
      </c>
      <c r="AK1681" s="2">
        <f t="shared" si="239"/>
        <v>79.650000000000006</v>
      </c>
      <c r="AL1681" s="5">
        <f t="shared" si="236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35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37"/>
        <v>0</v>
      </c>
      <c r="AJ1682" s="2">
        <f t="shared" si="238"/>
        <v>0</v>
      </c>
      <c r="AK1682" s="2">
        <f t="shared" si="239"/>
        <v>66.25</v>
      </c>
      <c r="AL1682" s="5">
        <f t="shared" si="236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235"/>
        <v>1</v>
      </c>
      <c r="Z1683" s="2" t="s">
        <v>119</v>
      </c>
      <c r="AA1683" s="2" t="s">
        <v>3379</v>
      </c>
      <c r="AF1683" s="2">
        <f t="shared" si="237"/>
        <v>0</v>
      </c>
      <c r="AJ1683" s="2">
        <f t="shared" si="238"/>
        <v>0</v>
      </c>
      <c r="AK1683" s="2">
        <f t="shared" si="239"/>
        <v>99.75</v>
      </c>
      <c r="AL1683" s="5">
        <f t="shared" si="236"/>
        <v>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35"/>
        <v>1</v>
      </c>
      <c r="Z1684" s="2" t="s">
        <v>104</v>
      </c>
      <c r="AC1684" s="2" t="s">
        <v>101</v>
      </c>
      <c r="AF1684" s="2">
        <f t="shared" si="237"/>
        <v>0</v>
      </c>
      <c r="AJ1684" s="2">
        <f t="shared" si="238"/>
        <v>0</v>
      </c>
      <c r="AK1684" s="2">
        <f t="shared" si="239"/>
        <v>3600</v>
      </c>
      <c r="AL1684" s="5">
        <f t="shared" si="236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35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37"/>
        <v>0</v>
      </c>
      <c r="AJ1685" s="2">
        <f t="shared" si="238"/>
        <v>0</v>
      </c>
      <c r="AK1685" s="2">
        <f t="shared" si="239"/>
        <v>119.39999999999999</v>
      </c>
      <c r="AL1685" s="5">
        <f t="shared" si="236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35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37"/>
        <v>0</v>
      </c>
      <c r="AG1686" s="2">
        <v>37.5</v>
      </c>
      <c r="AJ1686" s="2">
        <f t="shared" si="238"/>
        <v>0</v>
      </c>
      <c r="AK1686" s="2">
        <f t="shared" si="239"/>
        <v>37.5</v>
      </c>
      <c r="AL1686" s="5">
        <f t="shared" si="236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40">(T1687-W1687)/T1687</f>
        <v>1</v>
      </c>
      <c r="Z1687" s="2" t="s">
        <v>104</v>
      </c>
      <c r="AC1687" s="2" t="s">
        <v>1327</v>
      </c>
      <c r="AF1687" s="2">
        <f t="shared" si="237"/>
        <v>0</v>
      </c>
      <c r="AJ1687" s="2">
        <f t="shared" si="238"/>
        <v>0</v>
      </c>
      <c r="AK1687" s="2">
        <f t="shared" si="239"/>
        <v>2190</v>
      </c>
      <c r="AL1687" s="5">
        <f t="shared" ref="AL1687:AL1715" si="241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40"/>
        <v>1</v>
      </c>
      <c r="Z1688" s="2" t="s">
        <v>3226</v>
      </c>
      <c r="AF1688" s="2">
        <f t="shared" si="237"/>
        <v>0</v>
      </c>
      <c r="AJ1688" s="2">
        <f t="shared" si="238"/>
        <v>0</v>
      </c>
      <c r="AK1688" s="2">
        <f t="shared" si="239"/>
        <v>39</v>
      </c>
      <c r="AL1688" s="5">
        <f t="shared" si="241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40"/>
        <v>1</v>
      </c>
      <c r="Z1689" s="2" t="s">
        <v>3226</v>
      </c>
      <c r="AF1689" s="2">
        <f t="shared" si="237"/>
        <v>0</v>
      </c>
      <c r="AJ1689" s="2">
        <f t="shared" si="238"/>
        <v>0</v>
      </c>
      <c r="AK1689" s="2">
        <f t="shared" si="239"/>
        <v>39</v>
      </c>
      <c r="AL1689" s="5">
        <f t="shared" si="241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40"/>
        <v>0.29411764705882354</v>
      </c>
      <c r="Z1690" s="2" t="s">
        <v>169</v>
      </c>
      <c r="AA1690" s="2" t="s">
        <v>169</v>
      </c>
      <c r="AF1690" s="2">
        <f t="shared" si="237"/>
        <v>0</v>
      </c>
      <c r="AJ1690" s="2">
        <f t="shared" si="238"/>
        <v>0</v>
      </c>
      <c r="AK1690" s="2">
        <f t="shared" si="239"/>
        <v>2.5</v>
      </c>
      <c r="AL1690" s="5">
        <f t="shared" si="241"/>
        <v>0.29411764705882354</v>
      </c>
    </row>
    <row r="1691" spans="1:38" x14ac:dyDescent="0.2">
      <c r="A1691" s="2">
        <v>2025</v>
      </c>
      <c r="B1691" s="2">
        <v>8</v>
      </c>
      <c r="C1691" s="2" t="s">
        <v>3491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40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37"/>
        <v>0</v>
      </c>
      <c r="AG1691" s="2">
        <v>104.49</v>
      </c>
      <c r="AH1691" s="2">
        <v>220</v>
      </c>
      <c r="AJ1691" s="2">
        <f t="shared" si="238"/>
        <v>0</v>
      </c>
      <c r="AK1691" s="2">
        <f t="shared" si="239"/>
        <v>85.51</v>
      </c>
      <c r="AL1691" s="5">
        <f t="shared" si="241"/>
        <v>0.45005263157894737</v>
      </c>
    </row>
    <row r="1692" spans="1:38" x14ac:dyDescent="0.2">
      <c r="A1692" s="2">
        <v>2025</v>
      </c>
      <c r="B1692" s="2">
        <v>8</v>
      </c>
      <c r="C1692" s="2" t="s">
        <v>3491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40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37"/>
        <v>0</v>
      </c>
      <c r="AJ1692" s="2">
        <f t="shared" si="238"/>
        <v>0</v>
      </c>
      <c r="AK1692" s="2">
        <f t="shared" si="239"/>
        <v>0</v>
      </c>
      <c r="AL1692" s="5">
        <f t="shared" si="241"/>
        <v>0</v>
      </c>
    </row>
    <row r="1693" spans="1:38" x14ac:dyDescent="0.2">
      <c r="A1693" s="2">
        <v>2025</v>
      </c>
      <c r="B1693" s="2">
        <v>8</v>
      </c>
      <c r="D1693" s="2" t="s">
        <v>1785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40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37"/>
        <v>0</v>
      </c>
      <c r="AJ1693" s="2">
        <f t="shared" si="238"/>
        <v>0</v>
      </c>
      <c r="AK1693" s="2">
        <f t="shared" si="239"/>
        <v>748.04</v>
      </c>
      <c r="AL1693" s="5">
        <f t="shared" si="241"/>
        <v>0.41907002801120447</v>
      </c>
    </row>
    <row r="1694" spans="1:38" x14ac:dyDescent="0.2">
      <c r="A1694" s="2">
        <v>2025</v>
      </c>
      <c r="B1694" s="2">
        <v>8</v>
      </c>
      <c r="D1694" s="2" t="s">
        <v>1788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40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37"/>
        <v>0</v>
      </c>
      <c r="AJ1694" s="2">
        <f t="shared" si="238"/>
        <v>0</v>
      </c>
      <c r="AK1694" s="2">
        <f t="shared" si="239"/>
        <v>5320.6</v>
      </c>
      <c r="AL1694" s="5">
        <f t="shared" si="241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40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37"/>
        <v>0</v>
      </c>
      <c r="AJ1695" s="2">
        <f t="shared" si="238"/>
        <v>0</v>
      </c>
      <c r="AK1695" s="2">
        <f t="shared" si="239"/>
        <v>102.6</v>
      </c>
      <c r="AL1695" s="5">
        <f t="shared" si="241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40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37"/>
        <v>0</v>
      </c>
      <c r="AJ1696" s="2">
        <f t="shared" si="238"/>
        <v>0</v>
      </c>
      <c r="AK1696" s="2">
        <f t="shared" si="239"/>
        <v>25</v>
      </c>
      <c r="AL1696" s="5">
        <f t="shared" si="241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40"/>
        <v>1</v>
      </c>
      <c r="Z1697" s="2" t="s">
        <v>119</v>
      </c>
      <c r="AA1697" s="2" t="s">
        <v>3379</v>
      </c>
      <c r="AF1697" s="2">
        <f t="shared" si="237"/>
        <v>0</v>
      </c>
      <c r="AJ1697" s="2">
        <f t="shared" si="238"/>
        <v>0</v>
      </c>
      <c r="AK1697" s="2">
        <f t="shared" si="239"/>
        <v>267.18</v>
      </c>
      <c r="AL1697" s="5">
        <f t="shared" si="241"/>
        <v>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40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37"/>
        <v>0</v>
      </c>
      <c r="AJ1698" s="2">
        <f t="shared" si="238"/>
        <v>0</v>
      </c>
      <c r="AK1698" s="2">
        <f t="shared" si="239"/>
        <v>33</v>
      </c>
      <c r="AL1698" s="5">
        <f t="shared" si="241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40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37"/>
        <v>0</v>
      </c>
      <c r="AJ1699" s="2">
        <f t="shared" si="238"/>
        <v>0</v>
      </c>
      <c r="AK1699" s="2">
        <f t="shared" si="239"/>
        <v>37.5</v>
      </c>
      <c r="AL1699" s="5">
        <f t="shared" si="241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40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37"/>
        <v>0</v>
      </c>
      <c r="AG1700" s="2">
        <v>6.6266999999999996</v>
      </c>
      <c r="AH1700" s="2">
        <v>12</v>
      </c>
      <c r="AJ1700" s="2">
        <f t="shared" si="238"/>
        <v>0</v>
      </c>
      <c r="AK1700" s="2">
        <f t="shared" ref="AK1700:AK1731" si="242">T1700-W1700</f>
        <v>10.746600000000001</v>
      </c>
      <c r="AL1700" s="5">
        <f t="shared" si="241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40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37"/>
        <v>0</v>
      </c>
      <c r="AG1701" s="2">
        <v>3.7357999999999998</v>
      </c>
      <c r="AH1701" s="2">
        <v>9</v>
      </c>
      <c r="AJ1701" s="2">
        <f t="shared" si="238"/>
        <v>0</v>
      </c>
      <c r="AK1701" s="2">
        <f t="shared" si="242"/>
        <v>4.0641999999999996</v>
      </c>
      <c r="AL1701" s="5">
        <f t="shared" si="241"/>
        <v>0.52105128205128204</v>
      </c>
    </row>
    <row r="1702" spans="1:38" x14ac:dyDescent="0.2">
      <c r="A1702" s="2">
        <v>2025</v>
      </c>
      <c r="B1702" s="2">
        <v>8</v>
      </c>
      <c r="C1702" s="2" t="s">
        <v>3409</v>
      </c>
      <c r="D1702" s="2" t="s">
        <v>3408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40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37"/>
        <v>0</v>
      </c>
      <c r="AG1702" s="2">
        <f>6330+159.85</f>
        <v>6489.85</v>
      </c>
      <c r="AJ1702" s="2">
        <f t="shared" si="238"/>
        <v>0</v>
      </c>
      <c r="AK1702" s="2">
        <f t="shared" si="242"/>
        <v>1010.1499999999996</v>
      </c>
      <c r="AL1702" s="5">
        <f t="shared" si="241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40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37"/>
        <v>0</v>
      </c>
      <c r="AG1703" s="2">
        <v>10.6</v>
      </c>
      <c r="AH1703" s="2">
        <v>18</v>
      </c>
      <c r="AJ1703" s="2">
        <f t="shared" si="238"/>
        <v>0</v>
      </c>
      <c r="AK1703" s="2">
        <f t="shared" si="242"/>
        <v>29.6</v>
      </c>
      <c r="AL1703" s="5">
        <f t="shared" si="241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40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37"/>
        <v>0</v>
      </c>
      <c r="AJ1704" s="2">
        <f t="shared" si="238"/>
        <v>0</v>
      </c>
      <c r="AK1704" s="2">
        <f t="shared" si="242"/>
        <v>90</v>
      </c>
      <c r="AL1704" s="5">
        <f t="shared" si="241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40"/>
        <v>0.30000000000000004</v>
      </c>
      <c r="Z1705" s="2" t="s">
        <v>3226</v>
      </c>
      <c r="AA1705" s="2" t="s">
        <v>155</v>
      </c>
      <c r="AB1705" s="2" t="s">
        <v>3402</v>
      </c>
      <c r="AC1705" s="2" t="s">
        <v>1327</v>
      </c>
      <c r="AF1705" s="2">
        <f t="shared" si="237"/>
        <v>0</v>
      </c>
      <c r="AJ1705" s="2">
        <f t="shared" si="238"/>
        <v>0</v>
      </c>
      <c r="AK1705" s="2">
        <f t="shared" si="242"/>
        <v>8.1000000000000014</v>
      </c>
      <c r="AL1705" s="5">
        <f t="shared" si="241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40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37"/>
        <v>0</v>
      </c>
      <c r="AG1706" s="2">
        <v>15.020300000000001</v>
      </c>
      <c r="AH1706" s="2">
        <v>27.6</v>
      </c>
      <c r="AJ1706" s="2">
        <f t="shared" si="238"/>
        <v>0</v>
      </c>
      <c r="AK1706" s="2">
        <f t="shared" si="242"/>
        <v>17.959399999999999</v>
      </c>
      <c r="AL1706" s="5">
        <f t="shared" si="241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40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37"/>
        <v>0</v>
      </c>
      <c r="AG1707" s="2">
        <v>7.2217000000000002</v>
      </c>
      <c r="AH1707" s="2">
        <v>14.4</v>
      </c>
      <c r="AJ1707" s="2">
        <f t="shared" si="238"/>
        <v>0</v>
      </c>
      <c r="AK1707" s="2">
        <f t="shared" si="242"/>
        <v>5.9782999999999991</v>
      </c>
      <c r="AL1707" s="5">
        <f t="shared" si="241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40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37"/>
        <v>0</v>
      </c>
      <c r="AJ1708" s="2">
        <f t="shared" si="238"/>
        <v>0</v>
      </c>
      <c r="AK1708" s="2">
        <f t="shared" si="242"/>
        <v>7.125</v>
      </c>
      <c r="AL1708" s="5">
        <f t="shared" si="241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40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37"/>
        <v>0</v>
      </c>
      <c r="AJ1709" s="2">
        <f t="shared" si="238"/>
        <v>0</v>
      </c>
      <c r="AK1709" s="2">
        <f t="shared" si="242"/>
        <v>8.7550000000000008</v>
      </c>
      <c r="AL1709" s="5">
        <f t="shared" si="241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40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37"/>
        <v>0</v>
      </c>
      <c r="AG1710" s="2">
        <v>10.6</v>
      </c>
      <c r="AH1710" s="2">
        <v>18</v>
      </c>
      <c r="AJ1710" s="2">
        <f t="shared" si="238"/>
        <v>0</v>
      </c>
      <c r="AK1710" s="2">
        <f t="shared" si="242"/>
        <v>12.200000000000001</v>
      </c>
      <c r="AL1710" s="5">
        <f t="shared" si="241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40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37"/>
        <v>0</v>
      </c>
      <c r="AG1711" s="2">
        <v>8.1999999999999993</v>
      </c>
      <c r="AH1711" s="2">
        <v>13</v>
      </c>
      <c r="AJ1711" s="2">
        <f t="shared" si="238"/>
        <v>0</v>
      </c>
      <c r="AK1711" s="2">
        <f t="shared" si="242"/>
        <v>4.7999999999999989</v>
      </c>
      <c r="AL1711" s="5">
        <f t="shared" si="241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40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37"/>
        <v>0</v>
      </c>
      <c r="AJ1712" s="2">
        <f t="shared" si="238"/>
        <v>0</v>
      </c>
      <c r="AK1712" s="2">
        <f t="shared" si="242"/>
        <v>2.02</v>
      </c>
      <c r="AL1712" s="5">
        <f t="shared" si="241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40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37"/>
        <v>0</v>
      </c>
      <c r="AJ1713" s="2">
        <f t="shared" si="238"/>
        <v>0</v>
      </c>
      <c r="AK1713" s="2">
        <f t="shared" si="242"/>
        <v>2.3845999999999998</v>
      </c>
      <c r="AL1713" s="5">
        <f t="shared" si="241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40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37"/>
        <v>0</v>
      </c>
      <c r="AG1714" s="2">
        <v>8.1999999999999993</v>
      </c>
      <c r="AH1714" s="2">
        <v>13</v>
      </c>
      <c r="AJ1714" s="2">
        <f t="shared" si="238"/>
        <v>0</v>
      </c>
      <c r="AK1714" s="2">
        <f t="shared" si="242"/>
        <v>4.7999999999999989</v>
      </c>
      <c r="AL1714" s="5">
        <f t="shared" si="241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40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37"/>
        <v>0</v>
      </c>
      <c r="AG1715" s="2">
        <v>15.020300000000001</v>
      </c>
      <c r="AH1715" s="2">
        <v>27.6</v>
      </c>
      <c r="AJ1715" s="2">
        <f t="shared" si="238"/>
        <v>0</v>
      </c>
      <c r="AK1715" s="2">
        <f t="shared" si="242"/>
        <v>11.959399999999999</v>
      </c>
      <c r="AL1715" s="5">
        <f t="shared" si="241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37"/>
        <v>0</v>
      </c>
      <c r="AJ1716" s="2">
        <f t="shared" si="238"/>
        <v>0</v>
      </c>
      <c r="AK1716" s="2">
        <f t="shared" si="242"/>
        <v>0</v>
      </c>
      <c r="AL1716" s="20" t="s">
        <v>3400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43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3331</v>
      </c>
      <c r="AF1717" s="2">
        <f t="shared" si="237"/>
        <v>0</v>
      </c>
      <c r="AJ1717" s="2">
        <f t="shared" si="238"/>
        <v>0</v>
      </c>
      <c r="AK1717" s="2">
        <f t="shared" si="242"/>
        <v>232</v>
      </c>
      <c r="AL1717" s="5">
        <f t="shared" ref="AL1717:AL1748" si="244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43"/>
        <v>0.4</v>
      </c>
      <c r="Z1718" s="2" t="s">
        <v>3226</v>
      </c>
      <c r="AA1718" s="2" t="s">
        <v>46</v>
      </c>
      <c r="AB1718" s="2" t="s">
        <v>60</v>
      </c>
      <c r="AC1718" s="2" t="s">
        <v>3331</v>
      </c>
      <c r="AF1718" s="2">
        <f t="shared" si="237"/>
        <v>0</v>
      </c>
      <c r="AJ1718" s="2">
        <f t="shared" si="238"/>
        <v>0</v>
      </c>
      <c r="AK1718" s="2">
        <f t="shared" si="242"/>
        <v>232</v>
      </c>
      <c r="AL1718" s="5">
        <f t="shared" si="244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43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37"/>
        <v>0</v>
      </c>
      <c r="AG1719" s="2">
        <v>6.6266999999999996</v>
      </c>
      <c r="AH1719" s="2">
        <v>12</v>
      </c>
      <c r="AJ1719" s="2">
        <f t="shared" si="238"/>
        <v>0</v>
      </c>
      <c r="AK1719" s="2">
        <f t="shared" si="242"/>
        <v>5.3733000000000004</v>
      </c>
      <c r="AL1719" s="5">
        <f t="shared" si="244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43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37"/>
        <v>0</v>
      </c>
      <c r="AG1720" s="2">
        <v>3.7357999999999998</v>
      </c>
      <c r="AH1720" s="2">
        <v>9</v>
      </c>
      <c r="AJ1720" s="2">
        <f t="shared" si="238"/>
        <v>0</v>
      </c>
      <c r="AK1720" s="2">
        <f t="shared" si="242"/>
        <v>4.0641999999999996</v>
      </c>
      <c r="AL1720" s="5">
        <f t="shared" si="244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43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37"/>
        <v>0</v>
      </c>
      <c r="AJ1721" s="2">
        <f t="shared" si="238"/>
        <v>0</v>
      </c>
      <c r="AK1721" s="2">
        <f t="shared" si="242"/>
        <v>17.641999999999999</v>
      </c>
      <c r="AL1721" s="5">
        <f t="shared" si="244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43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37"/>
        <v>0</v>
      </c>
      <c r="AJ1722" s="2">
        <f t="shared" si="238"/>
        <v>0</v>
      </c>
      <c r="AK1722" s="2">
        <f t="shared" si="242"/>
        <v>3.06</v>
      </c>
      <c r="AL1722" s="5">
        <f t="shared" si="244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43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37"/>
        <v>0</v>
      </c>
      <c r="AJ1723" s="2">
        <f t="shared" si="238"/>
        <v>0</v>
      </c>
      <c r="AK1723" s="2">
        <f t="shared" si="242"/>
        <v>3.4948999999999999</v>
      </c>
      <c r="AL1723" s="5">
        <f t="shared" si="244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43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37"/>
        <v>0</v>
      </c>
      <c r="AJ1724" s="2">
        <f t="shared" si="238"/>
        <v>0</v>
      </c>
      <c r="AK1724" s="2">
        <f t="shared" si="242"/>
        <v>763.04</v>
      </c>
      <c r="AL1724" s="5">
        <f t="shared" si="244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43"/>
        <v>0.4</v>
      </c>
      <c r="Z1725" s="2" t="s">
        <v>3226</v>
      </c>
      <c r="AA1725" s="2" t="s">
        <v>46</v>
      </c>
      <c r="AB1725" s="2" t="s">
        <v>60</v>
      </c>
      <c r="AC1725" s="2" t="s">
        <v>3331</v>
      </c>
      <c r="AF1725" s="2">
        <f t="shared" si="237"/>
        <v>0</v>
      </c>
      <c r="AJ1725" s="2">
        <f t="shared" si="238"/>
        <v>0</v>
      </c>
      <c r="AK1725" s="2">
        <f t="shared" si="242"/>
        <v>46.400000000000006</v>
      </c>
      <c r="AL1725" s="5">
        <f t="shared" si="244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43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37"/>
        <v>0</v>
      </c>
      <c r="AG1726" s="2">
        <v>117.453</v>
      </c>
      <c r="AH1726" s="2">
        <v>220</v>
      </c>
      <c r="AJ1726" s="2">
        <f t="shared" si="238"/>
        <v>0</v>
      </c>
      <c r="AK1726" s="2">
        <f t="shared" si="242"/>
        <v>92.546999999999997</v>
      </c>
      <c r="AL1726" s="5">
        <f t="shared" si="244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43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37"/>
        <v>0</v>
      </c>
      <c r="AG1727" s="2">
        <v>1.1399999999999999</v>
      </c>
      <c r="AH1727" s="2">
        <v>1.1399999999999999</v>
      </c>
      <c r="AJ1727" s="2">
        <f t="shared" si="238"/>
        <v>0</v>
      </c>
      <c r="AK1727" s="2">
        <f t="shared" si="242"/>
        <v>0</v>
      </c>
      <c r="AL1727" s="5">
        <f t="shared" si="244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43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37"/>
        <v>0</v>
      </c>
      <c r="AG1728" s="2">
        <v>10.6</v>
      </c>
      <c r="AH1728" s="2">
        <v>18</v>
      </c>
      <c r="AJ1728" s="2">
        <f t="shared" si="238"/>
        <v>0</v>
      </c>
      <c r="AK1728" s="2">
        <f t="shared" si="242"/>
        <v>7.4</v>
      </c>
      <c r="AL1728" s="5">
        <f t="shared" si="244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43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37"/>
        <v>0</v>
      </c>
      <c r="AG1729" s="2">
        <v>9.14</v>
      </c>
      <c r="AH1729" s="2">
        <v>16</v>
      </c>
      <c r="AJ1729" s="2">
        <f t="shared" si="238"/>
        <v>0</v>
      </c>
      <c r="AK1729" s="2">
        <f t="shared" si="242"/>
        <v>4.8600000000000012</v>
      </c>
      <c r="AL1729" s="5">
        <f t="shared" si="244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43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45">AJ1730</f>
        <v>0</v>
      </c>
      <c r="AJ1730" s="2">
        <f t="shared" ref="AJ1730:AJ1793" si="246">AI1730*T1730</f>
        <v>0</v>
      </c>
      <c r="AK1730" s="2">
        <f t="shared" si="242"/>
        <v>3.339999999999999</v>
      </c>
      <c r="AL1730" s="5">
        <f t="shared" si="244"/>
        <v>0.32745098039215681</v>
      </c>
    </row>
    <row r="1731" spans="1:38" x14ac:dyDescent="0.2">
      <c r="A1731" s="2">
        <v>2025</v>
      </c>
      <c r="B1731" s="2">
        <v>8</v>
      </c>
      <c r="D1731" s="2" t="s">
        <v>816</v>
      </c>
      <c r="E1731" s="2" t="s">
        <v>38</v>
      </c>
      <c r="F1731" s="2" t="s">
        <v>39</v>
      </c>
      <c r="L1731" s="2" t="s">
        <v>480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43"/>
        <v>0.4</v>
      </c>
      <c r="Z1731" s="2" t="s">
        <v>3226</v>
      </c>
      <c r="AA1731" s="2" t="s">
        <v>46</v>
      </c>
      <c r="AB1731" s="2" t="s">
        <v>60</v>
      </c>
      <c r="AC1731" s="2" t="s">
        <v>3404</v>
      </c>
      <c r="AF1731" s="2">
        <f t="shared" si="245"/>
        <v>0</v>
      </c>
      <c r="AJ1731" s="2">
        <f t="shared" si="246"/>
        <v>0</v>
      </c>
      <c r="AK1731" s="2">
        <f t="shared" si="242"/>
        <v>62.400000000000006</v>
      </c>
      <c r="AL1731" s="5">
        <f t="shared" si="244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45"/>
        <v>0</v>
      </c>
      <c r="AJ1732" s="2">
        <f t="shared" si="246"/>
        <v>0</v>
      </c>
      <c r="AK1732" s="2">
        <f t="shared" ref="AK1732:AK1763" si="247">T1732-W1732</f>
        <v>-33</v>
      </c>
      <c r="AL1732" s="5">
        <f t="shared" si="244"/>
        <v>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45"/>
        <v>0</v>
      </c>
      <c r="AJ1733" s="2">
        <f t="shared" si="246"/>
        <v>0</v>
      </c>
      <c r="AK1733" s="2">
        <f t="shared" si="247"/>
        <v>-75</v>
      </c>
      <c r="AL1733" s="5">
        <f t="shared" si="244"/>
        <v>1</v>
      </c>
    </row>
    <row r="1734" spans="1:38" x14ac:dyDescent="0.2">
      <c r="A1734" s="2">
        <v>2025</v>
      </c>
      <c r="B1734" s="2">
        <v>8</v>
      </c>
      <c r="D1734" s="2" t="s">
        <v>1388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ref="X1734:X1765" si="248">(T1734-W1734)/T1734</f>
        <v>1</v>
      </c>
      <c r="Z1734" s="2" t="s">
        <v>104</v>
      </c>
      <c r="AF1734" s="2">
        <f t="shared" si="245"/>
        <v>0</v>
      </c>
      <c r="AJ1734" s="2">
        <f t="shared" si="246"/>
        <v>0</v>
      </c>
      <c r="AK1734" s="2">
        <f t="shared" si="247"/>
        <v>420</v>
      </c>
      <c r="AL1734" s="5">
        <f t="shared" si="244"/>
        <v>1</v>
      </c>
    </row>
    <row r="1735" spans="1:38" x14ac:dyDescent="0.2">
      <c r="A1735" s="2">
        <v>2025</v>
      </c>
      <c r="B1735" s="2">
        <v>8</v>
      </c>
      <c r="D1735" s="2" t="s">
        <v>1388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48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45"/>
        <v>0</v>
      </c>
      <c r="AJ1735" s="2">
        <f t="shared" si="246"/>
        <v>0</v>
      </c>
      <c r="AK1735" s="2">
        <f t="shared" si="247"/>
        <v>445.75549999999998</v>
      </c>
      <c r="AL1735" s="5">
        <f t="shared" si="244"/>
        <v>0.26376065088757394</v>
      </c>
    </row>
    <row r="1736" spans="1:38" x14ac:dyDescent="0.2">
      <c r="A1736" s="2">
        <v>2025</v>
      </c>
      <c r="B1736" s="2">
        <v>8</v>
      </c>
      <c r="D1736" s="2" t="s">
        <v>1388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48"/>
        <v>1</v>
      </c>
      <c r="Z1736" s="2" t="s">
        <v>104</v>
      </c>
      <c r="AF1736" s="2">
        <f t="shared" si="245"/>
        <v>0</v>
      </c>
      <c r="AJ1736" s="2">
        <f t="shared" si="246"/>
        <v>0</v>
      </c>
      <c r="AK1736" s="2">
        <f t="shared" si="247"/>
        <v>4350</v>
      </c>
      <c r="AL1736" s="5">
        <f t="shared" si="244"/>
        <v>1</v>
      </c>
    </row>
    <row r="1737" spans="1:38" x14ac:dyDescent="0.2">
      <c r="A1737" s="2">
        <v>2025</v>
      </c>
      <c r="B1737" s="2">
        <v>8</v>
      </c>
      <c r="D1737" s="2" t="s">
        <v>1388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48"/>
        <v>1</v>
      </c>
      <c r="Z1737" s="2" t="s">
        <v>104</v>
      </c>
      <c r="AF1737" s="2">
        <f t="shared" si="245"/>
        <v>0</v>
      </c>
      <c r="AJ1737" s="2">
        <f t="shared" si="246"/>
        <v>0</v>
      </c>
      <c r="AK1737" s="2">
        <f t="shared" si="247"/>
        <v>3990</v>
      </c>
      <c r="AL1737" s="5">
        <f t="shared" si="244"/>
        <v>1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48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45"/>
        <v>0</v>
      </c>
      <c r="AG1738" s="2">
        <v>34.119999999999997</v>
      </c>
      <c r="AJ1738" s="2">
        <f t="shared" si="246"/>
        <v>0</v>
      </c>
      <c r="AK1738" s="2">
        <f t="shared" si="247"/>
        <v>21.470000000000006</v>
      </c>
      <c r="AL1738" s="5">
        <f t="shared" si="244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48"/>
        <v>1</v>
      </c>
      <c r="Z1739" s="2" t="s">
        <v>3226</v>
      </c>
      <c r="AF1739" s="2">
        <f t="shared" si="245"/>
        <v>0</v>
      </c>
      <c r="AJ1739" s="2">
        <f t="shared" si="246"/>
        <v>0</v>
      </c>
      <c r="AK1739" s="2">
        <f t="shared" si="247"/>
        <v>199</v>
      </c>
      <c r="AL1739" s="5">
        <f t="shared" si="244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48"/>
        <v>1</v>
      </c>
      <c r="Z1740" s="2" t="s">
        <v>3226</v>
      </c>
      <c r="AF1740" s="2">
        <f t="shared" si="245"/>
        <v>0</v>
      </c>
      <c r="AJ1740" s="2">
        <f t="shared" si="246"/>
        <v>0</v>
      </c>
      <c r="AK1740" s="2">
        <f t="shared" si="247"/>
        <v>98</v>
      </c>
      <c r="AL1740" s="5">
        <f t="shared" si="244"/>
        <v>1</v>
      </c>
    </row>
    <row r="1741" spans="1:38" x14ac:dyDescent="0.2">
      <c r="A1741" s="2">
        <v>2025</v>
      </c>
      <c r="B1741" s="2">
        <v>8</v>
      </c>
      <c r="C1741" s="2" t="s">
        <v>3317</v>
      </c>
      <c r="D1741" s="2" t="s">
        <v>3316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48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45"/>
        <v>0</v>
      </c>
      <c r="AJ1741" s="2">
        <f t="shared" si="246"/>
        <v>0</v>
      </c>
      <c r="AK1741" s="2">
        <f t="shared" si="247"/>
        <v>4858.59</v>
      </c>
      <c r="AL1741" s="5">
        <f t="shared" si="244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48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45"/>
        <v>0</v>
      </c>
      <c r="AG1742" s="2">
        <v>117.453</v>
      </c>
      <c r="AH1742" s="2">
        <v>220</v>
      </c>
      <c r="AJ1742" s="2">
        <f t="shared" si="246"/>
        <v>0</v>
      </c>
      <c r="AK1742" s="2">
        <f t="shared" si="247"/>
        <v>185.09399999999999</v>
      </c>
      <c r="AL1742" s="5">
        <f t="shared" si="244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48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45"/>
        <v>0</v>
      </c>
      <c r="AJ1743" s="2">
        <f t="shared" si="246"/>
        <v>0</v>
      </c>
      <c r="AK1743" s="2">
        <f t="shared" si="247"/>
        <v>0</v>
      </c>
      <c r="AL1743" s="5">
        <f t="shared" si="244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48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45"/>
        <v>0</v>
      </c>
      <c r="AG1744" s="2">
        <v>6.6266999999999996</v>
      </c>
      <c r="AH1744" s="2">
        <v>12</v>
      </c>
      <c r="AJ1744" s="2">
        <f t="shared" si="246"/>
        <v>0</v>
      </c>
      <c r="AK1744" s="2">
        <f t="shared" si="247"/>
        <v>5.3733000000000004</v>
      </c>
      <c r="AL1744" s="5">
        <f t="shared" si="244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48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45"/>
        <v>0</v>
      </c>
      <c r="AG1745" s="2">
        <v>10.6</v>
      </c>
      <c r="AH1745" s="2">
        <v>18</v>
      </c>
      <c r="AJ1745" s="2">
        <f t="shared" si="246"/>
        <v>0</v>
      </c>
      <c r="AK1745" s="2">
        <f t="shared" si="247"/>
        <v>14.8</v>
      </c>
      <c r="AL1745" s="5">
        <f t="shared" si="244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48"/>
        <v>1</v>
      </c>
      <c r="Z1746" s="2" t="s">
        <v>119</v>
      </c>
      <c r="AA1746" s="2" t="s">
        <v>492</v>
      </c>
      <c r="AF1746" s="2">
        <f t="shared" si="245"/>
        <v>0</v>
      </c>
      <c r="AJ1746" s="2">
        <f t="shared" si="246"/>
        <v>0</v>
      </c>
      <c r="AK1746" s="2">
        <f t="shared" si="247"/>
        <v>664.04</v>
      </c>
      <c r="AL1746" s="5">
        <f t="shared" si="244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48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45"/>
        <v>0</v>
      </c>
      <c r="AG1747" s="2">
        <v>152.85</v>
      </c>
      <c r="AH1747" s="2">
        <v>260</v>
      </c>
      <c r="AJ1747" s="2">
        <f t="shared" si="246"/>
        <v>0</v>
      </c>
      <c r="AK1747" s="2">
        <f t="shared" si="247"/>
        <v>107.15</v>
      </c>
      <c r="AL1747" s="5">
        <f t="shared" si="244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48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45"/>
        <v>0</v>
      </c>
      <c r="AJ1748" s="2">
        <f t="shared" si="246"/>
        <v>0</v>
      </c>
      <c r="AK1748" s="2">
        <f t="shared" si="247"/>
        <v>0</v>
      </c>
      <c r="AL1748" s="5">
        <f t="shared" si="244"/>
        <v>0</v>
      </c>
    </row>
    <row r="1749" spans="1:38" x14ac:dyDescent="0.2">
      <c r="A1749" s="2">
        <v>2025</v>
      </c>
      <c r="B1749" s="2">
        <v>8</v>
      </c>
      <c r="D1749" s="2" t="s">
        <v>850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48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45"/>
        <v>0</v>
      </c>
      <c r="AJ1749" s="2">
        <f t="shared" si="246"/>
        <v>0</v>
      </c>
      <c r="AK1749" s="2">
        <f t="shared" si="247"/>
        <v>86.080000000000013</v>
      </c>
      <c r="AL1749" s="5">
        <f t="shared" ref="AL1749:AL1780" si="249">(T1749-W1749)/T1749</f>
        <v>0.37426086956521742</v>
      </c>
    </row>
    <row r="1750" spans="1:38" x14ac:dyDescent="0.2">
      <c r="A1750" s="2">
        <v>2025</v>
      </c>
      <c r="B1750" s="2">
        <v>8</v>
      </c>
      <c r="D1750" s="2" t="s">
        <v>850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48"/>
        <v>#DIV/0!</v>
      </c>
      <c r="Z1750" s="2" t="s">
        <v>117</v>
      </c>
      <c r="AA1750" s="2" t="s">
        <v>1310</v>
      </c>
      <c r="AF1750" s="2">
        <f t="shared" si="245"/>
        <v>0</v>
      </c>
      <c r="AJ1750" s="2">
        <f t="shared" si="246"/>
        <v>0</v>
      </c>
      <c r="AK1750" s="2">
        <f t="shared" si="247"/>
        <v>0</v>
      </c>
      <c r="AL1750" s="5" t="e">
        <f t="shared" si="249"/>
        <v>#DIV/0!</v>
      </c>
    </row>
    <row r="1751" spans="1:38" x14ac:dyDescent="0.2">
      <c r="A1751" s="2">
        <v>2025</v>
      </c>
      <c r="B1751" s="2">
        <v>8</v>
      </c>
      <c r="D1751" s="2" t="s">
        <v>850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48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45"/>
        <v>0</v>
      </c>
      <c r="AJ1751" s="2">
        <f t="shared" si="246"/>
        <v>0</v>
      </c>
      <c r="AK1751" s="2">
        <f t="shared" si="247"/>
        <v>0</v>
      </c>
      <c r="AL1751" s="5">
        <f t="shared" si="249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48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45"/>
        <v>0</v>
      </c>
      <c r="AG1752" s="2">
        <v>3.7357999999999998</v>
      </c>
      <c r="AH1752" s="2">
        <v>9</v>
      </c>
      <c r="AJ1752" s="2">
        <f t="shared" si="246"/>
        <v>0</v>
      </c>
      <c r="AK1752" s="2">
        <f t="shared" si="247"/>
        <v>4.0641999999999996</v>
      </c>
      <c r="AL1752" s="5">
        <f t="shared" si="249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48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45"/>
        <v>0</v>
      </c>
      <c r="AJ1753" s="2">
        <f t="shared" si="246"/>
        <v>0</v>
      </c>
      <c r="AK1753" s="2">
        <f t="shared" si="247"/>
        <v>1190</v>
      </c>
      <c r="AL1753" s="5">
        <f t="shared" si="249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48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45"/>
        <v>0</v>
      </c>
      <c r="AJ1754" s="2">
        <f t="shared" si="246"/>
        <v>0</v>
      </c>
      <c r="AK1754" s="2">
        <f t="shared" si="247"/>
        <v>21.9</v>
      </c>
      <c r="AL1754" s="5">
        <f t="shared" si="249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48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45"/>
        <v>0</v>
      </c>
      <c r="AJ1755" s="2">
        <f t="shared" si="246"/>
        <v>0</v>
      </c>
      <c r="AK1755" s="2">
        <f t="shared" si="247"/>
        <v>36.9</v>
      </c>
      <c r="AL1755" s="5">
        <f t="shared" si="249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48"/>
        <v>1</v>
      </c>
      <c r="Z1756" s="2" t="s">
        <v>3226</v>
      </c>
      <c r="AF1756" s="2">
        <f t="shared" si="245"/>
        <v>0</v>
      </c>
      <c r="AJ1756" s="2">
        <f t="shared" si="246"/>
        <v>0</v>
      </c>
      <c r="AK1756" s="2">
        <f t="shared" si="247"/>
        <v>8.1999999999999993</v>
      </c>
      <c r="AL1756" s="5">
        <f t="shared" si="249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48"/>
        <v>1</v>
      </c>
      <c r="Z1757" s="2" t="s">
        <v>3226</v>
      </c>
      <c r="AF1757" s="2">
        <f t="shared" si="245"/>
        <v>0</v>
      </c>
      <c r="AJ1757" s="2">
        <f t="shared" si="246"/>
        <v>0</v>
      </c>
      <c r="AK1757" s="2">
        <f t="shared" si="247"/>
        <v>7.2</v>
      </c>
      <c r="AL1757" s="5">
        <f t="shared" si="249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48"/>
        <v>1</v>
      </c>
      <c r="Z1758" s="2" t="s">
        <v>3226</v>
      </c>
      <c r="AF1758" s="2">
        <f t="shared" si="245"/>
        <v>0</v>
      </c>
      <c r="AJ1758" s="2">
        <f t="shared" si="246"/>
        <v>0</v>
      </c>
      <c r="AK1758" s="2">
        <f t="shared" si="247"/>
        <v>28.9</v>
      </c>
      <c r="AL1758" s="5">
        <f t="shared" si="249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48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45"/>
        <v>0</v>
      </c>
      <c r="AG1759" s="2">
        <v>8.1999999999999993</v>
      </c>
      <c r="AH1759" s="2">
        <v>13</v>
      </c>
      <c r="AJ1759" s="2">
        <f t="shared" si="246"/>
        <v>0</v>
      </c>
      <c r="AK1759" s="2">
        <f t="shared" si="247"/>
        <v>23</v>
      </c>
      <c r="AL1759" s="5">
        <f t="shared" si="249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48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45"/>
        <v>0</v>
      </c>
      <c r="AG1760" s="2">
        <v>15.020300000000001</v>
      </c>
      <c r="AH1760" s="2">
        <v>27.6</v>
      </c>
      <c r="AJ1760" s="2">
        <f t="shared" si="246"/>
        <v>0</v>
      </c>
      <c r="AK1760" s="2">
        <f t="shared" si="247"/>
        <v>35.878199999999993</v>
      </c>
      <c r="AL1760" s="5">
        <f t="shared" si="249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48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45"/>
        <v>0</v>
      </c>
      <c r="AJ1761" s="2">
        <f t="shared" si="246"/>
        <v>0</v>
      </c>
      <c r="AK1761" s="2">
        <f t="shared" si="247"/>
        <v>30</v>
      </c>
      <c r="AL1761" s="5">
        <f t="shared" si="249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48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45"/>
        <v>0</v>
      </c>
      <c r="AJ1762" s="2">
        <f t="shared" si="246"/>
        <v>0</v>
      </c>
      <c r="AK1762" s="2">
        <f t="shared" si="247"/>
        <v>25</v>
      </c>
      <c r="AL1762" s="5">
        <f t="shared" si="249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48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45"/>
        <v>0</v>
      </c>
      <c r="AG1763" s="2">
        <v>5.9066999999999998</v>
      </c>
      <c r="AH1763" s="2">
        <v>12.6</v>
      </c>
      <c r="AJ1763" s="2">
        <f t="shared" si="246"/>
        <v>0</v>
      </c>
      <c r="AK1763" s="2">
        <f t="shared" si="247"/>
        <v>6.0933000000000002</v>
      </c>
      <c r="AL1763" s="5">
        <f t="shared" si="249"/>
        <v>0.50777499999999998</v>
      </c>
    </row>
    <row r="1764" spans="1:38" x14ac:dyDescent="0.2">
      <c r="A1764" s="2">
        <v>2025</v>
      </c>
      <c r="B1764" s="2">
        <v>8</v>
      </c>
      <c r="C1764" s="2" t="s">
        <v>3470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48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45"/>
        <v>0</v>
      </c>
      <c r="AG1764" s="2">
        <v>7.2217000000000002</v>
      </c>
      <c r="AH1764" s="2">
        <v>14.4</v>
      </c>
      <c r="AJ1764" s="2">
        <f t="shared" si="246"/>
        <v>0</v>
      </c>
      <c r="AK1764" s="2">
        <f t="shared" ref="AK1764:AK1792" si="250">T1764-W1764</f>
        <v>5.9782999999999991</v>
      </c>
      <c r="AL1764" s="5">
        <f t="shared" si="249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48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45"/>
        <v>0</v>
      </c>
      <c r="AG1765" s="2">
        <v>15.020300000000001</v>
      </c>
      <c r="AH1765" s="2">
        <v>27.6</v>
      </c>
      <c r="AJ1765" s="2">
        <f t="shared" si="246"/>
        <v>0</v>
      </c>
      <c r="AK1765" s="2">
        <f t="shared" si="250"/>
        <v>11.379699999999998</v>
      </c>
      <c r="AL1765" s="5">
        <f t="shared" si="249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ref="X1766:X1787" si="251">(T1766-W1766)/T1766</f>
        <v>1</v>
      </c>
      <c r="Z1766" s="2" t="s">
        <v>117</v>
      </c>
      <c r="AF1766" s="2">
        <f t="shared" si="245"/>
        <v>0</v>
      </c>
      <c r="AJ1766" s="2">
        <f t="shared" si="246"/>
        <v>0</v>
      </c>
      <c r="AK1766" s="2">
        <f t="shared" si="250"/>
        <v>46.59</v>
      </c>
      <c r="AL1766" s="5">
        <f t="shared" si="249"/>
        <v>1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51"/>
        <v>1</v>
      </c>
      <c r="Z1767" s="2" t="s">
        <v>3226</v>
      </c>
      <c r="AF1767" s="2">
        <f t="shared" si="245"/>
        <v>0</v>
      </c>
      <c r="AJ1767" s="2">
        <f t="shared" si="246"/>
        <v>0</v>
      </c>
      <c r="AK1767" s="2">
        <f t="shared" si="250"/>
        <v>100</v>
      </c>
      <c r="AL1767" s="5">
        <f t="shared" si="249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51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45"/>
        <v>0</v>
      </c>
      <c r="AG1768" s="2">
        <v>6.6266999999999996</v>
      </c>
      <c r="AH1768" s="2">
        <v>12</v>
      </c>
      <c r="AJ1768" s="2">
        <f t="shared" si="246"/>
        <v>0</v>
      </c>
      <c r="AK1768" s="2">
        <f t="shared" si="250"/>
        <v>5.3733000000000004</v>
      </c>
      <c r="AL1768" s="5">
        <f t="shared" si="249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51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45"/>
        <v>0</v>
      </c>
      <c r="AG1769" s="2">
        <v>10.6</v>
      </c>
      <c r="AH1769" s="2">
        <v>18</v>
      </c>
      <c r="AJ1769" s="2">
        <f t="shared" si="246"/>
        <v>0</v>
      </c>
      <c r="AK1769" s="2">
        <f t="shared" si="250"/>
        <v>7.4</v>
      </c>
      <c r="AL1769" s="5">
        <f t="shared" si="249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51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45"/>
        <v>0</v>
      </c>
      <c r="AJ1770" s="2">
        <f t="shared" si="246"/>
        <v>0</v>
      </c>
      <c r="AK1770" s="2">
        <f t="shared" si="250"/>
        <v>812</v>
      </c>
      <c r="AL1770" s="5">
        <f t="shared" si="249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51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45"/>
        <v>0</v>
      </c>
      <c r="AG1771" s="2">
        <v>29.27</v>
      </c>
      <c r="AH1771" s="2">
        <v>60</v>
      </c>
      <c r="AJ1771" s="2">
        <f t="shared" si="246"/>
        <v>0</v>
      </c>
      <c r="AK1771" s="2">
        <f t="shared" si="250"/>
        <v>10.73</v>
      </c>
      <c r="AL1771" s="5">
        <f t="shared" si="249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51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45"/>
        <v>0</v>
      </c>
      <c r="AG1772" s="2">
        <v>8.1999999999999993</v>
      </c>
      <c r="AH1772" s="2">
        <v>13</v>
      </c>
      <c r="AJ1772" s="2">
        <f t="shared" si="246"/>
        <v>0</v>
      </c>
      <c r="AK1772" s="2">
        <f t="shared" si="250"/>
        <v>4.7999999999999989</v>
      </c>
      <c r="AL1772" s="5">
        <f t="shared" si="249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51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45"/>
        <v>0</v>
      </c>
      <c r="AG1773" s="2">
        <v>15.020300000000001</v>
      </c>
      <c r="AH1773" s="2">
        <v>27.6</v>
      </c>
      <c r="AJ1773" s="2">
        <f t="shared" si="246"/>
        <v>0</v>
      </c>
      <c r="AK1773" s="2">
        <f t="shared" si="250"/>
        <v>6.9796999999999993</v>
      </c>
      <c r="AL1773" s="5">
        <f t="shared" si="249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51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45"/>
        <v>0</v>
      </c>
      <c r="AG1774" s="2">
        <v>117.453</v>
      </c>
      <c r="AH1774" s="2">
        <v>220</v>
      </c>
      <c r="AJ1774" s="2">
        <f t="shared" si="246"/>
        <v>0</v>
      </c>
      <c r="AK1774" s="2">
        <f t="shared" si="250"/>
        <v>102.42699999999999</v>
      </c>
      <c r="AL1774" s="5">
        <f t="shared" si="249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51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45"/>
        <v>0</v>
      </c>
      <c r="AG1775" s="2">
        <v>111.98</v>
      </c>
      <c r="AH1775" s="2">
        <v>210</v>
      </c>
      <c r="AJ1775" s="2">
        <f t="shared" si="246"/>
        <v>0</v>
      </c>
      <c r="AK1775" s="2">
        <f t="shared" si="250"/>
        <v>92.26</v>
      </c>
      <c r="AL1775" s="5">
        <f t="shared" si="249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51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45"/>
        <v>0</v>
      </c>
      <c r="AG1776" s="2">
        <f>110.125+11.77</f>
        <v>121.895</v>
      </c>
      <c r="AJ1776" s="2">
        <f t="shared" si="246"/>
        <v>0</v>
      </c>
      <c r="AK1776" s="2">
        <f t="shared" si="250"/>
        <v>83.105000000000004</v>
      </c>
      <c r="AL1776" s="5">
        <f t="shared" si="249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51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45"/>
        <v>0</v>
      </c>
      <c r="AJ1777" s="2">
        <f t="shared" si="246"/>
        <v>0</v>
      </c>
      <c r="AK1777" s="2">
        <f t="shared" si="250"/>
        <v>0</v>
      </c>
      <c r="AL1777" s="5">
        <f t="shared" si="249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51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45"/>
        <v>0</v>
      </c>
      <c r="AG1778" s="2">
        <v>22.2</v>
      </c>
      <c r="AJ1778" s="2">
        <f t="shared" si="246"/>
        <v>0</v>
      </c>
      <c r="AK1778" s="2">
        <f t="shared" si="250"/>
        <v>15.588000000000001</v>
      </c>
      <c r="AL1778" s="5">
        <f t="shared" si="249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51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45"/>
        <v>0</v>
      </c>
      <c r="AJ1779" s="2">
        <f t="shared" si="246"/>
        <v>0</v>
      </c>
      <c r="AK1779" s="2">
        <f t="shared" si="250"/>
        <v>1074.0199999999995</v>
      </c>
      <c r="AL1779" s="5">
        <f t="shared" si="249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51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45"/>
        <v>0</v>
      </c>
      <c r="AG1780" s="2">
        <v>5.9066999999999998</v>
      </c>
      <c r="AH1780" s="2">
        <v>12.6</v>
      </c>
      <c r="AJ1780" s="2">
        <f t="shared" si="246"/>
        <v>0</v>
      </c>
      <c r="AK1780" s="2">
        <f t="shared" si="250"/>
        <v>6.0933000000000002</v>
      </c>
      <c r="AL1780" s="5">
        <f t="shared" si="249"/>
        <v>0.50777499999999998</v>
      </c>
    </row>
    <row r="1781" spans="1:38" x14ac:dyDescent="0.2">
      <c r="A1781" s="2">
        <v>2025</v>
      </c>
      <c r="B1781" s="2">
        <v>8</v>
      </c>
      <c r="C1781" s="2" t="s">
        <v>3470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51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45"/>
        <v>0</v>
      </c>
      <c r="AG1781" s="2">
        <v>7.2217000000000002</v>
      </c>
      <c r="AH1781" s="2">
        <v>14.4</v>
      </c>
      <c r="AJ1781" s="2">
        <f t="shared" si="246"/>
        <v>0</v>
      </c>
      <c r="AK1781" s="2">
        <f t="shared" si="250"/>
        <v>11.956599999999998</v>
      </c>
      <c r="AL1781" s="5">
        <f t="shared" ref="AL1781:AL1787" si="252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51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45"/>
        <v>0</v>
      </c>
      <c r="AJ1782" s="2">
        <f t="shared" si="246"/>
        <v>0</v>
      </c>
      <c r="AK1782" s="2">
        <f t="shared" si="250"/>
        <v>68.12</v>
      </c>
      <c r="AL1782" s="5">
        <f t="shared" si="252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51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45"/>
        <v>0</v>
      </c>
      <c r="AJ1783" s="2">
        <f t="shared" si="246"/>
        <v>0</v>
      </c>
      <c r="AK1783" s="2">
        <f t="shared" si="250"/>
        <v>7.0100000000000051</v>
      </c>
      <c r="AL1783" s="5">
        <f t="shared" si="252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51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45"/>
        <v>0</v>
      </c>
      <c r="AJ1784" s="2">
        <f t="shared" si="246"/>
        <v>0</v>
      </c>
      <c r="AK1784" s="2">
        <f t="shared" si="250"/>
        <v>9.86</v>
      </c>
      <c r="AL1784" s="5">
        <f t="shared" si="252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51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45"/>
        <v>0</v>
      </c>
      <c r="AG1785" s="2">
        <v>0.85609999999999997</v>
      </c>
      <c r="AH1785" s="2">
        <v>1.8</v>
      </c>
      <c r="AJ1785" s="2">
        <f t="shared" si="246"/>
        <v>0</v>
      </c>
      <c r="AK1785" s="2">
        <f t="shared" si="250"/>
        <v>18.878</v>
      </c>
      <c r="AL1785" s="5">
        <f t="shared" si="252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51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45"/>
        <v>0</v>
      </c>
      <c r="AG1786" s="2">
        <v>15.020300000000001</v>
      </c>
      <c r="AH1786" s="2">
        <v>27.6</v>
      </c>
      <c r="AJ1786" s="2">
        <f t="shared" si="246"/>
        <v>0</v>
      </c>
      <c r="AK1786" s="2">
        <f t="shared" si="250"/>
        <v>99.593999999999994</v>
      </c>
      <c r="AL1786" s="5">
        <f t="shared" si="252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51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45"/>
        <v>0</v>
      </c>
      <c r="AG1787" s="2">
        <v>10.6</v>
      </c>
      <c r="AH1787" s="2">
        <v>18</v>
      </c>
      <c r="AJ1787" s="2">
        <f t="shared" si="246"/>
        <v>0</v>
      </c>
      <c r="AK1787" s="2">
        <f t="shared" si="250"/>
        <v>34</v>
      </c>
      <c r="AL1787" s="5">
        <f t="shared" si="252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45"/>
        <v>0</v>
      </c>
      <c r="AG1788" s="2">
        <v>6.6266999999999996</v>
      </c>
      <c r="AH1788" s="2">
        <v>12</v>
      </c>
      <c r="AJ1788" s="2">
        <f t="shared" si="246"/>
        <v>0</v>
      </c>
      <c r="AK1788" s="2">
        <f t="shared" si="250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45"/>
        <v>0</v>
      </c>
      <c r="AG1789" s="2">
        <v>10.2346</v>
      </c>
      <c r="AH1789" s="2">
        <v>18</v>
      </c>
      <c r="AJ1789" s="2">
        <f t="shared" si="246"/>
        <v>0</v>
      </c>
      <c r="AK1789" s="2">
        <f t="shared" si="250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45"/>
        <v>0</v>
      </c>
      <c r="AG1790" s="2">
        <v>3.7357999999999998</v>
      </c>
      <c r="AH1790" s="2">
        <v>9</v>
      </c>
      <c r="AJ1790" s="2">
        <f t="shared" si="246"/>
        <v>0</v>
      </c>
      <c r="AK1790" s="2">
        <f t="shared" si="250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45"/>
        <v>0</v>
      </c>
      <c r="AG1791" s="2">
        <v>5.2972999999999999</v>
      </c>
      <c r="AH1791" s="2">
        <v>10.8</v>
      </c>
      <c r="AJ1791" s="2">
        <f t="shared" si="246"/>
        <v>0</v>
      </c>
      <c r="AK1791" s="2">
        <f t="shared" si="250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45"/>
        <v>0</v>
      </c>
      <c r="AJ1792" s="2">
        <f t="shared" si="246"/>
        <v>0</v>
      </c>
      <c r="AK1792" s="2">
        <f t="shared" si="250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3317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45"/>
        <v>0</v>
      </c>
      <c r="AJ1793" s="2">
        <f t="shared" si="246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53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54">AJ1794</f>
        <v>0</v>
      </c>
      <c r="AG1794" s="2">
        <v>157.85</v>
      </c>
      <c r="AJ1794" s="2">
        <f t="shared" ref="AJ1794:AJ1857" si="255">AI1794*T1794</f>
        <v>0</v>
      </c>
      <c r="AK1794" s="2">
        <f t="shared" ref="AK1794:AK1807" si="256">T1794-W1794</f>
        <v>102.15</v>
      </c>
      <c r="AL1794" s="5">
        <f t="shared" ref="AL1794:AL1802" si="257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53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54"/>
        <v>0</v>
      </c>
      <c r="AJ1795" s="2">
        <f t="shared" si="255"/>
        <v>0</v>
      </c>
      <c r="AK1795" s="2">
        <f t="shared" si="256"/>
        <v>0</v>
      </c>
      <c r="AL1795" s="5">
        <f t="shared" si="257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53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54"/>
        <v>0</v>
      </c>
      <c r="AJ1796" s="2">
        <f t="shared" si="255"/>
        <v>0</v>
      </c>
      <c r="AK1796" s="2">
        <f t="shared" si="256"/>
        <v>100</v>
      </c>
      <c r="AL1796" s="5">
        <f t="shared" si="257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53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54"/>
        <v>0</v>
      </c>
      <c r="AG1797" s="2">
        <v>111.98</v>
      </c>
      <c r="AH1797" s="2">
        <v>210</v>
      </c>
      <c r="AJ1797" s="2">
        <f t="shared" si="255"/>
        <v>0</v>
      </c>
      <c r="AK1797" s="2">
        <f t="shared" si="256"/>
        <v>93.02</v>
      </c>
      <c r="AL1797" s="5">
        <f t="shared" si="257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53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54"/>
        <v>0</v>
      </c>
      <c r="AJ1798" s="2">
        <f t="shared" si="255"/>
        <v>0</v>
      </c>
      <c r="AK1798" s="2">
        <f t="shared" si="256"/>
        <v>0</v>
      </c>
      <c r="AL1798" s="5">
        <f t="shared" si="257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53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54"/>
        <v>0</v>
      </c>
      <c r="AG1799" s="2">
        <v>9.3000000000000007</v>
      </c>
      <c r="AH1799" s="2">
        <v>21</v>
      </c>
      <c r="AJ1799" s="2">
        <f t="shared" si="255"/>
        <v>0</v>
      </c>
      <c r="AK1799" s="2">
        <f t="shared" si="256"/>
        <v>9.3000000000000007</v>
      </c>
      <c r="AL1799" s="5">
        <f t="shared" si="257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53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54"/>
        <v>0</v>
      </c>
      <c r="AG1800" s="2">
        <v>10.6</v>
      </c>
      <c r="AH1800" s="2">
        <v>18</v>
      </c>
      <c r="AJ1800" s="2">
        <f t="shared" si="255"/>
        <v>0</v>
      </c>
      <c r="AK1800" s="2">
        <f t="shared" si="256"/>
        <v>34</v>
      </c>
      <c r="AL1800" s="5">
        <f t="shared" si="257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53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54"/>
        <v>0</v>
      </c>
      <c r="AG1801" s="2">
        <v>9.14</v>
      </c>
      <c r="AH1801" s="2">
        <v>16</v>
      </c>
      <c r="AJ1801" s="2">
        <f t="shared" si="255"/>
        <v>0</v>
      </c>
      <c r="AK1801" s="2">
        <f t="shared" si="256"/>
        <v>11.580000000000002</v>
      </c>
      <c r="AL1801" s="5">
        <f t="shared" si="257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53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54"/>
        <v>0</v>
      </c>
      <c r="AG1802" s="2">
        <v>8.1999999999999993</v>
      </c>
      <c r="AH1802" s="2">
        <v>13</v>
      </c>
      <c r="AJ1802" s="2">
        <f t="shared" si="255"/>
        <v>0</v>
      </c>
      <c r="AK1802" s="2">
        <f t="shared" si="256"/>
        <v>11.399999999999999</v>
      </c>
      <c r="AL1802" s="5">
        <f t="shared" si="257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54"/>
        <v>0</v>
      </c>
      <c r="AJ1803" s="2">
        <f t="shared" si="255"/>
        <v>0</v>
      </c>
      <c r="AK1803" s="2">
        <f t="shared" si="256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54"/>
        <v>0</v>
      </c>
      <c r="AJ1804" s="2">
        <f t="shared" si="255"/>
        <v>0</v>
      </c>
      <c r="AK1804" s="2">
        <f t="shared" si="256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54"/>
        <v>0</v>
      </c>
      <c r="AG1805" s="2">
        <v>3.7357999999999998</v>
      </c>
      <c r="AH1805" s="2">
        <v>9</v>
      </c>
      <c r="AJ1805" s="2">
        <f t="shared" si="255"/>
        <v>0</v>
      </c>
      <c r="AK1805" s="2">
        <f t="shared" si="256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54"/>
        <v>0</v>
      </c>
      <c r="AJ1806" s="2">
        <f t="shared" si="255"/>
        <v>0</v>
      </c>
      <c r="AK1806" s="2">
        <f t="shared" si="256"/>
        <v>-72.599999999999994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54"/>
        <v>0</v>
      </c>
      <c r="AJ1807" s="2">
        <f t="shared" si="255"/>
        <v>0</v>
      </c>
      <c r="AK1807" s="2">
        <f t="shared" si="256"/>
        <v>-100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119</v>
      </c>
      <c r="AA1808" s="2" t="s">
        <v>142</v>
      </c>
      <c r="AF1808" s="2">
        <f t="shared" si="254"/>
        <v>0</v>
      </c>
      <c r="AJ1808" s="2">
        <f t="shared" si="255"/>
        <v>0</v>
      </c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58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54"/>
        <v>0</v>
      </c>
      <c r="AJ1809" s="2">
        <f t="shared" si="255"/>
        <v>0</v>
      </c>
      <c r="AK1809" s="2">
        <f t="shared" ref="AK1809:AK1840" si="259">T1809-W1809</f>
        <v>8.9599999999999991</v>
      </c>
      <c r="AL1809" s="5">
        <f t="shared" ref="AL1809:AL1839" si="260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58"/>
        <v>0.25</v>
      </c>
      <c r="Z1810" s="2" t="s">
        <v>169</v>
      </c>
      <c r="AA1810" s="2" t="s">
        <v>169</v>
      </c>
      <c r="AF1810" s="2">
        <f t="shared" si="254"/>
        <v>0</v>
      </c>
      <c r="AJ1810" s="2">
        <f t="shared" si="255"/>
        <v>0</v>
      </c>
      <c r="AK1810" s="2">
        <f t="shared" si="259"/>
        <v>2</v>
      </c>
      <c r="AL1810" s="5">
        <f t="shared" si="260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58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54"/>
        <v>0</v>
      </c>
      <c r="AG1811" s="2">
        <v>10.6</v>
      </c>
      <c r="AH1811" s="2">
        <v>18</v>
      </c>
      <c r="AJ1811" s="2">
        <f t="shared" si="255"/>
        <v>0</v>
      </c>
      <c r="AK1811" s="2">
        <f t="shared" si="259"/>
        <v>12.200000000000001</v>
      </c>
      <c r="AL1811" s="5">
        <f t="shared" si="260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58"/>
        <v>1</v>
      </c>
      <c r="Z1812" s="2" t="s">
        <v>3226</v>
      </c>
      <c r="AF1812" s="2">
        <f t="shared" si="254"/>
        <v>0</v>
      </c>
      <c r="AJ1812" s="2">
        <f t="shared" si="255"/>
        <v>0</v>
      </c>
      <c r="AK1812" s="2">
        <f t="shared" si="259"/>
        <v>698</v>
      </c>
      <c r="AL1812" s="5">
        <f t="shared" si="260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58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54"/>
        <v>0</v>
      </c>
      <c r="AG1813" s="2">
        <v>10.6</v>
      </c>
      <c r="AH1813" s="2">
        <v>18</v>
      </c>
      <c r="AJ1813" s="2">
        <f t="shared" si="255"/>
        <v>0</v>
      </c>
      <c r="AK1813" s="2">
        <f t="shared" si="259"/>
        <v>16.200000000000003</v>
      </c>
      <c r="AL1813" s="5">
        <f t="shared" si="260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58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54"/>
        <v>0</v>
      </c>
      <c r="AG1814" s="2">
        <v>8.1999999999999993</v>
      </c>
      <c r="AH1814" s="2">
        <v>13</v>
      </c>
      <c r="AJ1814" s="2">
        <f t="shared" si="255"/>
        <v>0</v>
      </c>
      <c r="AK1814" s="2">
        <f t="shared" si="259"/>
        <v>7.5999999999999979</v>
      </c>
      <c r="AL1814" s="5">
        <f t="shared" si="260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58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54"/>
        <v>0</v>
      </c>
      <c r="AJ1815" s="2">
        <f t="shared" si="255"/>
        <v>0</v>
      </c>
      <c r="AK1815" s="2">
        <f t="shared" si="259"/>
        <v>4.8600000000000012</v>
      </c>
      <c r="AL1815" s="5">
        <f t="shared" si="260"/>
        <v>0.34714285714285725</v>
      </c>
    </row>
    <row r="1816" spans="1:38" x14ac:dyDescent="0.2">
      <c r="A1816" s="2">
        <v>2025</v>
      </c>
      <c r="B1816" s="2">
        <v>10</v>
      </c>
      <c r="C1816" s="2" t="s">
        <v>3410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58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54"/>
        <v>0</v>
      </c>
      <c r="AJ1816" s="2">
        <f t="shared" si="255"/>
        <v>0</v>
      </c>
      <c r="AK1816" s="2">
        <f t="shared" si="259"/>
        <v>25.200000000000003</v>
      </c>
      <c r="AL1816" s="5">
        <f t="shared" si="260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58"/>
        <v>1</v>
      </c>
      <c r="Z1817" s="2" t="s">
        <v>3226</v>
      </c>
      <c r="AF1817" s="2">
        <f t="shared" si="254"/>
        <v>0</v>
      </c>
      <c r="AJ1817" s="2">
        <f t="shared" si="255"/>
        <v>0</v>
      </c>
      <c r="AK1817" s="2">
        <f t="shared" si="259"/>
        <v>36.9</v>
      </c>
      <c r="AL1817" s="5">
        <f t="shared" si="260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58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54"/>
        <v>0</v>
      </c>
      <c r="AJ1818" s="2">
        <f t="shared" si="255"/>
        <v>0</v>
      </c>
      <c r="AK1818" s="2">
        <f t="shared" si="259"/>
        <v>1.8650000000000002</v>
      </c>
      <c r="AL1818" s="5">
        <f t="shared" si="260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58"/>
        <v>1</v>
      </c>
      <c r="Z1819" s="2" t="s">
        <v>3226</v>
      </c>
      <c r="AF1819" s="2">
        <f t="shared" si="254"/>
        <v>0</v>
      </c>
      <c r="AJ1819" s="2">
        <f t="shared" si="255"/>
        <v>0</v>
      </c>
      <c r="AK1819" s="2">
        <f t="shared" si="259"/>
        <v>10.9</v>
      </c>
      <c r="AL1819" s="5">
        <f t="shared" si="260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58"/>
        <v>1</v>
      </c>
      <c r="Z1820" s="2" t="s">
        <v>3226</v>
      </c>
      <c r="AF1820" s="2">
        <f t="shared" si="254"/>
        <v>0</v>
      </c>
      <c r="AJ1820" s="2">
        <f t="shared" si="255"/>
        <v>0</v>
      </c>
      <c r="AK1820" s="2">
        <f t="shared" si="259"/>
        <v>56.91</v>
      </c>
      <c r="AL1820" s="5">
        <f t="shared" si="260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58"/>
        <v>1</v>
      </c>
      <c r="Z1821" s="2" t="s">
        <v>3226</v>
      </c>
      <c r="AF1821" s="2">
        <f t="shared" si="254"/>
        <v>0</v>
      </c>
      <c r="AJ1821" s="2">
        <f t="shared" si="255"/>
        <v>0</v>
      </c>
      <c r="AK1821" s="2">
        <f t="shared" si="259"/>
        <v>80</v>
      </c>
      <c r="AL1821" s="5">
        <f t="shared" si="260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58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54"/>
        <v>0</v>
      </c>
      <c r="AG1822" s="2">
        <v>10.6</v>
      </c>
      <c r="AH1822" s="2">
        <v>18</v>
      </c>
      <c r="AJ1822" s="2">
        <f t="shared" si="255"/>
        <v>0</v>
      </c>
      <c r="AK1822" s="2">
        <f t="shared" si="259"/>
        <v>22.200000000000003</v>
      </c>
      <c r="AL1822" s="5">
        <f t="shared" si="260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58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54"/>
        <v>0</v>
      </c>
      <c r="AG1823" s="2">
        <v>29.27</v>
      </c>
      <c r="AH1823" s="2">
        <v>60</v>
      </c>
      <c r="AJ1823" s="2">
        <f t="shared" si="255"/>
        <v>0</v>
      </c>
      <c r="AK1823" s="2">
        <f t="shared" si="259"/>
        <v>40.730000000000004</v>
      </c>
      <c r="AL1823" s="5">
        <f t="shared" si="260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58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54"/>
        <v>0</v>
      </c>
      <c r="AG1824" s="2">
        <v>0.85609999999999997</v>
      </c>
      <c r="AH1824" s="2">
        <v>1.8</v>
      </c>
      <c r="AJ1824" s="2">
        <f t="shared" si="255"/>
        <v>0</v>
      </c>
      <c r="AK1824" s="2">
        <f t="shared" si="259"/>
        <v>18.878</v>
      </c>
      <c r="AL1824" s="5">
        <f t="shared" si="260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58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54"/>
        <v>0</v>
      </c>
      <c r="AG1825" s="2">
        <v>7.9611999999999998</v>
      </c>
      <c r="AH1825" s="2">
        <v>14.4</v>
      </c>
      <c r="AJ1825" s="2">
        <f t="shared" si="255"/>
        <v>0</v>
      </c>
      <c r="AK1825" s="2">
        <f t="shared" si="259"/>
        <v>7.0388000000000002</v>
      </c>
      <c r="AL1825" s="5">
        <f t="shared" si="260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58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54"/>
        <v>0</v>
      </c>
      <c r="AG1826" s="2">
        <v>8.3145000000000007</v>
      </c>
      <c r="AH1826" s="2">
        <v>15</v>
      </c>
      <c r="AJ1826" s="2">
        <f t="shared" si="255"/>
        <v>0</v>
      </c>
      <c r="AK1826" s="2">
        <f t="shared" si="259"/>
        <v>7.3709999999999987</v>
      </c>
      <c r="AL1826" s="5">
        <f t="shared" si="260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58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54"/>
        <v>0</v>
      </c>
      <c r="AJ1827" s="2">
        <f t="shared" si="255"/>
        <v>0</v>
      </c>
      <c r="AK1827" s="2">
        <f t="shared" si="259"/>
        <v>133.01999999999998</v>
      </c>
      <c r="AL1827" s="5">
        <f t="shared" si="260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58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54"/>
        <v>0</v>
      </c>
      <c r="AJ1828" s="2">
        <f t="shared" si="255"/>
        <v>0</v>
      </c>
      <c r="AK1828" s="2">
        <f t="shared" si="259"/>
        <v>173.10000000000002</v>
      </c>
      <c r="AL1828" s="5">
        <f t="shared" si="260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58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54"/>
        <v>0</v>
      </c>
      <c r="AJ1829" s="2">
        <f t="shared" si="255"/>
        <v>0</v>
      </c>
      <c r="AK1829" s="2">
        <f t="shared" si="259"/>
        <v>228.01999999999992</v>
      </c>
      <c r="AL1829" s="5">
        <f t="shared" si="260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58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54"/>
        <v>0</v>
      </c>
      <c r="AJ1830" s="2">
        <f t="shared" si="255"/>
        <v>0</v>
      </c>
      <c r="AK1830" s="2">
        <f t="shared" si="259"/>
        <v>0</v>
      </c>
      <c r="AL1830" s="5">
        <f t="shared" si="260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58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54"/>
        <v>0</v>
      </c>
      <c r="AG1831" s="2">
        <v>7.915</v>
      </c>
      <c r="AJ1831" s="2">
        <f t="shared" si="255"/>
        <v>0</v>
      </c>
      <c r="AK1831" s="2">
        <f t="shared" si="259"/>
        <v>5.8850000000000007</v>
      </c>
      <c r="AL1831" s="5">
        <f t="shared" si="260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58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54"/>
        <v>0</v>
      </c>
      <c r="AG1832" s="2">
        <v>10.035</v>
      </c>
      <c r="AJ1832" s="2">
        <f t="shared" si="255"/>
        <v>0</v>
      </c>
      <c r="AK1832" s="2">
        <f t="shared" si="259"/>
        <v>7.3649999999999984</v>
      </c>
      <c r="AL1832" s="5">
        <f t="shared" si="260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58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54"/>
        <v>0</v>
      </c>
      <c r="AG1833" s="2">
        <v>12.4434</v>
      </c>
      <c r="AJ1833" s="2">
        <f t="shared" si="255"/>
        <v>0</v>
      </c>
      <c r="AK1833" s="2">
        <f t="shared" si="259"/>
        <v>8.5565999999999995</v>
      </c>
      <c r="AL1833" s="5">
        <f t="shared" si="260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58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54"/>
        <v>0</v>
      </c>
      <c r="AG1834" s="2">
        <v>11.087999999999999</v>
      </c>
      <c r="AJ1834" s="2">
        <f t="shared" si="255"/>
        <v>0</v>
      </c>
      <c r="AK1834" s="2">
        <f t="shared" si="259"/>
        <v>8.7550000000000008</v>
      </c>
      <c r="AL1834" s="5">
        <f t="shared" si="260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58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54"/>
        <v>0</v>
      </c>
      <c r="AG1835" s="2">
        <v>15.020300000000001</v>
      </c>
      <c r="AH1835" s="2">
        <v>27.6</v>
      </c>
      <c r="AJ1835" s="2">
        <f t="shared" si="255"/>
        <v>0</v>
      </c>
      <c r="AK1835" s="2">
        <f t="shared" si="259"/>
        <v>23.918799999999997</v>
      </c>
      <c r="AL1835" s="5">
        <f t="shared" si="260"/>
        <v>0.28474761904761903</v>
      </c>
    </row>
    <row r="1836" spans="1:38" x14ac:dyDescent="0.2">
      <c r="A1836" s="2">
        <v>2025</v>
      </c>
      <c r="B1836" s="2">
        <v>10</v>
      </c>
      <c r="C1836" s="2" t="s">
        <v>3412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58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54"/>
        <v>0</v>
      </c>
      <c r="AJ1836" s="2">
        <f t="shared" si="255"/>
        <v>0</v>
      </c>
      <c r="AK1836" s="2">
        <f t="shared" si="259"/>
        <v>3330.6000000000004</v>
      </c>
      <c r="AL1836" s="5">
        <f t="shared" si="260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58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54"/>
        <v>0</v>
      </c>
      <c r="AG1837" s="2">
        <v>113.33</v>
      </c>
      <c r="AH1837" s="2">
        <v>220</v>
      </c>
      <c r="AJ1837" s="2">
        <f t="shared" si="255"/>
        <v>0</v>
      </c>
      <c r="AK1837" s="2">
        <f t="shared" si="259"/>
        <v>96.67</v>
      </c>
      <c r="AL1837" s="5">
        <f t="shared" si="260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58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54"/>
        <v>0</v>
      </c>
      <c r="AJ1838" s="2">
        <f t="shared" si="255"/>
        <v>0</v>
      </c>
      <c r="AK1838" s="2">
        <f t="shared" si="259"/>
        <v>0</v>
      </c>
      <c r="AL1838" s="5">
        <f t="shared" si="260"/>
        <v>0</v>
      </c>
    </row>
    <row r="1839" spans="1:38" x14ac:dyDescent="0.2">
      <c r="A1839" s="2">
        <v>2025</v>
      </c>
      <c r="B1839" s="2">
        <v>10</v>
      </c>
      <c r="C1839" s="2" t="s">
        <v>3410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58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54"/>
        <v>0</v>
      </c>
      <c r="AJ1839" s="2">
        <f t="shared" si="255"/>
        <v>0</v>
      </c>
      <c r="AK1839" s="2">
        <f t="shared" si="259"/>
        <v>298</v>
      </c>
      <c r="AL1839" s="5">
        <f t="shared" si="260"/>
        <v>0.50084033613445378</v>
      </c>
    </row>
    <row r="1840" spans="1:38" x14ac:dyDescent="0.2">
      <c r="A1840" s="2">
        <v>2025</v>
      </c>
      <c r="B1840" s="2">
        <v>10</v>
      </c>
      <c r="C1840" s="2" t="s">
        <v>3410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3331</v>
      </c>
      <c r="AF1840" s="2">
        <f t="shared" si="254"/>
        <v>0</v>
      </c>
      <c r="AJ1840" s="2">
        <f t="shared" si="255"/>
        <v>0</v>
      </c>
      <c r="AK1840" s="2">
        <f t="shared" si="259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3410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54"/>
        <v>0</v>
      </c>
      <c r="AJ1841" s="2">
        <f t="shared" si="255"/>
        <v>0</v>
      </c>
      <c r="AK1841" s="2">
        <f>T1841+(W1841)</f>
        <v>-63.768600000000006</v>
      </c>
      <c r="AL1841" s="18">
        <f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3410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54"/>
        <v>0</v>
      </c>
      <c r="AJ1842" s="2">
        <f t="shared" si="255"/>
        <v>0</v>
      </c>
      <c r="AK1842" s="2">
        <f>T1842+(W1842)</f>
        <v>-60.394800000000004</v>
      </c>
      <c r="AL1842" s="18">
        <f>SIGN(T1842)*((ABS(T1842)-W1842)/ABS(T1842))</f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61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54"/>
        <v>0</v>
      </c>
      <c r="AG1843" s="2">
        <v>3.7357999999999998</v>
      </c>
      <c r="AH1843" s="2">
        <v>9</v>
      </c>
      <c r="AJ1843" s="2">
        <f t="shared" si="255"/>
        <v>0</v>
      </c>
      <c r="AK1843" s="2">
        <f t="shared" ref="AK1843:AK1874" si="262">T1843-W1843</f>
        <v>4.0641999999999996</v>
      </c>
      <c r="AL1843" s="5">
        <f t="shared" ref="AL1843:AL1848" si="263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61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54"/>
        <v>0</v>
      </c>
      <c r="AG1844" s="2">
        <v>7.2217000000000002</v>
      </c>
      <c r="AH1844" s="2">
        <v>14.4</v>
      </c>
      <c r="AJ1844" s="2">
        <f t="shared" si="255"/>
        <v>0</v>
      </c>
      <c r="AK1844" s="2">
        <f t="shared" si="262"/>
        <v>5.9782999999999991</v>
      </c>
      <c r="AL1844" s="5">
        <f t="shared" si="263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61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54"/>
        <v>0</v>
      </c>
      <c r="AG1845" s="2">
        <v>10.6</v>
      </c>
      <c r="AH1845" s="2">
        <v>18</v>
      </c>
      <c r="AJ1845" s="2">
        <f t="shared" si="255"/>
        <v>0</v>
      </c>
      <c r="AK1845" s="2">
        <f t="shared" si="262"/>
        <v>7.4</v>
      </c>
      <c r="AL1845" s="5">
        <f t="shared" si="263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61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54"/>
        <v>0</v>
      </c>
      <c r="AG1846" s="2">
        <v>8.1999999999999993</v>
      </c>
      <c r="AH1846" s="2">
        <v>13</v>
      </c>
      <c r="AJ1846" s="2">
        <f t="shared" si="255"/>
        <v>0</v>
      </c>
      <c r="AK1846" s="2">
        <f t="shared" si="262"/>
        <v>4.7999999999999989</v>
      </c>
      <c r="AL1846" s="5">
        <f t="shared" si="263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61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54"/>
        <v>0</v>
      </c>
      <c r="AJ1847" s="2">
        <f t="shared" si="255"/>
        <v>0</v>
      </c>
      <c r="AK1847" s="2">
        <f t="shared" si="262"/>
        <v>352.72999999999996</v>
      </c>
      <c r="AL1847" s="5">
        <f t="shared" si="263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61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54"/>
        <v>0</v>
      </c>
      <c r="AJ1848" s="2">
        <f t="shared" si="255"/>
        <v>0</v>
      </c>
      <c r="AK1848" s="2">
        <f t="shared" si="262"/>
        <v>64.199999999999989</v>
      </c>
      <c r="AL1848" s="5">
        <f t="shared" si="263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54"/>
        <v>0</v>
      </c>
      <c r="AJ1849" s="2">
        <f t="shared" si="255"/>
        <v>0</v>
      </c>
      <c r="AK1849" s="2">
        <f t="shared" si="262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64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54"/>
        <v>0</v>
      </c>
      <c r="AJ1850" s="2">
        <f t="shared" si="255"/>
        <v>0</v>
      </c>
      <c r="AK1850" s="2">
        <f t="shared" si="262"/>
        <v>16.600000000000001</v>
      </c>
      <c r="AL1850" s="5">
        <f t="shared" ref="AL1850:AL1881" si="265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64"/>
        <v>0.25</v>
      </c>
      <c r="Z1851" s="2" t="s">
        <v>169</v>
      </c>
      <c r="AA1851" s="2" t="s">
        <v>169</v>
      </c>
      <c r="AF1851" s="2">
        <f t="shared" si="254"/>
        <v>0</v>
      </c>
      <c r="AJ1851" s="2">
        <f t="shared" si="255"/>
        <v>0</v>
      </c>
      <c r="AK1851" s="2">
        <f t="shared" si="262"/>
        <v>2</v>
      </c>
      <c r="AL1851" s="5">
        <f t="shared" si="265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64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54"/>
        <v>0</v>
      </c>
      <c r="AG1852" s="2">
        <v>40.357500000000002</v>
      </c>
      <c r="AJ1852" s="2">
        <f t="shared" si="255"/>
        <v>0</v>
      </c>
      <c r="AK1852" s="2">
        <f t="shared" si="262"/>
        <v>31.462499999999991</v>
      </c>
      <c r="AL1852" s="5">
        <f t="shared" si="265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64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54"/>
        <v>0</v>
      </c>
      <c r="AG1853" s="2">
        <v>14.4</v>
      </c>
      <c r="AJ1853" s="2">
        <f t="shared" si="255"/>
        <v>0</v>
      </c>
      <c r="AK1853" s="2">
        <f t="shared" si="262"/>
        <v>6.4799999999999986</v>
      </c>
      <c r="AL1853" s="5">
        <f t="shared" si="265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64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54"/>
        <v>0</v>
      </c>
      <c r="AG1854" s="2">
        <v>22.2</v>
      </c>
      <c r="AJ1854" s="2">
        <f t="shared" si="255"/>
        <v>0</v>
      </c>
      <c r="AK1854" s="2">
        <f t="shared" si="262"/>
        <v>18.917999999999999</v>
      </c>
      <c r="AL1854" s="5">
        <f t="shared" si="265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64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54"/>
        <v>0</v>
      </c>
      <c r="AG1855" s="2">
        <v>11.246700000000001</v>
      </c>
      <c r="AJ1855" s="2">
        <f t="shared" si="255"/>
        <v>0</v>
      </c>
      <c r="AK1855" s="2">
        <f t="shared" si="262"/>
        <v>22.5</v>
      </c>
      <c r="AL1855" s="5">
        <f t="shared" si="265"/>
        <v>0.5</v>
      </c>
    </row>
    <row r="1856" spans="1:38" x14ac:dyDescent="0.2">
      <c r="A1856" s="2">
        <v>2025</v>
      </c>
      <c r="B1856" s="2">
        <v>10</v>
      </c>
      <c r="C1856" s="2" t="s">
        <v>3412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64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54"/>
        <v>0</v>
      </c>
      <c r="AG1856" s="2">
        <v>117.453</v>
      </c>
      <c r="AH1856" s="2">
        <v>220</v>
      </c>
      <c r="AJ1856" s="2">
        <f t="shared" si="255"/>
        <v>0</v>
      </c>
      <c r="AK1856" s="2">
        <f t="shared" si="262"/>
        <v>102.547</v>
      </c>
      <c r="AL1856" s="5">
        <f t="shared" si="265"/>
        <v>0.46612272727272724</v>
      </c>
    </row>
    <row r="1857" spans="1:38" x14ac:dyDescent="0.2">
      <c r="A1857" s="2">
        <v>2025</v>
      </c>
      <c r="B1857" s="2">
        <v>10</v>
      </c>
      <c r="C1857" s="2" t="s">
        <v>3412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64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54"/>
        <v>0</v>
      </c>
      <c r="AJ1857" s="2">
        <f t="shared" si="255"/>
        <v>0</v>
      </c>
      <c r="AK1857" s="2">
        <f t="shared" si="262"/>
        <v>0</v>
      </c>
      <c r="AL1857" s="5">
        <f t="shared" si="265"/>
        <v>0</v>
      </c>
    </row>
    <row r="1858" spans="1:38" x14ac:dyDescent="0.2">
      <c r="A1858" s="2">
        <v>2025</v>
      </c>
      <c r="B1858" s="2">
        <v>10</v>
      </c>
      <c r="C1858" s="2" t="s">
        <v>3412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64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66">AJ1858</f>
        <v>0</v>
      </c>
      <c r="AG1858" s="2">
        <v>7.9611999999999998</v>
      </c>
      <c r="AH1858" s="2">
        <v>14.4</v>
      </c>
      <c r="AJ1858" s="2">
        <f t="shared" ref="AJ1858:AJ1921" si="267">AI1858*T1858</f>
        <v>0</v>
      </c>
      <c r="AK1858" s="2">
        <f t="shared" si="262"/>
        <v>7.0388000000000002</v>
      </c>
      <c r="AL1858" s="5">
        <f t="shared" si="265"/>
        <v>0.46925333333333336</v>
      </c>
    </row>
    <row r="1859" spans="1:38" x14ac:dyDescent="0.2">
      <c r="A1859" s="2">
        <v>2025</v>
      </c>
      <c r="B1859" s="2">
        <v>10</v>
      </c>
      <c r="C1859" s="2" t="s">
        <v>3412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64"/>
        <v>0.25</v>
      </c>
      <c r="Z1859" s="2" t="s">
        <v>169</v>
      </c>
      <c r="AA1859" s="2" t="s">
        <v>169</v>
      </c>
      <c r="AF1859" s="2">
        <f t="shared" si="266"/>
        <v>0</v>
      </c>
      <c r="AJ1859" s="2">
        <f t="shared" si="267"/>
        <v>0</v>
      </c>
      <c r="AK1859" s="2">
        <f t="shared" si="262"/>
        <v>2</v>
      </c>
      <c r="AL1859" s="5">
        <f t="shared" si="265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64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66"/>
        <v>0</v>
      </c>
      <c r="AG1860" s="2">
        <v>1.1122000000000001</v>
      </c>
      <c r="AH1860" s="2">
        <v>3</v>
      </c>
      <c r="AJ1860" s="2">
        <f t="shared" si="267"/>
        <v>0</v>
      </c>
      <c r="AK1860" s="2">
        <f t="shared" si="262"/>
        <v>37.756</v>
      </c>
      <c r="AL1860" s="5">
        <f t="shared" si="265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64"/>
        <v>1</v>
      </c>
      <c r="Z1861" s="2" t="s">
        <v>119</v>
      </c>
      <c r="AA1861" s="2" t="s">
        <v>3379</v>
      </c>
      <c r="AF1861" s="2">
        <f t="shared" si="266"/>
        <v>0</v>
      </c>
      <c r="AJ1861" s="2">
        <f t="shared" si="267"/>
        <v>0</v>
      </c>
      <c r="AK1861" s="2">
        <f t="shared" si="262"/>
        <v>8000</v>
      </c>
      <c r="AL1861" s="5">
        <f t="shared" si="265"/>
        <v>1</v>
      </c>
    </row>
    <row r="1862" spans="1:38" x14ac:dyDescent="0.2">
      <c r="A1862" s="2">
        <v>2025</v>
      </c>
      <c r="B1862" s="2">
        <v>10</v>
      </c>
      <c r="C1862" s="2" t="s">
        <v>3487</v>
      </c>
      <c r="D1862" s="2" t="s">
        <v>3485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66"/>
        <v>0</v>
      </c>
      <c r="AJ1862" s="2">
        <f t="shared" si="267"/>
        <v>0</v>
      </c>
      <c r="AK1862" s="2">
        <f t="shared" si="262"/>
        <v>-11744.23</v>
      </c>
      <c r="AL1862" s="5">
        <v>0</v>
      </c>
    </row>
    <row r="1863" spans="1:38" x14ac:dyDescent="0.2">
      <c r="A1863" s="2">
        <v>2025</v>
      </c>
      <c r="B1863" s="2">
        <v>10</v>
      </c>
      <c r="C1863" s="2" t="s">
        <v>3487</v>
      </c>
      <c r="D1863" s="2" t="s">
        <v>3485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66"/>
        <v>0</v>
      </c>
      <c r="AJ1863" s="2">
        <f t="shared" si="267"/>
        <v>0</v>
      </c>
      <c r="AK1863" s="2">
        <f t="shared" si="262"/>
        <v>0</v>
      </c>
      <c r="AL1863" s="5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68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66"/>
        <v>0</v>
      </c>
      <c r="AJ1864" s="2">
        <f t="shared" si="267"/>
        <v>0</v>
      </c>
      <c r="AK1864" s="2">
        <f t="shared" si="262"/>
        <v>979.76</v>
      </c>
      <c r="AL1864" s="5">
        <f t="shared" si="265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68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66"/>
        <v>0</v>
      </c>
      <c r="AJ1865" s="2">
        <f t="shared" si="267"/>
        <v>0</v>
      </c>
      <c r="AK1865" s="2">
        <f t="shared" si="262"/>
        <v>94.8</v>
      </c>
      <c r="AL1865" s="5">
        <f t="shared" si="265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68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66"/>
        <v>0</v>
      </c>
      <c r="AJ1866" s="2">
        <f t="shared" si="267"/>
        <v>0</v>
      </c>
      <c r="AK1866" s="2">
        <f t="shared" si="262"/>
        <v>100</v>
      </c>
      <c r="AL1866" s="5">
        <f t="shared" si="265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68"/>
        <v>1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66"/>
        <v>0</v>
      </c>
      <c r="AJ1867" s="2">
        <f t="shared" si="267"/>
        <v>0</v>
      </c>
      <c r="AK1867" s="2">
        <f t="shared" si="262"/>
        <v>698.32</v>
      </c>
      <c r="AL1867" s="5">
        <f t="shared" si="265"/>
        <v>1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68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66"/>
        <v>0</v>
      </c>
      <c r="AJ1868" s="2">
        <f t="shared" si="267"/>
        <v>0</v>
      </c>
      <c r="AK1868" s="2">
        <f t="shared" si="262"/>
        <v>167.30579999999998</v>
      </c>
      <c r="AL1868" s="5">
        <f t="shared" si="265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68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66"/>
        <v>0</v>
      </c>
      <c r="AJ1869" s="2">
        <f t="shared" si="267"/>
        <v>0</v>
      </c>
      <c r="AK1869" s="2">
        <f t="shared" si="262"/>
        <v>157.18439999999998</v>
      </c>
      <c r="AL1869" s="5">
        <f t="shared" si="265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68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66"/>
        <v>0</v>
      </c>
      <c r="AG1870" s="2">
        <v>121.0733</v>
      </c>
      <c r="AH1870" s="2">
        <v>220</v>
      </c>
      <c r="AJ1870" s="2">
        <f t="shared" si="267"/>
        <v>0</v>
      </c>
      <c r="AK1870" s="2">
        <f t="shared" si="262"/>
        <v>98.02</v>
      </c>
      <c r="AL1870" s="5">
        <f t="shared" si="265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68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66"/>
        <v>0</v>
      </c>
      <c r="AG1871" s="2">
        <v>122.446</v>
      </c>
      <c r="AH1871" s="2">
        <v>230</v>
      </c>
      <c r="AJ1871" s="2">
        <f t="shared" si="267"/>
        <v>0</v>
      </c>
      <c r="AK1871" s="2">
        <f t="shared" si="262"/>
        <v>97.554000000000002</v>
      </c>
      <c r="AL1871" s="5">
        <f t="shared" si="265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68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66"/>
        <v>0</v>
      </c>
      <c r="AG1872" s="2">
        <v>110.68</v>
      </c>
      <c r="AH1872" s="2">
        <v>210</v>
      </c>
      <c r="AJ1872" s="2">
        <f t="shared" si="267"/>
        <v>0</v>
      </c>
      <c r="AK1872" s="2">
        <f t="shared" si="262"/>
        <v>89.32</v>
      </c>
      <c r="AL1872" s="5">
        <f t="shared" si="265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68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66"/>
        <v>0</v>
      </c>
      <c r="AG1873" s="2">
        <v>1.1399999999999999</v>
      </c>
      <c r="AH1873" s="2">
        <v>1.1399999999999999</v>
      </c>
      <c r="AJ1873" s="2">
        <f t="shared" si="267"/>
        <v>0</v>
      </c>
      <c r="AK1873" s="2">
        <f t="shared" si="262"/>
        <v>0</v>
      </c>
      <c r="AL1873" s="5">
        <f t="shared" si="265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68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66"/>
        <v>0</v>
      </c>
      <c r="AJ1874" s="2">
        <f t="shared" si="267"/>
        <v>0</v>
      </c>
      <c r="AK1874" s="2">
        <f t="shared" si="262"/>
        <v>32.4</v>
      </c>
      <c r="AL1874" s="5">
        <f t="shared" si="265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68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66"/>
        <v>0</v>
      </c>
      <c r="AJ1875" s="2">
        <f t="shared" si="267"/>
        <v>0</v>
      </c>
      <c r="AK1875" s="2">
        <f t="shared" ref="AK1875:AK1898" si="269">T1875-W1875</f>
        <v>37.5</v>
      </c>
      <c r="AL1875" s="5">
        <f t="shared" si="265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68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66"/>
        <v>0</v>
      </c>
      <c r="AG1876" s="2">
        <v>1.4114</v>
      </c>
      <c r="AH1876" s="2">
        <v>3</v>
      </c>
      <c r="AJ1876" s="2">
        <f t="shared" si="267"/>
        <v>0</v>
      </c>
      <c r="AK1876" s="2">
        <f t="shared" si="269"/>
        <v>3.9543999999999997</v>
      </c>
      <c r="AL1876" s="5">
        <f t="shared" si="265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68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66"/>
        <v>0</v>
      </c>
      <c r="AJ1877" s="2">
        <f t="shared" si="267"/>
        <v>0</v>
      </c>
      <c r="AK1877" s="2">
        <f t="shared" si="269"/>
        <v>8.41</v>
      </c>
      <c r="AL1877" s="5">
        <f t="shared" si="265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68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66"/>
        <v>0</v>
      </c>
      <c r="AG1878" s="2">
        <v>117.453</v>
      </c>
      <c r="AH1878" s="2">
        <v>220</v>
      </c>
      <c r="AJ1878" s="2">
        <f t="shared" si="267"/>
        <v>0</v>
      </c>
      <c r="AK1878" s="2">
        <f t="shared" si="269"/>
        <v>102.547</v>
      </c>
      <c r="AL1878" s="5">
        <f t="shared" si="265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68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66"/>
        <v>0</v>
      </c>
      <c r="AG1879" s="2">
        <v>1.1399999999999999</v>
      </c>
      <c r="AH1879" s="2">
        <v>1.1399999999999999</v>
      </c>
      <c r="AJ1879" s="2">
        <f t="shared" si="267"/>
        <v>0</v>
      </c>
      <c r="AK1879" s="2">
        <f t="shared" si="269"/>
        <v>0</v>
      </c>
      <c r="AL1879" s="5">
        <f t="shared" si="265"/>
        <v>0</v>
      </c>
    </row>
    <row r="1880" spans="1:38" x14ac:dyDescent="0.2">
      <c r="A1880" s="2">
        <v>2025</v>
      </c>
      <c r="B1880" s="2">
        <v>10</v>
      </c>
      <c r="C1880" s="2" t="s">
        <v>3403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68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66"/>
        <v>0</v>
      </c>
      <c r="AJ1880" s="2">
        <f t="shared" si="267"/>
        <v>0</v>
      </c>
      <c r="AK1880" s="2">
        <f t="shared" si="269"/>
        <v>230.74839999999998</v>
      </c>
      <c r="AL1880" s="5">
        <f t="shared" si="265"/>
        <v>0.52574253816359073</v>
      </c>
    </row>
    <row r="1881" spans="1:38" x14ac:dyDescent="0.2">
      <c r="A1881" s="2">
        <v>2025</v>
      </c>
      <c r="B1881" s="2">
        <v>10</v>
      </c>
      <c r="C1881" s="2" t="s">
        <v>3403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68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66"/>
        <v>0</v>
      </c>
      <c r="AJ1881" s="2">
        <f t="shared" si="267"/>
        <v>0</v>
      </c>
      <c r="AK1881" s="2">
        <f t="shared" si="269"/>
        <v>80.888400000000004</v>
      </c>
      <c r="AL1881" s="5">
        <f t="shared" si="265"/>
        <v>0.52751010825616285</v>
      </c>
    </row>
    <row r="1882" spans="1:38" x14ac:dyDescent="0.2">
      <c r="A1882" s="2">
        <v>2025</v>
      </c>
      <c r="B1882" s="2">
        <v>10</v>
      </c>
      <c r="C1882" s="2" t="s">
        <v>3487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68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66"/>
        <v>0</v>
      </c>
      <c r="AJ1882" s="2">
        <f t="shared" si="267"/>
        <v>0</v>
      </c>
      <c r="AK1882" s="2">
        <f t="shared" si="269"/>
        <v>35.83</v>
      </c>
      <c r="AL1882" s="5">
        <f t="shared" ref="AL1882:AL1898" si="270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3403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68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66"/>
        <v>0</v>
      </c>
      <c r="AJ1883" s="2">
        <f t="shared" si="267"/>
        <v>0</v>
      </c>
      <c r="AK1883" s="2">
        <f t="shared" si="269"/>
        <v>354.09659999999997</v>
      </c>
      <c r="AL1883" s="5">
        <f t="shared" si="270"/>
        <v>0.50635864435864431</v>
      </c>
    </row>
    <row r="1884" spans="1:38" x14ac:dyDescent="0.2">
      <c r="A1884" s="2">
        <v>2025</v>
      </c>
      <c r="B1884" s="2">
        <v>10</v>
      </c>
      <c r="C1884" s="2" t="s">
        <v>3403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68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66"/>
        <v>0</v>
      </c>
      <c r="AJ1884" s="2">
        <f t="shared" si="267"/>
        <v>0</v>
      </c>
      <c r="AK1884" s="2">
        <f t="shared" si="269"/>
        <v>33</v>
      </c>
      <c r="AL1884" s="5">
        <f t="shared" si="270"/>
        <v>0.6</v>
      </c>
    </row>
    <row r="1885" spans="1:38" x14ac:dyDescent="0.2">
      <c r="A1885" s="2">
        <v>2025</v>
      </c>
      <c r="B1885" s="2">
        <v>10</v>
      </c>
      <c r="C1885" s="2" t="s">
        <v>3403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68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66"/>
        <v>0</v>
      </c>
      <c r="AJ1885" s="2">
        <f t="shared" si="267"/>
        <v>0</v>
      </c>
      <c r="AK1885" s="2">
        <f t="shared" si="269"/>
        <v>25</v>
      </c>
      <c r="AL1885" s="5">
        <f t="shared" si="270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68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66"/>
        <v>0</v>
      </c>
      <c r="AJ1886" s="2">
        <f t="shared" si="267"/>
        <v>0</v>
      </c>
      <c r="AK1886" s="2">
        <f t="shared" si="269"/>
        <v>80.888400000000004</v>
      </c>
      <c r="AL1886" s="5">
        <f t="shared" si="270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68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66"/>
        <v>0</v>
      </c>
      <c r="AJ1887" s="2">
        <f t="shared" si="267"/>
        <v>0</v>
      </c>
      <c r="AK1887" s="2">
        <f t="shared" si="269"/>
        <v>2.3845999999999998</v>
      </c>
      <c r="AL1887" s="5">
        <f t="shared" si="270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68"/>
        <v>1</v>
      </c>
      <c r="Z1888" s="2" t="s">
        <v>3226</v>
      </c>
      <c r="AF1888" s="2">
        <f t="shared" si="266"/>
        <v>0</v>
      </c>
      <c r="AJ1888" s="2">
        <f t="shared" si="267"/>
        <v>0</v>
      </c>
      <c r="AK1888" s="2">
        <f t="shared" si="269"/>
        <v>913.93</v>
      </c>
      <c r="AL1888" s="5">
        <f t="shared" si="270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68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66"/>
        <v>0</v>
      </c>
      <c r="AG1889" s="2">
        <v>6.6266999999999996</v>
      </c>
      <c r="AH1889" s="2">
        <v>12</v>
      </c>
      <c r="AJ1889" s="2">
        <f t="shared" si="267"/>
        <v>0</v>
      </c>
      <c r="AK1889" s="2">
        <f t="shared" si="269"/>
        <v>16.119900000000001</v>
      </c>
      <c r="AL1889" s="5">
        <f t="shared" si="270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68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66"/>
        <v>0</v>
      </c>
      <c r="AG1890" s="2">
        <v>3.7357999999999998</v>
      </c>
      <c r="AH1890" s="2">
        <v>9</v>
      </c>
      <c r="AJ1890" s="2">
        <f t="shared" si="267"/>
        <v>0</v>
      </c>
      <c r="AK1890" s="2">
        <f t="shared" si="269"/>
        <v>4.0641999999999996</v>
      </c>
      <c r="AL1890" s="5">
        <f t="shared" si="270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68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66"/>
        <v>0</v>
      </c>
      <c r="AG1891" s="2">
        <v>10.6</v>
      </c>
      <c r="AH1891" s="2">
        <v>18</v>
      </c>
      <c r="AJ1891" s="2">
        <f t="shared" si="267"/>
        <v>0</v>
      </c>
      <c r="AK1891" s="2">
        <f t="shared" si="269"/>
        <v>14.8</v>
      </c>
      <c r="AL1891" s="5">
        <f t="shared" si="270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68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66"/>
        <v>0</v>
      </c>
      <c r="AG1892" s="2">
        <v>7.9611999999999998</v>
      </c>
      <c r="AH1892" s="2">
        <v>14.4</v>
      </c>
      <c r="AJ1892" s="2">
        <f t="shared" si="267"/>
        <v>0</v>
      </c>
      <c r="AK1892" s="2">
        <f t="shared" si="269"/>
        <v>7.0388000000000002</v>
      </c>
      <c r="AL1892" s="5">
        <f t="shared" si="270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68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66"/>
        <v>0</v>
      </c>
      <c r="AJ1893" s="2">
        <f t="shared" si="267"/>
        <v>0</v>
      </c>
      <c r="AK1893" s="2">
        <f t="shared" si="269"/>
        <v>6.0600000000000005</v>
      </c>
      <c r="AL1893" s="5">
        <f t="shared" si="270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68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66"/>
        <v>0</v>
      </c>
      <c r="AJ1894" s="2">
        <f t="shared" si="267"/>
        <v>0</v>
      </c>
      <c r="AK1894" s="2">
        <f t="shared" si="269"/>
        <v>6.4948999999999995</v>
      </c>
      <c r="AL1894" s="5">
        <f t="shared" si="270"/>
        <v>0.72165555555555549</v>
      </c>
    </row>
    <row r="1895" spans="1:38" x14ac:dyDescent="0.2">
      <c r="A1895" s="2">
        <v>2025</v>
      </c>
      <c r="B1895" s="2">
        <v>10</v>
      </c>
      <c r="C1895" s="2" t="s">
        <v>3403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68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66"/>
        <v>0</v>
      </c>
      <c r="AJ1895" s="2">
        <f t="shared" si="267"/>
        <v>0</v>
      </c>
      <c r="AK1895" s="2">
        <f t="shared" si="269"/>
        <v>1003.8000000000002</v>
      </c>
      <c r="AL1895" s="5">
        <f t="shared" si="270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68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66"/>
        <v>0</v>
      </c>
      <c r="AJ1896" s="2">
        <f t="shared" si="267"/>
        <v>0</v>
      </c>
      <c r="AK1896" s="2">
        <f t="shared" si="269"/>
        <v>1912.2773</v>
      </c>
      <c r="AL1896" s="5">
        <f t="shared" si="270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68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66"/>
        <v>0</v>
      </c>
      <c r="AG1897" s="2">
        <v>117.453</v>
      </c>
      <c r="AH1897" s="2">
        <v>220</v>
      </c>
      <c r="AJ1897" s="2">
        <f t="shared" si="267"/>
        <v>0</v>
      </c>
      <c r="AK1897" s="2">
        <f t="shared" si="269"/>
        <v>92.546999999999997</v>
      </c>
      <c r="AL1897" s="5">
        <f t="shared" si="270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68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66"/>
        <v>0</v>
      </c>
      <c r="AJ1898" s="2">
        <f t="shared" si="267"/>
        <v>0</v>
      </c>
      <c r="AK1898" s="2">
        <f t="shared" si="269"/>
        <v>0</v>
      </c>
      <c r="AL1898" s="5">
        <f t="shared" si="270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66"/>
        <v>0</v>
      </c>
      <c r="AJ1899" s="2">
        <f t="shared" si="267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71">(T1900-W1900)/T1900</f>
        <v>1</v>
      </c>
      <c r="Z1900" s="2" t="s">
        <v>104</v>
      </c>
      <c r="AF1900" s="2">
        <f t="shared" si="266"/>
        <v>0</v>
      </c>
      <c r="AJ1900" s="2">
        <f t="shared" si="267"/>
        <v>0</v>
      </c>
      <c r="AK1900" s="2">
        <f t="shared" ref="AK1900:AK1931" si="272">T1900-W1900</f>
        <v>6770</v>
      </c>
      <c r="AL1900" s="5">
        <f t="shared" ref="AL1900:AL1932" si="273">(T1900-W1900)/T1900</f>
        <v>1</v>
      </c>
    </row>
    <row r="1901" spans="1:38" x14ac:dyDescent="0.2">
      <c r="A1901" s="2">
        <v>2025</v>
      </c>
      <c r="B1901" s="2">
        <v>10</v>
      </c>
      <c r="C1901" s="2" t="s">
        <v>3403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71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66"/>
        <v>0</v>
      </c>
      <c r="AJ1901" s="2">
        <f t="shared" si="267"/>
        <v>0</v>
      </c>
      <c r="AK1901" s="2">
        <f t="shared" si="272"/>
        <v>43.47</v>
      </c>
      <c r="AL1901" s="5">
        <f t="shared" si="273"/>
        <v>0.44443308455168179</v>
      </c>
    </row>
    <row r="1902" spans="1:38" x14ac:dyDescent="0.2">
      <c r="A1902" s="2">
        <v>2025</v>
      </c>
      <c r="B1902" s="2">
        <v>10</v>
      </c>
      <c r="C1902" s="2" t="s">
        <v>3403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71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66"/>
        <v>0</v>
      </c>
      <c r="AJ1902" s="2">
        <f t="shared" si="267"/>
        <v>0</v>
      </c>
      <c r="AK1902" s="2">
        <f t="shared" si="272"/>
        <v>36.450000000000003</v>
      </c>
      <c r="AL1902" s="5">
        <f t="shared" si="273"/>
        <v>0.60000000000000009</v>
      </c>
    </row>
    <row r="1903" spans="1:38" x14ac:dyDescent="0.2">
      <c r="A1903" s="2">
        <v>2025</v>
      </c>
      <c r="B1903" s="2">
        <v>10</v>
      </c>
      <c r="C1903" s="2" t="s">
        <v>3403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71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66"/>
        <v>0</v>
      </c>
      <c r="AJ1903" s="2">
        <f t="shared" si="267"/>
        <v>0</v>
      </c>
      <c r="AK1903" s="2">
        <f t="shared" si="272"/>
        <v>22.5</v>
      </c>
      <c r="AL1903" s="5">
        <f t="shared" si="273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71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66"/>
        <v>0</v>
      </c>
      <c r="AJ1904" s="2">
        <f t="shared" si="267"/>
        <v>0</v>
      </c>
      <c r="AK1904" s="2">
        <f t="shared" si="272"/>
        <v>103.85</v>
      </c>
      <c r="AL1904" s="5">
        <f t="shared" si="273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71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66"/>
        <v>0</v>
      </c>
      <c r="AJ1905" s="2">
        <f t="shared" si="267"/>
        <v>0</v>
      </c>
      <c r="AK1905" s="2">
        <f t="shared" si="272"/>
        <v>0</v>
      </c>
      <c r="AL1905" s="5">
        <f t="shared" si="273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71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66"/>
        <v>0</v>
      </c>
      <c r="AG1906" s="2">
        <v>10.6</v>
      </c>
      <c r="AH1906" s="2">
        <v>18</v>
      </c>
      <c r="AJ1906" s="2">
        <f t="shared" si="267"/>
        <v>0</v>
      </c>
      <c r="AK1906" s="2">
        <f t="shared" si="272"/>
        <v>14.8</v>
      </c>
      <c r="AL1906" s="5">
        <f t="shared" si="273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71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66"/>
        <v>0</v>
      </c>
      <c r="AG1907" s="2">
        <v>8.1999999999999993</v>
      </c>
      <c r="AH1907" s="2">
        <v>13</v>
      </c>
      <c r="AJ1907" s="2">
        <f t="shared" si="267"/>
        <v>0</v>
      </c>
      <c r="AK1907" s="2">
        <f t="shared" si="272"/>
        <v>9.5999999999999979</v>
      </c>
      <c r="AL1907" s="5">
        <f t="shared" si="273"/>
        <v>0.36923076923076914</v>
      </c>
    </row>
    <row r="1908" spans="1:38" x14ac:dyDescent="0.2">
      <c r="A1908" s="2">
        <v>2025</v>
      </c>
      <c r="B1908" s="2">
        <v>10</v>
      </c>
      <c r="C1908" s="2" t="s">
        <v>3412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71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66"/>
        <v>0</v>
      </c>
      <c r="AJ1908" s="2">
        <f t="shared" si="267"/>
        <v>0</v>
      </c>
      <c r="AK1908" s="2">
        <f t="shared" si="272"/>
        <v>12.120000000000001</v>
      </c>
      <c r="AL1908" s="5">
        <f t="shared" si="273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71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66"/>
        <v>0</v>
      </c>
      <c r="AJ1909" s="2">
        <f t="shared" si="267"/>
        <v>0</v>
      </c>
      <c r="AK1909" s="2">
        <f t="shared" si="272"/>
        <v>0</v>
      </c>
      <c r="AL1909" s="5">
        <f t="shared" si="273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71"/>
        <v>1</v>
      </c>
      <c r="AF1910" s="2">
        <f t="shared" si="266"/>
        <v>0</v>
      </c>
      <c r="AJ1910" s="2">
        <f t="shared" si="267"/>
        <v>0</v>
      </c>
      <c r="AK1910" s="2">
        <f t="shared" si="272"/>
        <v>330</v>
      </c>
      <c r="AL1910" s="5">
        <f t="shared" si="273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71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66"/>
        <v>0</v>
      </c>
      <c r="AG1911" s="2">
        <v>117.453</v>
      </c>
      <c r="AH1911" s="2">
        <v>220</v>
      </c>
      <c r="AJ1911" s="2">
        <f t="shared" si="267"/>
        <v>0</v>
      </c>
      <c r="AK1911" s="2">
        <f t="shared" si="272"/>
        <v>102.547</v>
      </c>
      <c r="AL1911" s="5">
        <f t="shared" si="273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71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66"/>
        <v>0</v>
      </c>
      <c r="AJ1912" s="2">
        <f t="shared" si="267"/>
        <v>0</v>
      </c>
      <c r="AK1912" s="2">
        <f t="shared" si="272"/>
        <v>0</v>
      </c>
      <c r="AL1912" s="5">
        <f t="shared" si="273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71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66"/>
        <v>0</v>
      </c>
      <c r="AG1913" s="2">
        <v>8.1999999999999993</v>
      </c>
      <c r="AH1913" s="2">
        <v>13</v>
      </c>
      <c r="AJ1913" s="2">
        <f t="shared" si="267"/>
        <v>0</v>
      </c>
      <c r="AK1913" s="2">
        <f t="shared" si="272"/>
        <v>9.5999999999999979</v>
      </c>
      <c r="AL1913" s="5">
        <f t="shared" si="273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71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66"/>
        <v>0</v>
      </c>
      <c r="AG1914" s="2">
        <v>7.9611999999999998</v>
      </c>
      <c r="AH1914" s="2">
        <v>14.4</v>
      </c>
      <c r="AJ1914" s="2">
        <f t="shared" si="267"/>
        <v>0</v>
      </c>
      <c r="AK1914" s="2">
        <f t="shared" si="272"/>
        <v>6.5388000000000002</v>
      </c>
      <c r="AL1914" s="5">
        <f t="shared" si="273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71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66"/>
        <v>0</v>
      </c>
      <c r="AG1915" s="2">
        <v>10.6</v>
      </c>
      <c r="AH1915" s="2">
        <v>18</v>
      </c>
      <c r="AJ1915" s="2">
        <f t="shared" si="267"/>
        <v>0</v>
      </c>
      <c r="AK1915" s="2">
        <f t="shared" si="272"/>
        <v>22.200000000000003</v>
      </c>
      <c r="AL1915" s="5">
        <f t="shared" si="273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71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66"/>
        <v>0</v>
      </c>
      <c r="AG1916" s="2">
        <v>8.1999999999999993</v>
      </c>
      <c r="AH1916" s="2">
        <v>13</v>
      </c>
      <c r="AJ1916" s="2">
        <f t="shared" si="267"/>
        <v>0</v>
      </c>
      <c r="AK1916" s="2">
        <f t="shared" si="272"/>
        <v>4.7999999999999989</v>
      </c>
      <c r="AL1916" s="5">
        <f t="shared" si="273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71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66"/>
        <v>0</v>
      </c>
      <c r="AJ1917" s="2">
        <f t="shared" si="267"/>
        <v>0</v>
      </c>
      <c r="AK1917" s="2">
        <f t="shared" si="272"/>
        <v>6.8600000000000012</v>
      </c>
      <c r="AL1917" s="5">
        <f t="shared" si="273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71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66"/>
        <v>0</v>
      </c>
      <c r="AG1918" s="2">
        <v>10.6</v>
      </c>
      <c r="AH1918" s="2">
        <v>18</v>
      </c>
      <c r="AJ1918" s="2">
        <f t="shared" si="267"/>
        <v>0</v>
      </c>
      <c r="AK1918" s="2">
        <f t="shared" si="272"/>
        <v>7.4</v>
      </c>
      <c r="AL1918" s="5">
        <f t="shared" si="273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71"/>
        <v>1</v>
      </c>
      <c r="AF1919" s="2">
        <f t="shared" si="266"/>
        <v>0</v>
      </c>
      <c r="AJ1919" s="2">
        <f t="shared" si="267"/>
        <v>0</v>
      </c>
      <c r="AK1919" s="2">
        <f t="shared" si="272"/>
        <v>12.81</v>
      </c>
      <c r="AL1919" s="5">
        <f t="shared" si="273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71"/>
        <v>1</v>
      </c>
      <c r="AF1920" s="2">
        <f t="shared" si="266"/>
        <v>0</v>
      </c>
      <c r="AJ1920" s="2">
        <f t="shared" si="267"/>
        <v>0</v>
      </c>
      <c r="AK1920" s="2">
        <f t="shared" si="272"/>
        <v>68.42</v>
      </c>
      <c r="AL1920" s="5">
        <f t="shared" si="273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71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66"/>
        <v>0</v>
      </c>
      <c r="AJ1921" s="2">
        <f t="shared" si="267"/>
        <v>0</v>
      </c>
      <c r="AK1921" s="2">
        <f t="shared" si="272"/>
        <v>161.71</v>
      </c>
      <c r="AL1921" s="5">
        <f t="shared" si="273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71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74">AJ1922</f>
        <v>0</v>
      </c>
      <c r="AJ1922" s="2">
        <f t="shared" ref="AJ1922:AJ1985" si="275">AI1922*T1922</f>
        <v>0</v>
      </c>
      <c r="AK1922" s="2">
        <f t="shared" si="272"/>
        <v>0</v>
      </c>
      <c r="AL1922" s="5">
        <f t="shared" si="273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71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74"/>
        <v>0</v>
      </c>
      <c r="AG1923" s="2">
        <v>111.98</v>
      </c>
      <c r="AH1923" s="2">
        <v>210</v>
      </c>
      <c r="AJ1923" s="2">
        <f t="shared" si="275"/>
        <v>0</v>
      </c>
      <c r="AK1923" s="2">
        <f t="shared" si="272"/>
        <v>154.34</v>
      </c>
      <c r="AL1923" s="5">
        <f t="shared" si="273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71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74"/>
        <v>0</v>
      </c>
      <c r="AG1924" s="2">
        <f>110.125+11.77</f>
        <v>121.895</v>
      </c>
      <c r="AJ1924" s="2">
        <f t="shared" si="275"/>
        <v>0</v>
      </c>
      <c r="AK1924" s="2">
        <f t="shared" si="272"/>
        <v>149.70500000000004</v>
      </c>
      <c r="AL1924" s="5">
        <f t="shared" si="273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71"/>
        <v>0</v>
      </c>
      <c r="Z1925" s="2" t="s">
        <v>169</v>
      </c>
      <c r="AA1925" s="2" t="s">
        <v>169</v>
      </c>
      <c r="AF1925" s="2">
        <f t="shared" si="274"/>
        <v>0</v>
      </c>
      <c r="AJ1925" s="2">
        <f t="shared" si="275"/>
        <v>0</v>
      </c>
      <c r="AK1925" s="2">
        <f t="shared" si="272"/>
        <v>0</v>
      </c>
      <c r="AL1925" s="5">
        <f t="shared" si="273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71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74"/>
        <v>0</v>
      </c>
      <c r="AJ1926" s="2">
        <f t="shared" si="275"/>
        <v>0</v>
      </c>
      <c r="AK1926" s="2">
        <f t="shared" si="272"/>
        <v>0</v>
      </c>
      <c r="AL1926" s="5">
        <f t="shared" si="273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71"/>
        <v>0.13</v>
      </c>
      <c r="Z1927" s="2" t="s">
        <v>3226</v>
      </c>
      <c r="AA1927" s="2" t="s">
        <v>46</v>
      </c>
      <c r="AB1927" s="2" t="s">
        <v>60</v>
      </c>
      <c r="AC1927" s="2" t="s">
        <v>3331</v>
      </c>
      <c r="AF1927" s="2">
        <f t="shared" si="274"/>
        <v>0</v>
      </c>
      <c r="AJ1927" s="2">
        <f t="shared" si="275"/>
        <v>0</v>
      </c>
      <c r="AK1927" s="2">
        <f t="shared" si="272"/>
        <v>52</v>
      </c>
      <c r="AL1927" s="5">
        <f t="shared" si="273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71"/>
        <v>0.13</v>
      </c>
      <c r="Z1928" s="2" t="s">
        <v>3226</v>
      </c>
      <c r="AA1928" s="2" t="s">
        <v>46</v>
      </c>
      <c r="AB1928" s="2" t="s">
        <v>60</v>
      </c>
      <c r="AC1928" s="2" t="s">
        <v>3331</v>
      </c>
      <c r="AF1928" s="2">
        <f t="shared" si="274"/>
        <v>0</v>
      </c>
      <c r="AJ1928" s="2">
        <f t="shared" si="275"/>
        <v>0</v>
      </c>
      <c r="AK1928" s="2">
        <f t="shared" si="272"/>
        <v>52</v>
      </c>
      <c r="AL1928" s="5">
        <f t="shared" si="273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71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74"/>
        <v>0</v>
      </c>
      <c r="AJ1929" s="2">
        <f t="shared" si="275"/>
        <v>0</v>
      </c>
      <c r="AK1929" s="2">
        <f t="shared" si="272"/>
        <v>898.40300000000002</v>
      </c>
      <c r="AL1929" s="5">
        <f t="shared" si="273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71"/>
        <v>1</v>
      </c>
      <c r="Z1930" s="2" t="s">
        <v>104</v>
      </c>
      <c r="AC1930" s="2" t="s">
        <v>3230</v>
      </c>
      <c r="AF1930" s="2">
        <f t="shared" si="274"/>
        <v>0</v>
      </c>
      <c r="AJ1930" s="2">
        <f t="shared" si="275"/>
        <v>0</v>
      </c>
      <c r="AK1930" s="2">
        <f t="shared" si="272"/>
        <v>3800</v>
      </c>
      <c r="AL1930" s="5">
        <f t="shared" si="273"/>
        <v>1</v>
      </c>
    </row>
    <row r="1931" spans="1:38" x14ac:dyDescent="0.2">
      <c r="A1931" s="2">
        <v>2025</v>
      </c>
      <c r="B1931" s="2">
        <v>10</v>
      </c>
      <c r="C1931" s="2" t="s">
        <v>3487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71"/>
        <v>0.50462236176521891</v>
      </c>
      <c r="Z1931" s="2" t="s">
        <v>117</v>
      </c>
      <c r="AA1931" s="2" t="s">
        <v>181</v>
      </c>
      <c r="AF1931" s="2">
        <f t="shared" si="274"/>
        <v>0</v>
      </c>
      <c r="AJ1931" s="2">
        <f t="shared" si="275"/>
        <v>0</v>
      </c>
      <c r="AK1931" s="2">
        <f t="shared" si="272"/>
        <v>520.74</v>
      </c>
      <c r="AL1931" s="5">
        <f t="shared" si="273"/>
        <v>0.50462236176521891</v>
      </c>
    </row>
    <row r="1932" spans="1:38" x14ac:dyDescent="0.2">
      <c r="A1932" s="2">
        <v>2025</v>
      </c>
      <c r="B1932" s="2">
        <v>10</v>
      </c>
      <c r="C1932" s="2" t="s">
        <v>3487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71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74"/>
        <v>0</v>
      </c>
      <c r="AJ1932" s="2">
        <f t="shared" si="275"/>
        <v>0</v>
      </c>
      <c r="AK1932" s="2">
        <f t="shared" ref="AK1932:AK1960" si="276">T1932-W1932</f>
        <v>39</v>
      </c>
      <c r="AL1932" s="5">
        <f t="shared" si="273"/>
        <v>0.6</v>
      </c>
    </row>
    <row r="1933" spans="1:38" x14ac:dyDescent="0.2">
      <c r="A1933" s="2">
        <v>2025</v>
      </c>
      <c r="B1933" s="2">
        <v>10</v>
      </c>
      <c r="C1933" s="2" t="s">
        <v>3487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74"/>
        <v>0</v>
      </c>
      <c r="AJ1933" s="2">
        <f t="shared" si="275"/>
        <v>0</v>
      </c>
      <c r="AK1933" s="2">
        <f t="shared" si="276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3403</v>
      </c>
      <c r="D1934" s="2" t="s">
        <v>3461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277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74"/>
        <v>0</v>
      </c>
      <c r="AJ1934" s="2">
        <f t="shared" si="275"/>
        <v>0</v>
      </c>
      <c r="AK1934" s="2">
        <f t="shared" si="276"/>
        <v>207.75549999999998</v>
      </c>
      <c r="AL1934" s="5">
        <f t="shared" ref="AL1934:AL1960" si="278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3403</v>
      </c>
      <c r="D1935" s="2" t="s">
        <v>3461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77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74"/>
        <v>0</v>
      </c>
      <c r="AJ1935" s="2">
        <f t="shared" si="275"/>
        <v>0</v>
      </c>
      <c r="AK1935" s="2">
        <f t="shared" si="276"/>
        <v>2862.0299999999988</v>
      </c>
      <c r="AL1935" s="5">
        <f t="shared" si="278"/>
        <v>0.14408850626793529</v>
      </c>
    </row>
    <row r="1936" spans="1:38" x14ac:dyDescent="0.2">
      <c r="A1936" s="2">
        <v>2025</v>
      </c>
      <c r="B1936" s="2">
        <v>10</v>
      </c>
      <c r="C1936" s="2" t="s">
        <v>3403</v>
      </c>
      <c r="D1936" s="2" t="s">
        <v>3461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277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74"/>
        <v>0</v>
      </c>
      <c r="AJ1936" s="2">
        <f t="shared" si="275"/>
        <v>0</v>
      </c>
      <c r="AK1936" s="2">
        <f t="shared" si="276"/>
        <v>342.36999999999989</v>
      </c>
      <c r="AL1936" s="5">
        <f t="shared" si="278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77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74"/>
        <v>0</v>
      </c>
      <c r="AG1937" s="2">
        <v>117.453</v>
      </c>
      <c r="AH1937" s="2">
        <v>220</v>
      </c>
      <c r="AJ1937" s="2">
        <f t="shared" si="275"/>
        <v>0</v>
      </c>
      <c r="AK1937" s="2">
        <f t="shared" si="276"/>
        <v>102.547</v>
      </c>
      <c r="AL1937" s="5">
        <f t="shared" si="278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77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74"/>
        <v>0</v>
      </c>
      <c r="AJ1938" s="2">
        <f t="shared" si="275"/>
        <v>0</v>
      </c>
      <c r="AK1938" s="2">
        <f t="shared" si="276"/>
        <v>0</v>
      </c>
      <c r="AL1938" s="5">
        <f t="shared" si="278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77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74"/>
        <v>0</v>
      </c>
      <c r="AG1939" s="2">
        <v>6.6266999999999996</v>
      </c>
      <c r="AH1939" s="2">
        <v>12</v>
      </c>
      <c r="AJ1939" s="2">
        <f t="shared" si="275"/>
        <v>0</v>
      </c>
      <c r="AK1939" s="2">
        <f t="shared" si="276"/>
        <v>5.3733000000000004</v>
      </c>
      <c r="AL1939" s="5">
        <f t="shared" si="278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77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74"/>
        <v>0</v>
      </c>
      <c r="AG1940" s="2">
        <v>10.6</v>
      </c>
      <c r="AH1940" s="2">
        <v>18</v>
      </c>
      <c r="AJ1940" s="2">
        <f t="shared" si="275"/>
        <v>0</v>
      </c>
      <c r="AK1940" s="2">
        <f t="shared" si="276"/>
        <v>14.8</v>
      </c>
      <c r="AL1940" s="5">
        <f t="shared" si="278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277"/>
        <v>0.25</v>
      </c>
      <c r="Z1941" s="2" t="s">
        <v>169</v>
      </c>
      <c r="AA1941" s="2" t="s">
        <v>169</v>
      </c>
      <c r="AF1941" s="2">
        <f t="shared" si="274"/>
        <v>0</v>
      </c>
      <c r="AJ1941" s="2">
        <f t="shared" si="275"/>
        <v>0</v>
      </c>
      <c r="AK1941" s="2">
        <f t="shared" si="276"/>
        <v>2</v>
      </c>
      <c r="AL1941" s="5">
        <f t="shared" si="278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77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74"/>
        <v>0</v>
      </c>
      <c r="AG1942" s="2">
        <v>8.1999999999999993</v>
      </c>
      <c r="AH1942" s="2">
        <v>13</v>
      </c>
      <c r="AJ1942" s="2">
        <f t="shared" si="275"/>
        <v>0</v>
      </c>
      <c r="AK1942" s="2">
        <f t="shared" si="276"/>
        <v>46</v>
      </c>
      <c r="AL1942" s="5">
        <f t="shared" si="278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77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74"/>
        <v>0</v>
      </c>
      <c r="AG1943" s="2">
        <v>15.020300000000001</v>
      </c>
      <c r="AH1943" s="2">
        <v>27.6</v>
      </c>
      <c r="AJ1943" s="2">
        <f t="shared" si="275"/>
        <v>0</v>
      </c>
      <c r="AK1943" s="2">
        <f t="shared" si="276"/>
        <v>27.918799999999997</v>
      </c>
      <c r="AL1943" s="5">
        <f t="shared" si="278"/>
        <v>0.31725909090909088</v>
      </c>
    </row>
    <row r="1944" spans="1:38" x14ac:dyDescent="0.2">
      <c r="A1944" s="2">
        <v>2025</v>
      </c>
      <c r="B1944" s="2">
        <v>10</v>
      </c>
      <c r="C1944" s="2" t="s">
        <v>3403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74"/>
        <v>0</v>
      </c>
      <c r="AJ1944" s="2">
        <f t="shared" si="275"/>
        <v>0</v>
      </c>
      <c r="AK1944" s="2">
        <f t="shared" si="276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3403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279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74"/>
        <v>0</v>
      </c>
      <c r="AJ1945" s="2">
        <f t="shared" si="275"/>
        <v>0</v>
      </c>
      <c r="AK1945" s="2">
        <f t="shared" si="276"/>
        <v>4400.1200000000008</v>
      </c>
      <c r="AL1945" s="5">
        <f t="shared" si="278"/>
        <v>0.31451894210150111</v>
      </c>
    </row>
    <row r="1946" spans="1:38" x14ac:dyDescent="0.2">
      <c r="A1946" s="2">
        <v>2025</v>
      </c>
      <c r="B1946" s="2">
        <v>10</v>
      </c>
      <c r="C1946" s="2" t="s">
        <v>3403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279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74"/>
        <v>0</v>
      </c>
      <c r="AJ1946" s="2">
        <f t="shared" si="275"/>
        <v>0</v>
      </c>
      <c r="AK1946" s="2">
        <f t="shared" si="276"/>
        <v>369.57999999999993</v>
      </c>
      <c r="AL1946" s="5">
        <f t="shared" si="278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79"/>
        <v>1</v>
      </c>
      <c r="Z1947" s="2" t="s">
        <v>119</v>
      </c>
      <c r="AA1947" s="2" t="s">
        <v>492</v>
      </c>
      <c r="AF1947" s="2">
        <f t="shared" si="274"/>
        <v>0</v>
      </c>
      <c r="AJ1947" s="2">
        <f t="shared" si="275"/>
        <v>0</v>
      </c>
      <c r="AK1947" s="2">
        <f t="shared" si="276"/>
        <v>664.04</v>
      </c>
      <c r="AL1947" s="5">
        <f t="shared" si="278"/>
        <v>1</v>
      </c>
    </row>
    <row r="1948" spans="1:38" x14ac:dyDescent="0.2">
      <c r="A1948" s="2">
        <v>2025</v>
      </c>
      <c r="B1948" s="2">
        <v>10</v>
      </c>
      <c r="C1948" s="2" t="s">
        <v>3403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79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74"/>
        <v>0</v>
      </c>
      <c r="AG1948" s="2">
        <f>98.28+7.82</f>
        <v>106.1</v>
      </c>
      <c r="AJ1948" s="2">
        <f t="shared" si="275"/>
        <v>0</v>
      </c>
      <c r="AK1948" s="2">
        <f t="shared" si="276"/>
        <v>93.9</v>
      </c>
      <c r="AL1948" s="5">
        <f t="shared" si="278"/>
        <v>0.46950000000000003</v>
      </c>
    </row>
    <row r="1949" spans="1:38" x14ac:dyDescent="0.2">
      <c r="A1949" s="2">
        <v>2025</v>
      </c>
      <c r="B1949" s="2">
        <v>10</v>
      </c>
      <c r="C1949" s="2" t="s">
        <v>3487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79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74"/>
        <v>0</v>
      </c>
      <c r="AG1949" s="2">
        <v>122.446</v>
      </c>
      <c r="AH1949" s="2">
        <v>230</v>
      </c>
      <c r="AJ1949" s="2">
        <f t="shared" si="275"/>
        <v>0</v>
      </c>
      <c r="AK1949" s="2">
        <f t="shared" si="276"/>
        <v>107.554</v>
      </c>
      <c r="AL1949" s="5">
        <f t="shared" si="278"/>
        <v>0.46762608695652175</v>
      </c>
    </row>
    <row r="1950" spans="1:38" x14ac:dyDescent="0.2">
      <c r="A1950" s="2">
        <v>2025</v>
      </c>
      <c r="B1950" s="2">
        <v>10</v>
      </c>
      <c r="C1950" s="2" t="s">
        <v>3487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79"/>
        <v>0.23333333333333334</v>
      </c>
      <c r="Z1950" s="2" t="s">
        <v>169</v>
      </c>
      <c r="AA1950" s="2" t="s">
        <v>169</v>
      </c>
      <c r="AF1950" s="2">
        <f t="shared" si="274"/>
        <v>0</v>
      </c>
      <c r="AJ1950" s="2">
        <f t="shared" si="275"/>
        <v>0</v>
      </c>
      <c r="AK1950" s="2">
        <f t="shared" si="276"/>
        <v>7</v>
      </c>
      <c r="AL1950" s="5">
        <f t="shared" si="278"/>
        <v>0.23333333333333334</v>
      </c>
    </row>
    <row r="1951" spans="1:38" x14ac:dyDescent="0.2">
      <c r="A1951" s="2">
        <v>2025</v>
      </c>
      <c r="B1951" s="2">
        <v>10</v>
      </c>
      <c r="C1951" s="2" t="s">
        <v>3487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79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74"/>
        <v>0</v>
      </c>
      <c r="AJ1951" s="2">
        <f t="shared" si="275"/>
        <v>0</v>
      </c>
      <c r="AK1951" s="2">
        <f t="shared" si="276"/>
        <v>0</v>
      </c>
      <c r="AL1951" s="5">
        <f t="shared" si="278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79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74"/>
        <v>0</v>
      </c>
      <c r="AG1952" s="2">
        <v>15.020300000000001</v>
      </c>
      <c r="AH1952" s="2">
        <v>27.6</v>
      </c>
      <c r="AJ1952" s="2">
        <f t="shared" si="275"/>
        <v>0</v>
      </c>
      <c r="AK1952" s="2">
        <f t="shared" si="276"/>
        <v>13.959399999999999</v>
      </c>
      <c r="AL1952" s="5">
        <f t="shared" si="278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79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74"/>
        <v>0</v>
      </c>
      <c r="AG1953" s="2">
        <v>6.6266999999999996</v>
      </c>
      <c r="AH1953" s="2">
        <v>12</v>
      </c>
      <c r="AJ1953" s="2">
        <f t="shared" si="275"/>
        <v>0</v>
      </c>
      <c r="AK1953" s="2">
        <f t="shared" si="276"/>
        <v>5.3733000000000004</v>
      </c>
      <c r="AL1953" s="5">
        <f t="shared" si="278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79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74"/>
        <v>0</v>
      </c>
      <c r="AG1954" s="2">
        <v>5.2972999999999999</v>
      </c>
      <c r="AH1954" s="2">
        <v>10.8</v>
      </c>
      <c r="AJ1954" s="2">
        <f t="shared" si="275"/>
        <v>0</v>
      </c>
      <c r="AK1954" s="2">
        <f t="shared" si="276"/>
        <v>8.6053999999999995</v>
      </c>
      <c r="AL1954" s="5">
        <f t="shared" si="278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279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74"/>
        <v>0</v>
      </c>
      <c r="AJ1955" s="2">
        <f t="shared" si="275"/>
        <v>0</v>
      </c>
      <c r="AK1955" s="2">
        <f t="shared" si="276"/>
        <v>625.75549999999998</v>
      </c>
      <c r="AL1955" s="5">
        <f t="shared" si="278"/>
        <v>0.33462860962566843</v>
      </c>
    </row>
    <row r="1956" spans="1:38" x14ac:dyDescent="0.2">
      <c r="A1956" s="2">
        <v>2025</v>
      </c>
      <c r="B1956" s="2">
        <v>10</v>
      </c>
      <c r="C1956" s="2" t="s">
        <v>3412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279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74"/>
        <v>0</v>
      </c>
      <c r="AJ1956" s="2">
        <f t="shared" si="275"/>
        <v>0</v>
      </c>
      <c r="AK1956" s="2">
        <f t="shared" si="276"/>
        <v>215.17999999999995</v>
      </c>
      <c r="AL1956" s="5">
        <f t="shared" si="278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279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3331</v>
      </c>
      <c r="AF1957" s="2">
        <f t="shared" si="274"/>
        <v>0</v>
      </c>
      <c r="AJ1957" s="2">
        <f t="shared" si="275"/>
        <v>0</v>
      </c>
      <c r="AK1957" s="2">
        <f t="shared" si="276"/>
        <v>31.200000000000017</v>
      </c>
      <c r="AL1957" s="5">
        <f t="shared" si="278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279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3331</v>
      </c>
      <c r="AF1958" s="2">
        <f t="shared" si="274"/>
        <v>0</v>
      </c>
      <c r="AJ1958" s="2">
        <f t="shared" si="275"/>
        <v>0</v>
      </c>
      <c r="AK1958" s="2">
        <f t="shared" si="276"/>
        <v>20.800000000000011</v>
      </c>
      <c r="AL1958" s="5">
        <f t="shared" si="278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79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74"/>
        <v>0</v>
      </c>
      <c r="AG1959" s="2">
        <v>8.1999999999999993</v>
      </c>
      <c r="AH1959" s="2">
        <v>13</v>
      </c>
      <c r="AJ1959" s="2">
        <f t="shared" si="275"/>
        <v>0</v>
      </c>
      <c r="AK1959" s="2">
        <f t="shared" si="276"/>
        <v>23</v>
      </c>
      <c r="AL1959" s="5">
        <f t="shared" si="278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279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74"/>
        <v>0</v>
      </c>
      <c r="AG1960" s="2">
        <v>120.636</v>
      </c>
      <c r="AH1960" s="2">
        <v>220</v>
      </c>
      <c r="AJ1960" s="2">
        <f t="shared" si="275"/>
        <v>0</v>
      </c>
      <c r="AK1960" s="2">
        <f t="shared" si="276"/>
        <v>99.244</v>
      </c>
      <c r="AL1960" s="5">
        <f t="shared" si="278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119</v>
      </c>
      <c r="AA1961" s="2" t="s">
        <v>142</v>
      </c>
      <c r="AF1961" s="2">
        <f t="shared" si="274"/>
        <v>0</v>
      </c>
      <c r="AJ1961" s="2">
        <f t="shared" si="275"/>
        <v>0</v>
      </c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280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74"/>
        <v>0</v>
      </c>
      <c r="AJ1962" s="2">
        <f t="shared" si="275"/>
        <v>0</v>
      </c>
      <c r="AK1962" s="2">
        <f t="shared" ref="AK1962:AK2001" si="281">T1962-W1962</f>
        <v>0</v>
      </c>
      <c r="AL1962" s="5">
        <f t="shared" ref="AL1962:AL2001" si="282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80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74"/>
        <v>0</v>
      </c>
      <c r="AJ1963" s="2">
        <f t="shared" si="275"/>
        <v>0</v>
      </c>
      <c r="AK1963" s="2">
        <f t="shared" si="281"/>
        <v>256.65999999999997</v>
      </c>
      <c r="AL1963" s="5">
        <f t="shared" si="282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80"/>
        <v>0.08</v>
      </c>
      <c r="Z1964" s="2" t="s">
        <v>169</v>
      </c>
      <c r="AA1964" s="2" t="s">
        <v>169</v>
      </c>
      <c r="AF1964" s="2">
        <f t="shared" si="274"/>
        <v>0</v>
      </c>
      <c r="AJ1964" s="2">
        <f t="shared" si="275"/>
        <v>0</v>
      </c>
      <c r="AK1964" s="2">
        <f t="shared" si="281"/>
        <v>2</v>
      </c>
      <c r="AL1964" s="5">
        <f t="shared" si="282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80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74"/>
        <v>0</v>
      </c>
      <c r="AJ1965" s="2">
        <f t="shared" si="275"/>
        <v>0</v>
      </c>
      <c r="AK1965" s="2">
        <f t="shared" si="281"/>
        <v>2649.0299999999988</v>
      </c>
      <c r="AL1965" s="5">
        <f t="shared" si="282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80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74"/>
        <v>0</v>
      </c>
      <c r="AG1966" s="2">
        <f>19501.14+492.45</f>
        <v>19993.59</v>
      </c>
      <c r="AJ1966" s="2">
        <f t="shared" si="275"/>
        <v>0</v>
      </c>
      <c r="AK1966" s="2">
        <f t="shared" si="281"/>
        <v>1006.8199999999997</v>
      </c>
      <c r="AL1966" s="5">
        <f t="shared" si="282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80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74"/>
        <v>0</v>
      </c>
      <c r="AG1967" s="2">
        <v>1990</v>
      </c>
      <c r="AJ1967" s="2">
        <f t="shared" si="275"/>
        <v>0</v>
      </c>
      <c r="AK1967" s="2">
        <f t="shared" si="281"/>
        <v>509</v>
      </c>
      <c r="AL1967" s="5">
        <f t="shared" si="282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80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74"/>
        <v>0</v>
      </c>
      <c r="AG1968" s="2">
        <v>71.94</v>
      </c>
      <c r="AJ1968" s="2">
        <f t="shared" si="275"/>
        <v>0</v>
      </c>
      <c r="AK1968" s="2">
        <f t="shared" si="281"/>
        <v>28.060000000000002</v>
      </c>
      <c r="AL1968" s="5">
        <f t="shared" si="282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80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74"/>
        <v>0</v>
      </c>
      <c r="AJ1969" s="2">
        <f t="shared" si="275"/>
        <v>0</v>
      </c>
      <c r="AK1969" s="2">
        <f t="shared" si="281"/>
        <v>102.93200000000002</v>
      </c>
      <c r="AL1969" s="5">
        <f t="shared" si="282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80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74"/>
        <v>0</v>
      </c>
      <c r="AJ1970" s="2">
        <f t="shared" si="275"/>
        <v>0</v>
      </c>
      <c r="AK1970" s="2">
        <f t="shared" si="281"/>
        <v>107.08000000000004</v>
      </c>
      <c r="AL1970" s="5">
        <f t="shared" si="282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80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74"/>
        <v>0</v>
      </c>
      <c r="AJ1971" s="2">
        <f t="shared" si="275"/>
        <v>0</v>
      </c>
      <c r="AK1971" s="2">
        <f t="shared" si="281"/>
        <v>83.739599999999996</v>
      </c>
      <c r="AL1971" s="5">
        <f t="shared" si="282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80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74"/>
        <v>0</v>
      </c>
      <c r="AJ1972" s="2">
        <f t="shared" si="275"/>
        <v>0</v>
      </c>
      <c r="AK1972" s="2">
        <f t="shared" si="281"/>
        <v>55.95999999999998</v>
      </c>
      <c r="AL1972" s="5">
        <f t="shared" si="282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80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74"/>
        <v>0</v>
      </c>
      <c r="AJ1973" s="2">
        <f t="shared" si="275"/>
        <v>0</v>
      </c>
      <c r="AK1973" s="2">
        <f t="shared" si="281"/>
        <v>55.95999999999998</v>
      </c>
      <c r="AL1973" s="5">
        <f t="shared" si="282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80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74"/>
        <v>0</v>
      </c>
      <c r="AJ1974" s="2">
        <f t="shared" si="275"/>
        <v>0</v>
      </c>
      <c r="AK1974" s="2">
        <f t="shared" si="281"/>
        <v>55.95999999999998</v>
      </c>
      <c r="AL1974" s="5">
        <f t="shared" si="282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280"/>
        <v>-0.65217391304347827</v>
      </c>
      <c r="Z1975" s="2" t="s">
        <v>169</v>
      </c>
      <c r="AA1975" s="2" t="s">
        <v>169</v>
      </c>
      <c r="AF1975" s="2">
        <f t="shared" si="274"/>
        <v>0</v>
      </c>
      <c r="AJ1975" s="2">
        <f t="shared" si="275"/>
        <v>0</v>
      </c>
      <c r="AK1975" s="2">
        <f t="shared" si="281"/>
        <v>-75</v>
      </c>
      <c r="AL1975" s="5">
        <f t="shared" si="282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280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74"/>
        <v>0</v>
      </c>
      <c r="AJ1976" s="2">
        <f t="shared" si="275"/>
        <v>0</v>
      </c>
      <c r="AK1976" s="2">
        <f t="shared" si="281"/>
        <v>81.028999999999996</v>
      </c>
      <c r="AL1976" s="5">
        <f t="shared" si="282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80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74"/>
        <v>0</v>
      </c>
      <c r="AG1977" s="2">
        <v>130.08000000000001</v>
      </c>
      <c r="AJ1977" s="2">
        <f t="shared" si="275"/>
        <v>0</v>
      </c>
      <c r="AK1977" s="2">
        <f t="shared" si="281"/>
        <v>187</v>
      </c>
      <c r="AL1977" s="5">
        <f t="shared" si="282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80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74"/>
        <v>0</v>
      </c>
      <c r="AG1978" s="2">
        <v>134.85</v>
      </c>
      <c r="AJ1978" s="2">
        <f t="shared" si="275"/>
        <v>0</v>
      </c>
      <c r="AK1978" s="2">
        <f t="shared" si="281"/>
        <v>177.45</v>
      </c>
      <c r="AL1978" s="5">
        <f t="shared" si="282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80"/>
        <v>1</v>
      </c>
      <c r="Z1979" s="2" t="s">
        <v>117</v>
      </c>
      <c r="AF1979" s="2">
        <f t="shared" si="274"/>
        <v>0</v>
      </c>
      <c r="AJ1979" s="2">
        <f t="shared" si="275"/>
        <v>0</v>
      </c>
      <c r="AK1979" s="2">
        <f t="shared" si="281"/>
        <v>91.11</v>
      </c>
      <c r="AL1979" s="5">
        <f t="shared" si="282"/>
        <v>1</v>
      </c>
    </row>
    <row r="1980" spans="1:38" x14ac:dyDescent="0.2">
      <c r="A1980" s="2">
        <v>2025</v>
      </c>
      <c r="B1980" s="2">
        <v>10</v>
      </c>
      <c r="C1980" s="2" t="s">
        <v>3412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80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74"/>
        <v>0</v>
      </c>
      <c r="AJ1980" s="2">
        <f t="shared" si="275"/>
        <v>0</v>
      </c>
      <c r="AK1980" s="2">
        <f t="shared" si="281"/>
        <v>-3.1999999999999993</v>
      </c>
      <c r="AL1980" s="5">
        <f t="shared" si="282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280"/>
        <v>0.29411764705882354</v>
      </c>
      <c r="Z1981" s="2" t="s">
        <v>169</v>
      </c>
      <c r="AA1981" s="2" t="s">
        <v>169</v>
      </c>
      <c r="AF1981" s="2">
        <f t="shared" si="274"/>
        <v>0</v>
      </c>
      <c r="AJ1981" s="2">
        <f t="shared" si="275"/>
        <v>0</v>
      </c>
      <c r="AK1981" s="2">
        <f t="shared" si="281"/>
        <v>2.5</v>
      </c>
      <c r="AL1981" s="5">
        <f t="shared" si="282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80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74"/>
        <v>0</v>
      </c>
      <c r="AG1982" s="2">
        <v>117.453</v>
      </c>
      <c r="AH1982" s="2">
        <v>220</v>
      </c>
      <c r="AJ1982" s="2">
        <f t="shared" si="275"/>
        <v>0</v>
      </c>
      <c r="AK1982" s="2">
        <f t="shared" si="281"/>
        <v>102.547</v>
      </c>
      <c r="AL1982" s="5">
        <f t="shared" si="282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80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74"/>
        <v>0</v>
      </c>
      <c r="AJ1983" s="2">
        <f t="shared" si="275"/>
        <v>0</v>
      </c>
      <c r="AK1983" s="2">
        <f t="shared" si="281"/>
        <v>0</v>
      </c>
      <c r="AL1983" s="5">
        <f t="shared" si="282"/>
        <v>0</v>
      </c>
    </row>
    <row r="1984" spans="1:38" x14ac:dyDescent="0.2">
      <c r="A1984" s="2">
        <v>2025</v>
      </c>
      <c r="B1984" s="2">
        <v>10</v>
      </c>
      <c r="D1984" s="2" t="s">
        <v>1943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80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74"/>
        <v>0</v>
      </c>
      <c r="AJ1984" s="2">
        <f t="shared" si="275"/>
        <v>0</v>
      </c>
      <c r="AK1984" s="2">
        <f t="shared" si="281"/>
        <v>27.6</v>
      </c>
      <c r="AL1984" s="5">
        <f t="shared" si="282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80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74"/>
        <v>0</v>
      </c>
      <c r="AG1985" s="2">
        <v>3.7555999999999998</v>
      </c>
      <c r="AH1985" s="2">
        <v>7.2</v>
      </c>
      <c r="AJ1985" s="2">
        <f t="shared" si="275"/>
        <v>0</v>
      </c>
      <c r="AK1985" s="2">
        <f t="shared" si="281"/>
        <v>56.888000000000005</v>
      </c>
      <c r="AL1985" s="5">
        <f t="shared" si="282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80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283">AJ1986</f>
        <v>0</v>
      </c>
      <c r="AG1986" s="2">
        <v>0.85609999999999997</v>
      </c>
      <c r="AH1986" s="2">
        <v>1.8</v>
      </c>
      <c r="AJ1986" s="2">
        <f t="shared" ref="AJ1986:AJ2049" si="284">AI1986*T1986</f>
        <v>0</v>
      </c>
      <c r="AK1986" s="2">
        <f t="shared" si="281"/>
        <v>37.756</v>
      </c>
      <c r="AL1986" s="5">
        <f t="shared" si="282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80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283"/>
        <v>0</v>
      </c>
      <c r="AG1987" s="2">
        <v>1.1122000000000001</v>
      </c>
      <c r="AH1987" s="2">
        <v>3</v>
      </c>
      <c r="AJ1987" s="2">
        <f t="shared" si="284"/>
        <v>0</v>
      </c>
      <c r="AK1987" s="2">
        <f t="shared" si="281"/>
        <v>37.756</v>
      </c>
      <c r="AL1987" s="5">
        <f t="shared" si="282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80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283"/>
        <v>0</v>
      </c>
      <c r="AG1988" s="2">
        <v>1.4114</v>
      </c>
      <c r="AH1988" s="2">
        <v>3</v>
      </c>
      <c r="AJ1988" s="2">
        <f t="shared" si="284"/>
        <v>0</v>
      </c>
      <c r="AK1988" s="2">
        <f t="shared" si="281"/>
        <v>39.543999999999997</v>
      </c>
      <c r="AL1988" s="5">
        <f t="shared" si="282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80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283"/>
        <v>0</v>
      </c>
      <c r="AG1989" s="2">
        <v>15.020300000000001</v>
      </c>
      <c r="AH1989" s="2">
        <v>27.6</v>
      </c>
      <c r="AJ1989" s="2">
        <f t="shared" si="284"/>
        <v>0</v>
      </c>
      <c r="AK1989" s="2">
        <f t="shared" si="281"/>
        <v>13.959399999999999</v>
      </c>
      <c r="AL1989" s="5">
        <f t="shared" si="282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280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283"/>
        <v>0</v>
      </c>
      <c r="AJ1990" s="2">
        <f t="shared" si="284"/>
        <v>0</v>
      </c>
      <c r="AK1990" s="2">
        <f t="shared" si="281"/>
        <v>18.704999999999998</v>
      </c>
      <c r="AL1990" s="5">
        <f t="shared" si="282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280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283"/>
        <v>0</v>
      </c>
      <c r="AG1991" s="2">
        <v>10.2346</v>
      </c>
      <c r="AH1991" s="2">
        <v>18</v>
      </c>
      <c r="AJ1991" s="2">
        <f t="shared" si="284"/>
        <v>0</v>
      </c>
      <c r="AK1991" s="2">
        <f t="shared" si="281"/>
        <v>4.7999999999999989</v>
      </c>
      <c r="AL1991" s="5">
        <f t="shared" si="282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280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283"/>
        <v>0</v>
      </c>
      <c r="AG1992" s="2">
        <v>9.14</v>
      </c>
      <c r="AH1992" s="2">
        <v>16</v>
      </c>
      <c r="AJ1992" s="2">
        <f t="shared" si="284"/>
        <v>0</v>
      </c>
      <c r="AK1992" s="2">
        <f t="shared" si="281"/>
        <v>4.8600000000000012</v>
      </c>
      <c r="AL1992" s="5">
        <f t="shared" si="282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80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283"/>
        <v>0</v>
      </c>
      <c r="AG1993" s="2">
        <v>8.1999999999999993</v>
      </c>
      <c r="AH1993" s="2">
        <v>13</v>
      </c>
      <c r="AJ1993" s="2">
        <f t="shared" si="284"/>
        <v>0</v>
      </c>
      <c r="AK1993" s="2">
        <f t="shared" si="281"/>
        <v>27.599999999999994</v>
      </c>
      <c r="AL1993" s="5">
        <f t="shared" si="282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80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283"/>
        <v>0</v>
      </c>
      <c r="AJ1994" s="2">
        <f t="shared" si="284"/>
        <v>0</v>
      </c>
      <c r="AK1994" s="2">
        <f t="shared" si="281"/>
        <v>3847.6899999999996</v>
      </c>
      <c r="AL1994" s="5">
        <f t="shared" si="282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80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283"/>
        <v>0</v>
      </c>
      <c r="AG1995" s="2">
        <v>15.020300000000001</v>
      </c>
      <c r="AH1995" s="2">
        <v>27.6</v>
      </c>
      <c r="AJ1995" s="2">
        <f t="shared" si="284"/>
        <v>0</v>
      </c>
      <c r="AK1995" s="2">
        <f t="shared" si="281"/>
        <v>55.837599999999995</v>
      </c>
      <c r="AL1995" s="5">
        <f t="shared" si="282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80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283"/>
        <v>0</v>
      </c>
      <c r="AG1996" s="2">
        <v>7.2217000000000002</v>
      </c>
      <c r="AH1996" s="2">
        <v>14.4</v>
      </c>
      <c r="AJ1996" s="2">
        <f t="shared" si="284"/>
        <v>0</v>
      </c>
      <c r="AK1996" s="2">
        <f t="shared" si="281"/>
        <v>5.9782999999999991</v>
      </c>
      <c r="AL1996" s="5">
        <f t="shared" si="282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280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283"/>
        <v>0</v>
      </c>
      <c r="AJ1997" s="2">
        <f t="shared" si="284"/>
        <v>0</v>
      </c>
      <c r="AK1997" s="2">
        <f t="shared" si="281"/>
        <v>12.575099999999999</v>
      </c>
      <c r="AL1997" s="5">
        <f t="shared" si="282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80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283"/>
        <v>0</v>
      </c>
      <c r="AG1998" s="2">
        <v>10.6</v>
      </c>
      <c r="AH1998" s="2">
        <v>18</v>
      </c>
      <c r="AJ1998" s="2">
        <f t="shared" si="284"/>
        <v>0</v>
      </c>
      <c r="AK1998" s="2">
        <f t="shared" si="281"/>
        <v>7.4</v>
      </c>
      <c r="AL1998" s="5">
        <f t="shared" si="282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80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283"/>
        <v>0</v>
      </c>
      <c r="AG1999" s="2">
        <v>8.1999999999999993</v>
      </c>
      <c r="AH1999" s="2">
        <v>13</v>
      </c>
      <c r="AJ1999" s="2">
        <f t="shared" si="284"/>
        <v>0</v>
      </c>
      <c r="AK1999" s="2">
        <f t="shared" si="281"/>
        <v>4.7999999999999989</v>
      </c>
      <c r="AL1999" s="5">
        <f t="shared" si="282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80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283"/>
        <v>0</v>
      </c>
      <c r="AJ2000" s="2">
        <f t="shared" si="284"/>
        <v>0</v>
      </c>
      <c r="AK2000" s="2">
        <f t="shared" si="281"/>
        <v>273.13</v>
      </c>
      <c r="AL2000" s="5">
        <f t="shared" si="282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3300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80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283"/>
        <v>0</v>
      </c>
      <c r="AJ2001" s="2">
        <f t="shared" si="284"/>
        <v>0</v>
      </c>
      <c r="AK2001" s="2">
        <f t="shared" si="281"/>
        <v>125.72</v>
      </c>
      <c r="AL2001" s="5">
        <f t="shared" si="282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3300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283"/>
        <v>0</v>
      </c>
      <c r="AJ2002" s="2">
        <f t="shared" si="284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285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283"/>
        <v>0</v>
      </c>
      <c r="AG2003" s="2">
        <v>111.98</v>
      </c>
      <c r="AH2003" s="2">
        <v>210</v>
      </c>
      <c r="AJ2003" s="2">
        <f t="shared" si="284"/>
        <v>0</v>
      </c>
      <c r="AK2003" s="2">
        <f t="shared" ref="AK2003:AK2066" si="286">T2003-W2003</f>
        <v>91.719999999999985</v>
      </c>
      <c r="AL2003" s="5">
        <f t="shared" ref="AL2003:AL2014" si="287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85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283"/>
        <v>0</v>
      </c>
      <c r="AJ2004" s="2">
        <f t="shared" si="284"/>
        <v>0</v>
      </c>
      <c r="AK2004" s="2">
        <f t="shared" si="286"/>
        <v>93.00500000000001</v>
      </c>
      <c r="AL2004" s="5">
        <f t="shared" si="287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85"/>
        <v>0.23333333333333334</v>
      </c>
      <c r="Z2005" s="2" t="s">
        <v>169</v>
      </c>
      <c r="AA2005" s="2" t="s">
        <v>169</v>
      </c>
      <c r="AF2005" s="2">
        <f t="shared" si="283"/>
        <v>0</v>
      </c>
      <c r="AJ2005" s="2">
        <f t="shared" si="284"/>
        <v>0</v>
      </c>
      <c r="AK2005" s="2">
        <f t="shared" si="286"/>
        <v>7</v>
      </c>
      <c r="AL2005" s="5">
        <f t="shared" si="287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85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283"/>
        <v>0</v>
      </c>
      <c r="AJ2006" s="2">
        <f t="shared" si="284"/>
        <v>0</v>
      </c>
      <c r="AK2006" s="2">
        <f t="shared" si="286"/>
        <v>0</v>
      </c>
      <c r="AL2006" s="5">
        <f t="shared" si="287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85"/>
        <v>0.13</v>
      </c>
      <c r="Z2007" s="2" t="s">
        <v>3226</v>
      </c>
      <c r="AA2007" s="2" t="s">
        <v>46</v>
      </c>
      <c r="AB2007" s="2" t="s">
        <v>60</v>
      </c>
      <c r="AC2007" s="2" t="s">
        <v>3331</v>
      </c>
      <c r="AF2007" s="2">
        <f t="shared" si="283"/>
        <v>0</v>
      </c>
      <c r="AJ2007" s="2">
        <f t="shared" si="284"/>
        <v>0</v>
      </c>
      <c r="AK2007" s="2">
        <f t="shared" si="286"/>
        <v>26</v>
      </c>
      <c r="AL2007" s="5">
        <f t="shared" si="287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85"/>
        <v>0.13</v>
      </c>
      <c r="Z2008" s="2" t="s">
        <v>3226</v>
      </c>
      <c r="AA2008" s="2" t="s">
        <v>46</v>
      </c>
      <c r="AB2008" s="2" t="s">
        <v>60</v>
      </c>
      <c r="AC2008" s="2" t="s">
        <v>3331</v>
      </c>
      <c r="AF2008" s="2">
        <f t="shared" si="283"/>
        <v>0</v>
      </c>
      <c r="AJ2008" s="2">
        <f t="shared" si="284"/>
        <v>0</v>
      </c>
      <c r="AK2008" s="2">
        <f t="shared" si="286"/>
        <v>26</v>
      </c>
      <c r="AL2008" s="5">
        <f t="shared" si="287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285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283"/>
        <v>0</v>
      </c>
      <c r="AJ2009" s="2">
        <f t="shared" si="284"/>
        <v>0</v>
      </c>
      <c r="AK2009" s="2">
        <f t="shared" si="286"/>
        <v>8.0799999999999983</v>
      </c>
      <c r="AL2009" s="5">
        <f t="shared" si="287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285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283"/>
        <v>0</v>
      </c>
      <c r="AJ2010" s="2">
        <f t="shared" si="284"/>
        <v>0</v>
      </c>
      <c r="AK2010" s="2">
        <f t="shared" si="286"/>
        <v>120.4966</v>
      </c>
      <c r="AL2010" s="5">
        <f t="shared" si="287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85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283"/>
        <v>0</v>
      </c>
      <c r="AG2011" s="2">
        <v>117.453</v>
      </c>
      <c r="AH2011" s="2">
        <v>220</v>
      </c>
      <c r="AJ2011" s="2">
        <f t="shared" si="284"/>
        <v>0</v>
      </c>
      <c r="AK2011" s="2">
        <f t="shared" si="286"/>
        <v>102.547</v>
      </c>
      <c r="AL2011" s="5">
        <f t="shared" si="287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85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283"/>
        <v>0</v>
      </c>
      <c r="AJ2012" s="2">
        <f t="shared" si="284"/>
        <v>0</v>
      </c>
      <c r="AK2012" s="2">
        <f t="shared" si="286"/>
        <v>0</v>
      </c>
      <c r="AL2012" s="5">
        <f t="shared" si="287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285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283"/>
        <v>0</v>
      </c>
      <c r="AJ2013" s="2">
        <f t="shared" si="284"/>
        <v>0</v>
      </c>
      <c r="AK2013" s="2">
        <f t="shared" si="286"/>
        <v>40.444200000000002</v>
      </c>
      <c r="AL2013" s="5">
        <f t="shared" si="287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85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283"/>
        <v>0</v>
      </c>
      <c r="AJ2014" s="2">
        <f t="shared" si="284"/>
        <v>0</v>
      </c>
      <c r="AK2014" s="2">
        <f t="shared" si="286"/>
        <v>505.65999999999997</v>
      </c>
      <c r="AL2014" s="5">
        <f t="shared" si="287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283"/>
        <v>0</v>
      </c>
      <c r="AJ2015" s="2">
        <f t="shared" si="284"/>
        <v>0</v>
      </c>
      <c r="AK2015" s="2">
        <f t="shared" si="286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288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283"/>
        <v>0</v>
      </c>
      <c r="AJ2016" s="2">
        <f t="shared" si="284"/>
        <v>0</v>
      </c>
      <c r="AK2016" s="2">
        <f t="shared" si="286"/>
        <v>25</v>
      </c>
      <c r="AL2016" s="5">
        <f t="shared" ref="AL2016:AL2052" si="289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88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283"/>
        <v>0</v>
      </c>
      <c r="AJ2017" s="2">
        <f t="shared" si="284"/>
        <v>0</v>
      </c>
      <c r="AK2017" s="2">
        <f t="shared" si="286"/>
        <v>354.09659999999997</v>
      </c>
      <c r="AL2017" s="5">
        <f t="shared" si="289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88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283"/>
        <v>0</v>
      </c>
      <c r="AJ2018" s="2">
        <f t="shared" si="284"/>
        <v>0</v>
      </c>
      <c r="AK2018" s="2">
        <f t="shared" si="286"/>
        <v>96.6</v>
      </c>
      <c r="AL2018" s="5">
        <f t="shared" si="289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88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283"/>
        <v>0</v>
      </c>
      <c r="AJ2019" s="2">
        <f t="shared" si="284"/>
        <v>0</v>
      </c>
      <c r="AK2019" s="2">
        <f t="shared" si="286"/>
        <v>18.75</v>
      </c>
      <c r="AL2019" s="5">
        <f t="shared" si="289"/>
        <v>0.5</v>
      </c>
    </row>
    <row r="2020" spans="1:38" x14ac:dyDescent="0.2">
      <c r="A2020" s="2">
        <v>2025</v>
      </c>
      <c r="B2020" s="2">
        <v>10</v>
      </c>
      <c r="C2020" s="2" t="s">
        <v>3410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288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283"/>
        <v>0</v>
      </c>
      <c r="AJ2020" s="2">
        <f t="shared" si="284"/>
        <v>0</v>
      </c>
      <c r="AK2020" s="2">
        <f t="shared" si="286"/>
        <v>59.258999999999986</v>
      </c>
      <c r="AL2020" s="5">
        <f t="shared" si="289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288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283"/>
        <v>0</v>
      </c>
      <c r="AJ2021" s="2">
        <f t="shared" si="284"/>
        <v>0</v>
      </c>
      <c r="AK2021" s="2">
        <f t="shared" si="286"/>
        <v>31.990000000000002</v>
      </c>
      <c r="AL2021" s="5">
        <f t="shared" si="289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88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283"/>
        <v>0</v>
      </c>
      <c r="AG2022" s="2">
        <v>10.6</v>
      </c>
      <c r="AH2022" s="2">
        <v>18</v>
      </c>
      <c r="AJ2022" s="2">
        <f t="shared" si="284"/>
        <v>0</v>
      </c>
      <c r="AK2022" s="2">
        <f t="shared" si="286"/>
        <v>40.800000000000011</v>
      </c>
      <c r="AL2022" s="5">
        <f t="shared" si="289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88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283"/>
        <v>0</v>
      </c>
      <c r="AG2023" s="2">
        <v>8.1999999999999993</v>
      </c>
      <c r="AH2023" s="2">
        <v>13</v>
      </c>
      <c r="AJ2023" s="2">
        <f t="shared" si="284"/>
        <v>0</v>
      </c>
      <c r="AK2023" s="2">
        <f t="shared" si="286"/>
        <v>4.7999999999999989</v>
      </c>
      <c r="AL2023" s="5">
        <f t="shared" si="289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88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283"/>
        <v>0</v>
      </c>
      <c r="AG2024" s="2">
        <f>318.86+13.52</f>
        <v>332.38</v>
      </c>
      <c r="AJ2024" s="2">
        <f t="shared" si="284"/>
        <v>0</v>
      </c>
      <c r="AK2024" s="2">
        <f t="shared" si="286"/>
        <v>335.13</v>
      </c>
      <c r="AL2024" s="5">
        <f t="shared" si="289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88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283"/>
        <v>0</v>
      </c>
      <c r="AG2025" s="2">
        <f>182.2+7.72</f>
        <v>189.92</v>
      </c>
      <c r="AJ2025" s="2">
        <f t="shared" si="284"/>
        <v>0</v>
      </c>
      <c r="AK2025" s="2">
        <f t="shared" si="286"/>
        <v>192.70000000000002</v>
      </c>
      <c r="AL2025" s="5">
        <f t="shared" si="289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88"/>
        <v>1</v>
      </c>
      <c r="Z2026" s="2" t="s">
        <v>117</v>
      </c>
      <c r="AF2026" s="2">
        <f t="shared" si="283"/>
        <v>0</v>
      </c>
      <c r="AJ2026" s="2">
        <f t="shared" si="284"/>
        <v>0</v>
      </c>
      <c r="AK2026" s="2">
        <f t="shared" si="286"/>
        <v>190</v>
      </c>
      <c r="AL2026" s="5">
        <f t="shared" si="289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88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283"/>
        <v>0</v>
      </c>
      <c r="AG2027" s="2">
        <v>117.453</v>
      </c>
      <c r="AH2027" s="2">
        <v>220</v>
      </c>
      <c r="AJ2027" s="2">
        <f t="shared" si="284"/>
        <v>0</v>
      </c>
      <c r="AK2027" s="2">
        <f t="shared" si="286"/>
        <v>102.547</v>
      </c>
      <c r="AL2027" s="5">
        <f t="shared" si="289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88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283"/>
        <v>0</v>
      </c>
      <c r="AJ2028" s="2">
        <f t="shared" si="284"/>
        <v>0</v>
      </c>
      <c r="AK2028" s="2">
        <f t="shared" si="286"/>
        <v>0</v>
      </c>
      <c r="AL2028" s="5">
        <f t="shared" si="289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88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283"/>
        <v>0</v>
      </c>
      <c r="AJ2029" s="2">
        <f t="shared" si="284"/>
        <v>0</v>
      </c>
      <c r="AK2029" s="2">
        <f t="shared" si="286"/>
        <v>748.04</v>
      </c>
      <c r="AL2029" s="5">
        <f t="shared" si="289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88"/>
        <v>#DIV/0!</v>
      </c>
      <c r="Z2030" s="2" t="s">
        <v>117</v>
      </c>
      <c r="AA2030" s="2" t="s">
        <v>1310</v>
      </c>
      <c r="AF2030" s="2">
        <f t="shared" si="283"/>
        <v>0</v>
      </c>
      <c r="AJ2030" s="2">
        <f t="shared" si="284"/>
        <v>0</v>
      </c>
      <c r="AK2030" s="2">
        <f t="shared" si="286"/>
        <v>0</v>
      </c>
      <c r="AL2030" s="5" t="e">
        <f t="shared" si="289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88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283"/>
        <v>0</v>
      </c>
      <c r="AJ2031" s="2">
        <f t="shared" si="284"/>
        <v>0</v>
      </c>
      <c r="AK2031" s="2">
        <f t="shared" si="286"/>
        <v>1.2850000000000001</v>
      </c>
      <c r="AL2031" s="5">
        <f t="shared" si="289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88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3331</v>
      </c>
      <c r="AF2032" s="2">
        <f t="shared" si="283"/>
        <v>0</v>
      </c>
      <c r="AJ2032" s="2">
        <f t="shared" si="284"/>
        <v>0</v>
      </c>
      <c r="AK2032" s="2">
        <f t="shared" si="286"/>
        <v>5.2000000000000028</v>
      </c>
      <c r="AL2032" s="5">
        <f t="shared" si="289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88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283"/>
        <v>0</v>
      </c>
      <c r="AG2033" s="2">
        <v>10.6</v>
      </c>
      <c r="AH2033" s="2">
        <v>18</v>
      </c>
      <c r="AJ2033" s="2">
        <f t="shared" si="284"/>
        <v>0</v>
      </c>
      <c r="AK2033" s="2">
        <f t="shared" si="286"/>
        <v>8.8000000000000007</v>
      </c>
      <c r="AL2033" s="5">
        <f t="shared" si="289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88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283"/>
        <v>0</v>
      </c>
      <c r="AG2034" s="2">
        <v>8.1999999999999993</v>
      </c>
      <c r="AH2034" s="2">
        <v>13</v>
      </c>
      <c r="AJ2034" s="2">
        <f t="shared" si="284"/>
        <v>0</v>
      </c>
      <c r="AK2034" s="2">
        <f t="shared" si="286"/>
        <v>25.299999999999997</v>
      </c>
      <c r="AL2034" s="5">
        <f t="shared" si="289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88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283"/>
        <v>0</v>
      </c>
      <c r="AG2035" s="2">
        <v>1.8320000000000001</v>
      </c>
      <c r="AH2035" s="2">
        <v>2.4</v>
      </c>
      <c r="AJ2035" s="2">
        <f t="shared" si="284"/>
        <v>0</v>
      </c>
      <c r="AK2035" s="2">
        <f t="shared" si="286"/>
        <v>3.1680000000000001</v>
      </c>
      <c r="AL2035" s="5">
        <f t="shared" si="289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288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283"/>
        <v>0</v>
      </c>
      <c r="AJ2036" s="2">
        <f t="shared" si="284"/>
        <v>0</v>
      </c>
      <c r="AK2036" s="2">
        <f t="shared" si="286"/>
        <v>-8.8684000000000012</v>
      </c>
      <c r="AL2036" s="18">
        <f t="shared" si="289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88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283"/>
        <v>0</v>
      </c>
      <c r="AG2037" s="2">
        <v>131.93</v>
      </c>
      <c r="AH2037" s="2">
        <v>220</v>
      </c>
      <c r="AJ2037" s="2">
        <f t="shared" si="284"/>
        <v>0</v>
      </c>
      <c r="AK2037" s="2">
        <f t="shared" si="286"/>
        <v>102.69999999999999</v>
      </c>
      <c r="AL2037" s="5">
        <f t="shared" si="289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88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283"/>
        <v>0</v>
      </c>
      <c r="AG2038" s="2">
        <v>111.98</v>
      </c>
      <c r="AH2038" s="2">
        <v>210</v>
      </c>
      <c r="AJ2038" s="2">
        <f t="shared" si="284"/>
        <v>0</v>
      </c>
      <c r="AK2038" s="2">
        <f t="shared" si="286"/>
        <v>109.18999999999997</v>
      </c>
      <c r="AL2038" s="5">
        <f t="shared" si="289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88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283"/>
        <v>0</v>
      </c>
      <c r="AJ2039" s="2">
        <f t="shared" si="284"/>
        <v>0</v>
      </c>
      <c r="AK2039" s="2">
        <f t="shared" si="286"/>
        <v>100.94</v>
      </c>
      <c r="AL2039" s="5">
        <f t="shared" si="289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88"/>
        <v>1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283"/>
        <v>0</v>
      </c>
      <c r="AJ2040" s="2">
        <f t="shared" si="284"/>
        <v>0</v>
      </c>
      <c r="AK2040" s="2">
        <f t="shared" si="286"/>
        <v>15</v>
      </c>
      <c r="AL2040" s="5">
        <f t="shared" si="289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88"/>
        <v>1</v>
      </c>
      <c r="Z2041" s="2" t="s">
        <v>117</v>
      </c>
      <c r="AA2041" s="2" t="s">
        <v>1310</v>
      </c>
      <c r="AF2041" s="2">
        <f t="shared" si="283"/>
        <v>0</v>
      </c>
      <c r="AJ2041" s="2">
        <f t="shared" si="284"/>
        <v>0</v>
      </c>
      <c r="AK2041" s="2">
        <f t="shared" si="286"/>
        <v>10.5</v>
      </c>
      <c r="AL2041" s="5">
        <f t="shared" si="289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88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283"/>
        <v>0</v>
      </c>
      <c r="AJ2042" s="2">
        <f t="shared" si="284"/>
        <v>0</v>
      </c>
      <c r="AK2042" s="2">
        <f t="shared" si="286"/>
        <v>0</v>
      </c>
      <c r="AL2042" s="5">
        <f t="shared" si="289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88"/>
        <v>1</v>
      </c>
      <c r="Z2043" s="2" t="s">
        <v>119</v>
      </c>
      <c r="AA2043" s="2" t="s">
        <v>3379</v>
      </c>
      <c r="AF2043" s="2">
        <f t="shared" si="283"/>
        <v>0</v>
      </c>
      <c r="AJ2043" s="2">
        <f t="shared" si="284"/>
        <v>0</v>
      </c>
      <c r="AK2043" s="2">
        <f t="shared" si="286"/>
        <v>939.5</v>
      </c>
      <c r="AL2043" s="5">
        <f t="shared" si="289"/>
        <v>1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88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283"/>
        <v>0</v>
      </c>
      <c r="AJ2044" s="2">
        <f t="shared" si="284"/>
        <v>0</v>
      </c>
      <c r="AK2044" s="2">
        <f t="shared" si="286"/>
        <v>254.19659999999999</v>
      </c>
      <c r="AL2044" s="5">
        <f t="shared" si="289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88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283"/>
        <v>0</v>
      </c>
      <c r="AJ2045" s="2">
        <f t="shared" si="284"/>
        <v>0</v>
      </c>
      <c r="AK2045" s="2">
        <f t="shared" si="286"/>
        <v>36.599999999999994</v>
      </c>
      <c r="AL2045" s="5">
        <f t="shared" si="289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88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283"/>
        <v>0</v>
      </c>
      <c r="AJ2046" s="2">
        <f t="shared" si="284"/>
        <v>0</v>
      </c>
      <c r="AK2046" s="2">
        <f t="shared" si="286"/>
        <v>25</v>
      </c>
      <c r="AL2046" s="5">
        <f t="shared" si="289"/>
        <v>0.5</v>
      </c>
    </row>
    <row r="2047" spans="1:38" x14ac:dyDescent="0.2">
      <c r="A2047" s="2">
        <v>2025</v>
      </c>
      <c r="B2047" s="2">
        <v>11</v>
      </c>
      <c r="C2047" s="2" t="s">
        <v>3452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88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283"/>
        <v>0</v>
      </c>
      <c r="AG2047" s="2">
        <v>6.6266999999999996</v>
      </c>
      <c r="AH2047" s="2">
        <v>12</v>
      </c>
      <c r="AJ2047" s="2">
        <f t="shared" si="284"/>
        <v>0</v>
      </c>
      <c r="AK2047" s="2">
        <f t="shared" si="286"/>
        <v>10.746600000000001</v>
      </c>
      <c r="AL2047" s="5">
        <f t="shared" si="289"/>
        <v>0.44777500000000003</v>
      </c>
    </row>
    <row r="2048" spans="1:38" x14ac:dyDescent="0.2">
      <c r="A2048" s="2">
        <v>2025</v>
      </c>
      <c r="B2048" s="2">
        <v>11</v>
      </c>
      <c r="C2048" s="2" t="s">
        <v>3452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88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283"/>
        <v>0</v>
      </c>
      <c r="AG2048" s="2">
        <v>8.1999999999999993</v>
      </c>
      <c r="AH2048" s="2">
        <v>13</v>
      </c>
      <c r="AJ2048" s="2">
        <f t="shared" si="284"/>
        <v>0</v>
      </c>
      <c r="AK2048" s="2">
        <f t="shared" si="286"/>
        <v>12.899999999999999</v>
      </c>
      <c r="AL2048" s="5">
        <f t="shared" si="289"/>
        <v>0.34399999999999997</v>
      </c>
    </row>
    <row r="2049" spans="1:38" x14ac:dyDescent="0.2">
      <c r="A2049" s="2">
        <v>2025</v>
      </c>
      <c r="B2049" s="2">
        <v>11</v>
      </c>
      <c r="C2049" s="2" t="s">
        <v>3452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88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283"/>
        <v>0</v>
      </c>
      <c r="AJ2049" s="2">
        <f t="shared" si="284"/>
        <v>0</v>
      </c>
      <c r="AK2049" s="2">
        <f t="shared" si="286"/>
        <v>5.8600000000000012</v>
      </c>
      <c r="AL2049" s="5">
        <f t="shared" si="289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288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290">AJ2050</f>
        <v>0</v>
      </c>
      <c r="AJ2050" s="2">
        <f t="shared" ref="AJ2050:AJ2113" si="291">AI2050*T2050</f>
        <v>0</v>
      </c>
      <c r="AK2050" s="2">
        <f t="shared" si="286"/>
        <v>80.888400000000004</v>
      </c>
      <c r="AL2050" s="5">
        <f t="shared" si="289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88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290"/>
        <v>0</v>
      </c>
      <c r="AJ2051" s="2">
        <f t="shared" si="291"/>
        <v>0</v>
      </c>
      <c r="AK2051" s="2">
        <f t="shared" si="286"/>
        <v>352.72999999999996</v>
      </c>
      <c r="AL2051" s="5">
        <f t="shared" si="289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88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290"/>
        <v>0</v>
      </c>
      <c r="AJ2052" s="2">
        <f t="shared" si="291"/>
        <v>0</v>
      </c>
      <c r="AK2052" s="2">
        <f t="shared" si="286"/>
        <v>86.4</v>
      </c>
      <c r="AL2052" s="5">
        <f t="shared" si="289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290"/>
        <v>0</v>
      </c>
      <c r="AJ2053" s="2">
        <f t="shared" si="291"/>
        <v>0</v>
      </c>
      <c r="AK2053" s="2">
        <f t="shared" si="286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143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292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290"/>
        <v>0</v>
      </c>
      <c r="AJ2054" s="2">
        <f t="shared" si="291"/>
        <v>0</v>
      </c>
      <c r="AK2054" s="2">
        <f t="shared" si="286"/>
        <v>80.888400000000004</v>
      </c>
      <c r="AL2054" s="5">
        <f t="shared" ref="AL2054:AL2085" si="293">(T2054-W2054)/T2054</f>
        <v>0.52751010825616285</v>
      </c>
    </row>
    <row r="2055" spans="1:38" x14ac:dyDescent="0.2">
      <c r="A2055" s="2">
        <v>2025</v>
      </c>
      <c r="B2055" s="2">
        <v>11</v>
      </c>
      <c r="D2055" s="2" t="s">
        <v>143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92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290"/>
        <v>0</v>
      </c>
      <c r="AJ2055" s="2">
        <f t="shared" si="291"/>
        <v>0</v>
      </c>
      <c r="AK2055" s="2">
        <f t="shared" si="286"/>
        <v>94.19</v>
      </c>
      <c r="AL2055" s="5">
        <f t="shared" si="293"/>
        <v>0.44852380952380949</v>
      </c>
    </row>
    <row r="2056" spans="1:38" x14ac:dyDescent="0.2">
      <c r="A2056" s="2">
        <v>2025</v>
      </c>
      <c r="B2056" s="2">
        <v>11</v>
      </c>
      <c r="D2056" s="2" t="s">
        <v>143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92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290"/>
        <v>0</v>
      </c>
      <c r="AJ2056" s="2">
        <f t="shared" si="291"/>
        <v>0</v>
      </c>
      <c r="AK2056" s="2">
        <f t="shared" si="286"/>
        <v>120</v>
      </c>
      <c r="AL2056" s="5">
        <f t="shared" si="293"/>
        <v>0.26666666666666666</v>
      </c>
    </row>
    <row r="2057" spans="1:38" x14ac:dyDescent="0.2">
      <c r="A2057" s="2">
        <v>2025</v>
      </c>
      <c r="B2057" s="2">
        <v>11</v>
      </c>
      <c r="D2057" s="2" t="s">
        <v>143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92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290"/>
        <v>0</v>
      </c>
      <c r="AJ2057" s="2">
        <f t="shared" si="291"/>
        <v>0</v>
      </c>
      <c r="AK2057" s="2">
        <f t="shared" si="286"/>
        <v>136.80000000000001</v>
      </c>
      <c r="AL2057" s="5">
        <f t="shared" si="293"/>
        <v>0.60000000000000009</v>
      </c>
    </row>
    <row r="2058" spans="1:38" x14ac:dyDescent="0.2">
      <c r="A2058" s="2">
        <v>2025</v>
      </c>
      <c r="B2058" s="2">
        <v>11</v>
      </c>
      <c r="D2058" s="2" t="s">
        <v>143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92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290"/>
        <v>0</v>
      </c>
      <c r="AJ2058" s="2">
        <f t="shared" si="291"/>
        <v>0</v>
      </c>
      <c r="AK2058" s="2">
        <f t="shared" si="286"/>
        <v>125</v>
      </c>
      <c r="AL2058" s="5">
        <f t="shared" si="293"/>
        <v>0.5</v>
      </c>
    </row>
    <row r="2059" spans="1:38" x14ac:dyDescent="0.2">
      <c r="A2059" s="2">
        <v>2025</v>
      </c>
      <c r="B2059" s="2">
        <v>11</v>
      </c>
      <c r="D2059" s="2" t="s">
        <v>143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92"/>
        <v>-0.53333333333333333</v>
      </c>
      <c r="Z2059" s="2" t="s">
        <v>169</v>
      </c>
      <c r="AA2059" s="2" t="s">
        <v>169</v>
      </c>
      <c r="AF2059" s="2">
        <f t="shared" si="290"/>
        <v>0</v>
      </c>
      <c r="AJ2059" s="2">
        <f t="shared" si="291"/>
        <v>0</v>
      </c>
      <c r="AK2059" s="2">
        <f t="shared" si="286"/>
        <v>-8</v>
      </c>
      <c r="AL2059" s="5">
        <f t="shared" si="293"/>
        <v>-0.53333333333333333</v>
      </c>
    </row>
    <row r="2060" spans="1:38" x14ac:dyDescent="0.2">
      <c r="A2060" s="2">
        <v>2025</v>
      </c>
      <c r="B2060" s="2">
        <v>11</v>
      </c>
      <c r="D2060" s="2" t="s">
        <v>143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92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290"/>
        <v>0</v>
      </c>
      <c r="AJ2060" s="2">
        <f t="shared" si="291"/>
        <v>0</v>
      </c>
      <c r="AK2060" s="2">
        <f t="shared" si="286"/>
        <v>0</v>
      </c>
      <c r="AL2060" s="5">
        <f t="shared" si="293"/>
        <v>0</v>
      </c>
    </row>
    <row r="2061" spans="1:38" x14ac:dyDescent="0.2">
      <c r="A2061" s="2">
        <v>2025</v>
      </c>
      <c r="B2061" s="2">
        <v>11</v>
      </c>
      <c r="D2061" s="2" t="s">
        <v>143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92"/>
        <v>1</v>
      </c>
      <c r="Z2061" s="2" t="s">
        <v>119</v>
      </c>
      <c r="AA2061" s="2" t="s">
        <v>3379</v>
      </c>
      <c r="AF2061" s="2">
        <f t="shared" si="290"/>
        <v>0</v>
      </c>
      <c r="AJ2061" s="2">
        <f t="shared" si="291"/>
        <v>0</v>
      </c>
      <c r="AK2061" s="2">
        <f t="shared" si="286"/>
        <v>67.2</v>
      </c>
      <c r="AL2061" s="5">
        <f t="shared" si="293"/>
        <v>1</v>
      </c>
    </row>
    <row r="2062" spans="1:38" x14ac:dyDescent="0.2">
      <c r="A2062" s="2">
        <v>2025</v>
      </c>
      <c r="B2062" s="2">
        <v>11</v>
      </c>
      <c r="C2062" s="2" t="s">
        <v>3441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292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290"/>
        <v>0</v>
      </c>
      <c r="AJ2062" s="2">
        <f t="shared" si="291"/>
        <v>0</v>
      </c>
      <c r="AK2062" s="2">
        <f t="shared" si="286"/>
        <v>7.125</v>
      </c>
      <c r="AL2062" s="5">
        <f t="shared" si="293"/>
        <v>0.43981481481481483</v>
      </c>
    </row>
    <row r="2063" spans="1:38" x14ac:dyDescent="0.2">
      <c r="A2063" s="2">
        <v>2025</v>
      </c>
      <c r="B2063" s="2">
        <v>11</v>
      </c>
      <c r="C2063" s="2" t="s">
        <v>3441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292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290"/>
        <v>0</v>
      </c>
      <c r="AJ2063" s="2">
        <f t="shared" si="291"/>
        <v>0</v>
      </c>
      <c r="AK2063" s="2">
        <f t="shared" si="286"/>
        <v>8.6732999999999993</v>
      </c>
      <c r="AL2063" s="5">
        <f t="shared" si="293"/>
        <v>0.45173437499999997</v>
      </c>
    </row>
    <row r="2064" spans="1:38" x14ac:dyDescent="0.2">
      <c r="A2064" s="2">
        <v>2025</v>
      </c>
      <c r="B2064" s="2">
        <v>11</v>
      </c>
      <c r="C2064" s="2" t="s">
        <v>3441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92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290"/>
        <v>0</v>
      </c>
      <c r="AG2064" s="2">
        <v>10.6</v>
      </c>
      <c r="AH2064" s="2">
        <v>18</v>
      </c>
      <c r="AJ2064" s="2">
        <f t="shared" si="291"/>
        <v>0</v>
      </c>
      <c r="AK2064" s="2">
        <f t="shared" si="286"/>
        <v>14.8</v>
      </c>
      <c r="AL2064" s="5">
        <f t="shared" si="293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92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290"/>
        <v>0</v>
      </c>
      <c r="AJ2065" s="2">
        <f t="shared" si="291"/>
        <v>0</v>
      </c>
      <c r="AK2065" s="2">
        <f t="shared" si="286"/>
        <v>30</v>
      </c>
      <c r="AL2065" s="5">
        <f t="shared" si="293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92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290"/>
        <v>0</v>
      </c>
      <c r="AJ2066" s="2">
        <f t="shared" si="291"/>
        <v>0</v>
      </c>
      <c r="AK2066" s="2">
        <f t="shared" si="286"/>
        <v>25</v>
      </c>
      <c r="AL2066" s="5">
        <f t="shared" si="293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si="292"/>
        <v>1</v>
      </c>
      <c r="Z2067" s="2" t="s">
        <v>119</v>
      </c>
      <c r="AA2067" s="2" t="s">
        <v>3379</v>
      </c>
      <c r="AF2067" s="2">
        <f t="shared" si="290"/>
        <v>0</v>
      </c>
      <c r="AJ2067" s="2">
        <f t="shared" si="291"/>
        <v>0</v>
      </c>
      <c r="AK2067" s="2">
        <f t="shared" ref="AK2067:AK2130" si="294">T2067-W2067</f>
        <v>85.5</v>
      </c>
      <c r="AL2067" s="5">
        <f t="shared" si="293"/>
        <v>1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92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290"/>
        <v>0</v>
      </c>
      <c r="AJ2068" s="2">
        <f t="shared" si="291"/>
        <v>0</v>
      </c>
      <c r="AK2068" s="2">
        <f t="shared" si="294"/>
        <v>111.6</v>
      </c>
      <c r="AL2068" s="5">
        <f t="shared" si="293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92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290"/>
        <v>0</v>
      </c>
      <c r="AJ2069" s="2">
        <f t="shared" si="291"/>
        <v>0</v>
      </c>
      <c r="AK2069" s="2">
        <f t="shared" si="294"/>
        <v>25</v>
      </c>
      <c r="AL2069" s="5">
        <f t="shared" si="293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92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290"/>
        <v>0</v>
      </c>
      <c r="AJ2070" s="2">
        <f t="shared" si="291"/>
        <v>0</v>
      </c>
      <c r="AK2070" s="2">
        <f t="shared" si="294"/>
        <v>99.75</v>
      </c>
      <c r="AL2070" s="5">
        <f t="shared" si="293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92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290"/>
        <v>0</v>
      </c>
      <c r="AG2071" s="2">
        <v>6.6266999999999996</v>
      </c>
      <c r="AH2071" s="2">
        <v>12</v>
      </c>
      <c r="AJ2071" s="2">
        <f t="shared" si="291"/>
        <v>0</v>
      </c>
      <c r="AK2071" s="2">
        <f t="shared" si="294"/>
        <v>43.733000000000004</v>
      </c>
      <c r="AL2071" s="5">
        <f t="shared" si="293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92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290"/>
        <v>0</v>
      </c>
      <c r="AG2072" s="2">
        <v>10.6</v>
      </c>
      <c r="AH2072" s="2">
        <v>18</v>
      </c>
      <c r="AJ2072" s="2">
        <f t="shared" si="291"/>
        <v>0</v>
      </c>
      <c r="AK2072" s="2">
        <f t="shared" si="294"/>
        <v>22.200000000000003</v>
      </c>
      <c r="AL2072" s="5">
        <f t="shared" si="293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92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290"/>
        <v>0</v>
      </c>
      <c r="AG2073" s="2">
        <v>8.1999999999999993</v>
      </c>
      <c r="AH2073" s="2">
        <v>13</v>
      </c>
      <c r="AJ2073" s="2">
        <f t="shared" si="291"/>
        <v>0</v>
      </c>
      <c r="AK2073" s="2">
        <f t="shared" si="294"/>
        <v>9.5999999999999979</v>
      </c>
      <c r="AL2073" s="5">
        <f t="shared" si="293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92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290"/>
        <v>0</v>
      </c>
      <c r="AG2074" s="2">
        <v>7.9611999999999998</v>
      </c>
      <c r="AH2074" s="2">
        <v>14.4</v>
      </c>
      <c r="AJ2074" s="2">
        <f t="shared" si="291"/>
        <v>0</v>
      </c>
      <c r="AK2074" s="2">
        <f t="shared" si="294"/>
        <v>6.5388000000000002</v>
      </c>
      <c r="AL2074" s="5">
        <f t="shared" si="293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92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290"/>
        <v>0</v>
      </c>
      <c r="AG2075" s="2">
        <v>7.2217000000000002</v>
      </c>
      <c r="AH2075" s="2">
        <v>14.4</v>
      </c>
      <c r="AJ2075" s="2">
        <f t="shared" si="291"/>
        <v>0</v>
      </c>
      <c r="AK2075" s="2">
        <f t="shared" si="294"/>
        <v>11.956599999999998</v>
      </c>
      <c r="AL2075" s="5">
        <f t="shared" si="293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292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290"/>
        <v>0</v>
      </c>
      <c r="AJ2076" s="2">
        <f t="shared" si="291"/>
        <v>0</v>
      </c>
      <c r="AK2076" s="2">
        <f t="shared" si="294"/>
        <v>14.25</v>
      </c>
      <c r="AL2076" s="5">
        <f t="shared" si="293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292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290"/>
        <v>0</v>
      </c>
      <c r="AJ2077" s="2">
        <f t="shared" si="291"/>
        <v>0</v>
      </c>
      <c r="AK2077" s="2">
        <f t="shared" si="294"/>
        <v>17.510000000000002</v>
      </c>
      <c r="AL2077" s="5">
        <f t="shared" si="293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92"/>
        <v>1</v>
      </c>
      <c r="Z2078" s="2" t="s">
        <v>117</v>
      </c>
      <c r="AF2078" s="2">
        <f t="shared" si="290"/>
        <v>0</v>
      </c>
      <c r="AJ2078" s="2">
        <f t="shared" si="291"/>
        <v>0</v>
      </c>
      <c r="AK2078" s="2">
        <f t="shared" si="294"/>
        <v>110.63</v>
      </c>
      <c r="AL2078" s="5">
        <f t="shared" si="293"/>
        <v>1</v>
      </c>
    </row>
    <row r="2079" spans="1:38" x14ac:dyDescent="0.2">
      <c r="A2079" s="2">
        <v>2025</v>
      </c>
      <c r="B2079" s="2">
        <v>11</v>
      </c>
      <c r="C2079" s="2" t="s">
        <v>3412</v>
      </c>
      <c r="D2079" s="2" t="s">
        <v>3485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292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290"/>
        <v>0</v>
      </c>
      <c r="AJ2079" s="2">
        <f t="shared" si="291"/>
        <v>0</v>
      </c>
      <c r="AK2079" s="2">
        <f t="shared" si="294"/>
        <v>3369.62</v>
      </c>
      <c r="AL2079" s="5">
        <f t="shared" si="293"/>
        <v>0.50443413173652696</v>
      </c>
    </row>
    <row r="2080" spans="1:38" x14ac:dyDescent="0.2">
      <c r="A2080" s="2">
        <v>2025</v>
      </c>
      <c r="B2080" s="2">
        <v>11</v>
      </c>
      <c r="C2080" s="2" t="s">
        <v>3393</v>
      </c>
      <c r="D2080" s="2" t="s">
        <v>3485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292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290"/>
        <v>0</v>
      </c>
      <c r="AJ2080" s="2">
        <f t="shared" si="291"/>
        <v>0</v>
      </c>
      <c r="AK2080" s="2">
        <f t="shared" si="294"/>
        <v>3135.7700000000004</v>
      </c>
      <c r="AL2080" s="5">
        <f t="shared" si="293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92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290"/>
        <v>0</v>
      </c>
      <c r="AG2081" s="2">
        <v>29.27</v>
      </c>
      <c r="AH2081" s="2">
        <v>60</v>
      </c>
      <c r="AJ2081" s="2">
        <f t="shared" si="291"/>
        <v>0</v>
      </c>
      <c r="AK2081" s="2">
        <f t="shared" si="294"/>
        <v>30.73</v>
      </c>
      <c r="AL2081" s="5">
        <f t="shared" si="293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92"/>
        <v>0.42243589743589743</v>
      </c>
      <c r="Z2082" s="2" t="s">
        <v>3226</v>
      </c>
      <c r="AA2082" s="2" t="s">
        <v>3382</v>
      </c>
      <c r="AB2082" s="2" t="s">
        <v>1986</v>
      </c>
      <c r="AC2082" s="2" t="s">
        <v>1038</v>
      </c>
      <c r="AF2082" s="2">
        <f t="shared" si="290"/>
        <v>0</v>
      </c>
      <c r="AJ2082" s="2">
        <f t="shared" si="291"/>
        <v>0</v>
      </c>
      <c r="AK2082" s="2">
        <f t="shared" si="294"/>
        <v>659</v>
      </c>
      <c r="AL2082" s="5">
        <f t="shared" si="293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92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290"/>
        <v>0</v>
      </c>
      <c r="AG2083" s="2">
        <v>117.453</v>
      </c>
      <c r="AH2083" s="2">
        <v>220</v>
      </c>
      <c r="AJ2083" s="2">
        <f t="shared" si="291"/>
        <v>0</v>
      </c>
      <c r="AK2083" s="2">
        <f t="shared" si="294"/>
        <v>215.09399999999999</v>
      </c>
      <c r="AL2083" s="5">
        <f t="shared" si="293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92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290"/>
        <v>0</v>
      </c>
      <c r="AJ2084" s="2">
        <f t="shared" si="291"/>
        <v>0</v>
      </c>
      <c r="AK2084" s="2">
        <f t="shared" si="294"/>
        <v>0</v>
      </c>
      <c r="AL2084" s="5">
        <f t="shared" si="293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292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290"/>
        <v>0</v>
      </c>
      <c r="AJ2085" s="2">
        <f t="shared" si="291"/>
        <v>0</v>
      </c>
      <c r="AK2085" s="2">
        <f t="shared" si="294"/>
        <v>103.53719999999998</v>
      </c>
      <c r="AL2085" s="5">
        <f t="shared" si="293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292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290"/>
        <v>0</v>
      </c>
      <c r="AJ2086" s="2">
        <f t="shared" si="291"/>
        <v>0</v>
      </c>
      <c r="AK2086" s="2">
        <f t="shared" si="294"/>
        <v>80.657999999999987</v>
      </c>
      <c r="AL2086" s="5">
        <f t="shared" ref="AL2086:AL2117" si="295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296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290"/>
        <v>0</v>
      </c>
      <c r="AJ2087" s="2">
        <f t="shared" si="291"/>
        <v>0</v>
      </c>
      <c r="AK2087" s="2">
        <f t="shared" si="294"/>
        <v>31.710000000000008</v>
      </c>
      <c r="AL2087" s="5">
        <f t="shared" si="295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96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290"/>
        <v>0</v>
      </c>
      <c r="AJ2088" s="2">
        <f t="shared" si="291"/>
        <v>0</v>
      </c>
      <c r="AK2088" s="2">
        <f t="shared" si="294"/>
        <v>0</v>
      </c>
      <c r="AL2088" s="5">
        <f t="shared" si="295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96"/>
        <v>1</v>
      </c>
      <c r="Z2089" s="2" t="s">
        <v>119</v>
      </c>
      <c r="AA2089" s="2" t="s">
        <v>3379</v>
      </c>
      <c r="AF2089" s="2">
        <f t="shared" si="290"/>
        <v>0</v>
      </c>
      <c r="AJ2089" s="2">
        <f t="shared" si="291"/>
        <v>0</v>
      </c>
      <c r="AK2089" s="2">
        <f t="shared" si="294"/>
        <v>29.79</v>
      </c>
      <c r="AL2089" s="5">
        <f t="shared" si="295"/>
        <v>1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296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290"/>
        <v>0</v>
      </c>
      <c r="AJ2090" s="2">
        <f t="shared" si="291"/>
        <v>0</v>
      </c>
      <c r="AK2090" s="2">
        <f t="shared" si="294"/>
        <v>18.704999999999998</v>
      </c>
      <c r="AL2090" s="5">
        <f t="shared" si="295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96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290"/>
        <v>0</v>
      </c>
      <c r="AJ2091" s="2">
        <f t="shared" si="291"/>
        <v>0</v>
      </c>
      <c r="AK2091" s="2">
        <f t="shared" si="294"/>
        <v>528.59999999999991</v>
      </c>
      <c r="AL2091" s="5">
        <f t="shared" si="295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96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290"/>
        <v>0</v>
      </c>
      <c r="AJ2092" s="2">
        <f t="shared" si="291"/>
        <v>0</v>
      </c>
      <c r="AK2092" s="2">
        <f t="shared" si="294"/>
        <v>649</v>
      </c>
      <c r="AL2092" s="5">
        <f t="shared" si="295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96"/>
        <v>1</v>
      </c>
      <c r="Z2093" s="2" t="s">
        <v>117</v>
      </c>
      <c r="AF2093" s="2">
        <f t="shared" si="290"/>
        <v>0</v>
      </c>
      <c r="AJ2093" s="2">
        <f t="shared" si="291"/>
        <v>0</v>
      </c>
      <c r="AK2093" s="2">
        <f t="shared" si="294"/>
        <v>83.79</v>
      </c>
      <c r="AL2093" s="5">
        <f t="shared" si="295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96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290"/>
        <v>0</v>
      </c>
      <c r="AG2094" s="2">
        <v>110.68</v>
      </c>
      <c r="AH2094" s="2">
        <v>210</v>
      </c>
      <c r="AJ2094" s="2">
        <f t="shared" si="291"/>
        <v>0</v>
      </c>
      <c r="AK2094" s="2">
        <f t="shared" si="294"/>
        <v>99.32</v>
      </c>
      <c r="AL2094" s="5">
        <f t="shared" si="295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96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290"/>
        <v>0</v>
      </c>
      <c r="AJ2095" s="2">
        <f t="shared" si="291"/>
        <v>0</v>
      </c>
      <c r="AK2095" s="2">
        <f t="shared" si="294"/>
        <v>48.6</v>
      </c>
      <c r="AL2095" s="5">
        <f t="shared" si="295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96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290"/>
        <v>0</v>
      </c>
      <c r="AJ2096" s="2">
        <f t="shared" si="291"/>
        <v>0</v>
      </c>
      <c r="AK2096" s="2">
        <f t="shared" si="294"/>
        <v>25</v>
      </c>
      <c r="AL2096" s="5">
        <f t="shared" si="295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96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290"/>
        <v>0</v>
      </c>
      <c r="AJ2097" s="2">
        <f t="shared" si="291"/>
        <v>0</v>
      </c>
      <c r="AK2097" s="2">
        <f t="shared" si="294"/>
        <v>0</v>
      </c>
      <c r="AL2097" s="5">
        <f t="shared" si="295"/>
        <v>0</v>
      </c>
    </row>
    <row r="2098" spans="1:38" x14ac:dyDescent="0.2">
      <c r="A2098" s="2">
        <v>2025</v>
      </c>
      <c r="B2098" s="2">
        <v>11</v>
      </c>
      <c r="C2098" s="2" t="s">
        <v>3439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3280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96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290"/>
        <v>0</v>
      </c>
      <c r="AJ2098" s="2">
        <f t="shared" si="291"/>
        <v>0</v>
      </c>
      <c r="AK2098" s="2">
        <f t="shared" si="294"/>
        <v>30</v>
      </c>
      <c r="AL2098" s="5">
        <f t="shared" si="295"/>
        <v>0.6</v>
      </c>
    </row>
    <row r="2099" spans="1:38" x14ac:dyDescent="0.2">
      <c r="A2099" s="2">
        <v>2025</v>
      </c>
      <c r="B2099" s="2">
        <v>11</v>
      </c>
      <c r="C2099" s="2" t="s">
        <v>3439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3280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96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290"/>
        <v>0</v>
      </c>
      <c r="AJ2099" s="2">
        <f t="shared" si="291"/>
        <v>0</v>
      </c>
      <c r="AK2099" s="2">
        <f t="shared" si="294"/>
        <v>25</v>
      </c>
      <c r="AL2099" s="5">
        <f t="shared" si="295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96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290"/>
        <v>0</v>
      </c>
      <c r="AG2100" s="2">
        <v>3.7357999999999998</v>
      </c>
      <c r="AH2100" s="2">
        <v>9</v>
      </c>
      <c r="AJ2100" s="2">
        <f t="shared" si="291"/>
        <v>0</v>
      </c>
      <c r="AK2100" s="2">
        <f t="shared" si="294"/>
        <v>4.0641999999999996</v>
      </c>
      <c r="AL2100" s="5">
        <f t="shared" si="295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96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290"/>
        <v>0</v>
      </c>
      <c r="AG2101" s="2">
        <v>8.1999999999999993</v>
      </c>
      <c r="AH2101" s="2">
        <v>13</v>
      </c>
      <c r="AJ2101" s="2">
        <f t="shared" si="291"/>
        <v>0</v>
      </c>
      <c r="AK2101" s="2">
        <f t="shared" si="294"/>
        <v>23</v>
      </c>
      <c r="AL2101" s="5">
        <f t="shared" si="295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96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290"/>
        <v>0</v>
      </c>
      <c r="AG2102" s="2">
        <v>15.020300000000001</v>
      </c>
      <c r="AH2102" s="2">
        <v>27.6</v>
      </c>
      <c r="AJ2102" s="2">
        <f t="shared" si="291"/>
        <v>0</v>
      </c>
      <c r="AK2102" s="2">
        <f t="shared" si="294"/>
        <v>14.959399999999999</v>
      </c>
      <c r="AL2102" s="5">
        <f t="shared" si="295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96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290"/>
        <v>0</v>
      </c>
      <c r="AG2103" s="2">
        <v>122.446</v>
      </c>
      <c r="AH2103" s="2">
        <v>230</v>
      </c>
      <c r="AJ2103" s="2">
        <f t="shared" si="291"/>
        <v>0</v>
      </c>
      <c r="AK2103" s="2">
        <f t="shared" si="294"/>
        <v>107.554</v>
      </c>
      <c r="AL2103" s="5">
        <f t="shared" si="295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96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290"/>
        <v>0</v>
      </c>
      <c r="AJ2104" s="2">
        <f t="shared" si="291"/>
        <v>0</v>
      </c>
      <c r="AK2104" s="2">
        <f t="shared" si="294"/>
        <v>0</v>
      </c>
      <c r="AL2104" s="5">
        <f t="shared" si="295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96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290"/>
        <v>0</v>
      </c>
      <c r="AJ2105" s="2">
        <f t="shared" si="291"/>
        <v>0</v>
      </c>
      <c r="AK2105" s="2">
        <f t="shared" si="294"/>
        <v>30</v>
      </c>
      <c r="AL2105" s="5">
        <f t="shared" si="295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96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290"/>
        <v>0</v>
      </c>
      <c r="AJ2106" s="2">
        <f t="shared" si="291"/>
        <v>0</v>
      </c>
      <c r="AK2106" s="2">
        <f t="shared" si="294"/>
        <v>25</v>
      </c>
      <c r="AL2106" s="5">
        <f t="shared" si="295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96"/>
        <v>0.13</v>
      </c>
      <c r="Z2107" s="2" t="s">
        <v>3226</v>
      </c>
      <c r="AA2107" s="2" t="s">
        <v>46</v>
      </c>
      <c r="AB2107" s="2" t="s">
        <v>60</v>
      </c>
      <c r="AC2107" s="2" t="s">
        <v>3331</v>
      </c>
      <c r="AF2107" s="2">
        <f t="shared" si="290"/>
        <v>0</v>
      </c>
      <c r="AJ2107" s="2">
        <f t="shared" si="291"/>
        <v>0</v>
      </c>
      <c r="AK2107" s="2">
        <f t="shared" si="294"/>
        <v>26</v>
      </c>
      <c r="AL2107" s="5">
        <f t="shared" si="295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96"/>
        <v>0.13</v>
      </c>
      <c r="Z2108" s="2" t="s">
        <v>3226</v>
      </c>
      <c r="AA2108" s="2" t="s">
        <v>46</v>
      </c>
      <c r="AB2108" s="2" t="s">
        <v>60</v>
      </c>
      <c r="AC2108" s="2" t="s">
        <v>3331</v>
      </c>
      <c r="AF2108" s="2">
        <f t="shared" si="290"/>
        <v>0</v>
      </c>
      <c r="AJ2108" s="2">
        <f t="shared" si="291"/>
        <v>0</v>
      </c>
      <c r="AK2108" s="2">
        <f t="shared" si="294"/>
        <v>26</v>
      </c>
      <c r="AL2108" s="5">
        <f t="shared" si="295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96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290"/>
        <v>0</v>
      </c>
      <c r="AJ2109" s="2">
        <f t="shared" si="291"/>
        <v>0</v>
      </c>
      <c r="AK2109" s="2">
        <f t="shared" si="294"/>
        <v>33</v>
      </c>
      <c r="AL2109" s="5">
        <f t="shared" si="295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96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290"/>
        <v>0</v>
      </c>
      <c r="AJ2110" s="2">
        <f t="shared" si="291"/>
        <v>0</v>
      </c>
      <c r="AK2110" s="2">
        <f t="shared" si="294"/>
        <v>75</v>
      </c>
      <c r="AL2110" s="5">
        <f t="shared" si="295"/>
        <v>0.5</v>
      </c>
    </row>
    <row r="2111" spans="1:38" x14ac:dyDescent="0.2">
      <c r="A2111" s="2">
        <v>2025</v>
      </c>
      <c r="B2111" s="2">
        <v>11</v>
      </c>
      <c r="C2111" s="2" t="s">
        <v>3441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296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290"/>
        <v>0</v>
      </c>
      <c r="AG2111" s="2">
        <v>10.2346</v>
      </c>
      <c r="AH2111" s="2">
        <v>18</v>
      </c>
      <c r="AJ2111" s="2">
        <f t="shared" si="291"/>
        <v>0</v>
      </c>
      <c r="AK2111" s="2">
        <f t="shared" si="294"/>
        <v>4.7999999999999989</v>
      </c>
      <c r="AL2111" s="5">
        <f t="shared" si="295"/>
        <v>0.24999999999999994</v>
      </c>
    </row>
    <row r="2112" spans="1:38" x14ac:dyDescent="0.2">
      <c r="A2112" s="2">
        <v>2025</v>
      </c>
      <c r="B2112" s="2">
        <v>11</v>
      </c>
      <c r="C2112" s="2" t="s">
        <v>3441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96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290"/>
        <v>0</v>
      </c>
      <c r="AG2112" s="2">
        <v>10.6</v>
      </c>
      <c r="AH2112" s="2">
        <v>18</v>
      </c>
      <c r="AJ2112" s="2">
        <f t="shared" si="291"/>
        <v>0</v>
      </c>
      <c r="AK2112" s="2">
        <f t="shared" si="294"/>
        <v>7.4</v>
      </c>
      <c r="AL2112" s="5">
        <f t="shared" si="295"/>
        <v>0.41111111111111115</v>
      </c>
    </row>
    <row r="2113" spans="1:38" x14ac:dyDescent="0.2">
      <c r="A2113" s="2">
        <v>2025</v>
      </c>
      <c r="B2113" s="2">
        <v>11</v>
      </c>
      <c r="C2113" s="2" t="s">
        <v>3441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96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290"/>
        <v>0</v>
      </c>
      <c r="AG2113" s="2">
        <v>15.494999999999999</v>
      </c>
      <c r="AH2113" s="2">
        <v>36</v>
      </c>
      <c r="AJ2113" s="2">
        <f t="shared" si="291"/>
        <v>0</v>
      </c>
      <c r="AK2113" s="2">
        <f t="shared" si="294"/>
        <v>17.505000000000003</v>
      </c>
      <c r="AL2113" s="5">
        <f t="shared" si="295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96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297">AJ2114</f>
        <v>0</v>
      </c>
      <c r="AJ2114" s="2">
        <f t="shared" ref="AJ2114:AJ2177" si="298">AI2114*T2114</f>
        <v>0</v>
      </c>
      <c r="AK2114" s="2">
        <f t="shared" si="294"/>
        <v>79.8</v>
      </c>
      <c r="AL2114" s="5">
        <f t="shared" si="295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96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297"/>
        <v>0</v>
      </c>
      <c r="AJ2115" s="2">
        <f t="shared" si="298"/>
        <v>0</v>
      </c>
      <c r="AK2115" s="2">
        <f t="shared" si="294"/>
        <v>50</v>
      </c>
      <c r="AL2115" s="5">
        <f t="shared" si="295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96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297"/>
        <v>0</v>
      </c>
      <c r="AJ2116" s="2">
        <f t="shared" si="298"/>
        <v>0</v>
      </c>
      <c r="AK2116" s="2">
        <f t="shared" si="294"/>
        <v>354.09659999999997</v>
      </c>
      <c r="AL2116" s="5">
        <f t="shared" si="295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96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297"/>
        <v>0</v>
      </c>
      <c r="AJ2117" s="2">
        <f t="shared" si="298"/>
        <v>0</v>
      </c>
      <c r="AK2117" s="2">
        <f t="shared" si="294"/>
        <v>30</v>
      </c>
      <c r="AL2117" s="5">
        <f t="shared" si="295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299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297"/>
        <v>0</v>
      </c>
      <c r="AJ2118" s="2">
        <f t="shared" si="298"/>
        <v>0</v>
      </c>
      <c r="AK2118" s="2">
        <f t="shared" si="294"/>
        <v>25</v>
      </c>
      <c r="AL2118" s="5">
        <f t="shared" ref="AL2118:AL2144" si="300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99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297"/>
        <v>0</v>
      </c>
      <c r="AJ2119" s="2">
        <f t="shared" si="298"/>
        <v>0</v>
      </c>
      <c r="AK2119" s="2">
        <f t="shared" si="294"/>
        <v>97.75</v>
      </c>
      <c r="AL2119" s="5">
        <f t="shared" si="300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99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297"/>
        <v>0</v>
      </c>
      <c r="AJ2120" s="2">
        <f t="shared" si="298"/>
        <v>0</v>
      </c>
      <c r="AK2120" s="2">
        <f t="shared" si="294"/>
        <v>0</v>
      </c>
      <c r="AL2120" s="5">
        <f t="shared" si="300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99"/>
        <v>1</v>
      </c>
      <c r="Z2121" s="2" t="s">
        <v>3226</v>
      </c>
      <c r="AF2121" s="2">
        <f t="shared" si="297"/>
        <v>0</v>
      </c>
      <c r="AJ2121" s="2">
        <f t="shared" si="298"/>
        <v>0</v>
      </c>
      <c r="AK2121" s="2">
        <f t="shared" si="294"/>
        <v>430</v>
      </c>
      <c r="AL2121" s="5">
        <f t="shared" si="300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99"/>
        <v>1</v>
      </c>
      <c r="Z2122" s="2" t="s">
        <v>117</v>
      </c>
      <c r="AF2122" s="2">
        <f t="shared" si="297"/>
        <v>0</v>
      </c>
      <c r="AJ2122" s="2">
        <f t="shared" si="298"/>
        <v>0</v>
      </c>
      <c r="AK2122" s="2">
        <f t="shared" si="294"/>
        <v>7.94</v>
      </c>
      <c r="AL2122" s="5">
        <f t="shared" si="300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99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297"/>
        <v>0</v>
      </c>
      <c r="AG2123" s="2">
        <v>10.6</v>
      </c>
      <c r="AH2123" s="2">
        <v>18</v>
      </c>
      <c r="AJ2123" s="2">
        <f t="shared" si="298"/>
        <v>0</v>
      </c>
      <c r="AK2123" s="2">
        <f t="shared" si="294"/>
        <v>7.4</v>
      </c>
      <c r="AL2123" s="5">
        <f t="shared" si="300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99"/>
        <v>1</v>
      </c>
      <c r="Z2124" s="2" t="s">
        <v>104</v>
      </c>
      <c r="AF2124" s="2">
        <f t="shared" si="297"/>
        <v>0</v>
      </c>
      <c r="AJ2124" s="2">
        <f t="shared" si="298"/>
        <v>0</v>
      </c>
      <c r="AK2124" s="2">
        <f t="shared" si="294"/>
        <v>1000</v>
      </c>
      <c r="AL2124" s="5">
        <f t="shared" si="300"/>
        <v>1</v>
      </c>
    </row>
    <row r="2125" spans="1:38" x14ac:dyDescent="0.2">
      <c r="A2125" s="2">
        <v>2025</v>
      </c>
      <c r="B2125" s="2">
        <v>11</v>
      </c>
      <c r="D2125" s="2" t="s">
        <v>2007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X2125" s="5">
        <v>0</v>
      </c>
      <c r="Z2125" s="2" t="s">
        <v>117</v>
      </c>
      <c r="AF2125" s="2">
        <f t="shared" si="297"/>
        <v>0</v>
      </c>
      <c r="AJ2125" s="2">
        <f t="shared" si="298"/>
        <v>0</v>
      </c>
      <c r="AK2125" s="2">
        <f t="shared" si="294"/>
        <v>0</v>
      </c>
      <c r="AL2125" s="5" t="e">
        <f t="shared" si="300"/>
        <v>#DIV/0!</v>
      </c>
    </row>
    <row r="2126" spans="1:38" x14ac:dyDescent="0.2">
      <c r="A2126" s="2">
        <v>2025</v>
      </c>
      <c r="B2126" s="2">
        <v>11</v>
      </c>
      <c r="D2126" s="2" t="s">
        <v>2007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ref="X2126:X2144" si="301">(T2126-W2126)/T2126</f>
        <v>1</v>
      </c>
      <c r="Z2126" s="2" t="s">
        <v>104</v>
      </c>
      <c r="AF2126" s="2">
        <f t="shared" si="297"/>
        <v>0</v>
      </c>
      <c r="AJ2126" s="2">
        <f t="shared" si="298"/>
        <v>0</v>
      </c>
      <c r="AK2126" s="2">
        <f t="shared" si="294"/>
        <v>13990</v>
      </c>
      <c r="AL2126" s="5">
        <f t="shared" si="300"/>
        <v>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01"/>
        <v>1</v>
      </c>
      <c r="Z2127" s="2" t="s">
        <v>117</v>
      </c>
      <c r="AF2127" s="2">
        <f t="shared" si="297"/>
        <v>0</v>
      </c>
      <c r="AJ2127" s="2">
        <f t="shared" si="298"/>
        <v>0</v>
      </c>
      <c r="AK2127" s="2">
        <f t="shared" si="294"/>
        <v>79.819999999999993</v>
      </c>
      <c r="AL2127" s="5">
        <f t="shared" si="300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01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297"/>
        <v>0</v>
      </c>
      <c r="AJ2128" s="2">
        <f t="shared" si="298"/>
        <v>0</v>
      </c>
      <c r="AK2128" s="2">
        <f t="shared" si="294"/>
        <v>91.8</v>
      </c>
      <c r="AL2128" s="5">
        <f t="shared" si="300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01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297"/>
        <v>0</v>
      </c>
      <c r="AJ2129" s="2">
        <f t="shared" si="298"/>
        <v>0</v>
      </c>
      <c r="AK2129" s="2">
        <f t="shared" si="294"/>
        <v>25</v>
      </c>
      <c r="AL2129" s="5">
        <f t="shared" si="300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01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297"/>
        <v>0</v>
      </c>
      <c r="AG2130" s="2">
        <v>117.453</v>
      </c>
      <c r="AH2130" s="2">
        <v>220</v>
      </c>
      <c r="AJ2130" s="2">
        <f t="shared" si="298"/>
        <v>0</v>
      </c>
      <c r="AK2130" s="2">
        <f t="shared" si="294"/>
        <v>102.547</v>
      </c>
      <c r="AL2130" s="5">
        <f t="shared" si="300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01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297"/>
        <v>0</v>
      </c>
      <c r="AJ2131" s="2">
        <f t="shared" si="298"/>
        <v>0</v>
      </c>
      <c r="AK2131" s="2">
        <f t="shared" ref="AK2131:AK2194" si="302">T2131-W2131</f>
        <v>0</v>
      </c>
      <c r="AL2131" s="5">
        <f t="shared" si="300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01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297"/>
        <v>0</v>
      </c>
      <c r="AG2132" s="2">
        <v>9.14</v>
      </c>
      <c r="AH2132" s="2">
        <v>16</v>
      </c>
      <c r="AJ2132" s="2">
        <f t="shared" si="298"/>
        <v>0</v>
      </c>
      <c r="AK2132" s="2">
        <f t="shared" si="302"/>
        <v>3.8600000000000012</v>
      </c>
      <c r="AL2132" s="5">
        <f t="shared" si="300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01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297"/>
        <v>0</v>
      </c>
      <c r="AG2133" s="2">
        <v>3.7555999999999998</v>
      </c>
      <c r="AH2133" s="2">
        <v>7.2</v>
      </c>
      <c r="AJ2133" s="2">
        <f t="shared" si="298"/>
        <v>0</v>
      </c>
      <c r="AK2133" s="2">
        <f t="shared" si="302"/>
        <v>11.377599999999999</v>
      </c>
      <c r="AL2133" s="5">
        <f t="shared" si="300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01"/>
        <v>-0.2</v>
      </c>
      <c r="Z2134" s="2" t="s">
        <v>169</v>
      </c>
      <c r="AA2134" s="2" t="s">
        <v>169</v>
      </c>
      <c r="AF2134" s="2">
        <f t="shared" si="297"/>
        <v>0</v>
      </c>
      <c r="AJ2134" s="2">
        <f t="shared" si="298"/>
        <v>0</v>
      </c>
      <c r="AK2134" s="2">
        <f t="shared" si="302"/>
        <v>-1</v>
      </c>
      <c r="AL2134" s="5">
        <f t="shared" si="300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01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297"/>
        <v>0</v>
      </c>
      <c r="AJ2135" s="2">
        <f t="shared" si="298"/>
        <v>0</v>
      </c>
      <c r="AK2135" s="2">
        <f t="shared" si="302"/>
        <v>63.599999999999994</v>
      </c>
      <c r="AL2135" s="5">
        <f t="shared" si="300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01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297"/>
        <v>0</v>
      </c>
      <c r="AJ2136" s="2">
        <f t="shared" si="298"/>
        <v>0</v>
      </c>
      <c r="AK2136" s="2">
        <f t="shared" si="302"/>
        <v>50</v>
      </c>
      <c r="AL2136" s="5">
        <f t="shared" si="300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01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297"/>
        <v>0</v>
      </c>
      <c r="AG2137" s="2">
        <v>10.67</v>
      </c>
      <c r="AH2137" s="2">
        <v>21</v>
      </c>
      <c r="AJ2137" s="2">
        <f t="shared" si="298"/>
        <v>0</v>
      </c>
      <c r="AK2137" s="2">
        <f t="shared" si="302"/>
        <v>47.58</v>
      </c>
      <c r="AL2137" s="5">
        <f t="shared" si="300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01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297"/>
        <v>0</v>
      </c>
      <c r="AG2138" s="2">
        <v>3.7357999999999998</v>
      </c>
      <c r="AH2138" s="2">
        <v>9</v>
      </c>
      <c r="AJ2138" s="2">
        <f t="shared" si="298"/>
        <v>0</v>
      </c>
      <c r="AK2138" s="2">
        <f t="shared" si="302"/>
        <v>24.385199999999998</v>
      </c>
      <c r="AL2138" s="5">
        <f t="shared" si="300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01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297"/>
        <v>0</v>
      </c>
      <c r="AG2139" s="2">
        <v>15.020300000000001</v>
      </c>
      <c r="AH2139" s="2">
        <v>27.6</v>
      </c>
      <c r="AJ2139" s="2">
        <f t="shared" si="298"/>
        <v>0</v>
      </c>
      <c r="AK2139" s="2">
        <f t="shared" si="302"/>
        <v>11.379699999999998</v>
      </c>
      <c r="AL2139" s="5">
        <f t="shared" si="300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01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297"/>
        <v>0</v>
      </c>
      <c r="AG2140" s="2">
        <v>3.7357999999999998</v>
      </c>
      <c r="AH2140" s="2">
        <v>9</v>
      </c>
      <c r="AJ2140" s="2">
        <f t="shared" si="298"/>
        <v>0</v>
      </c>
      <c r="AK2140" s="2">
        <f t="shared" si="302"/>
        <v>4.0641999999999996</v>
      </c>
      <c r="AL2140" s="5">
        <f t="shared" si="300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01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297"/>
        <v>0</v>
      </c>
      <c r="AG2141" s="2">
        <v>10.6</v>
      </c>
      <c r="AH2141" s="2">
        <v>18</v>
      </c>
      <c r="AJ2141" s="2">
        <f t="shared" si="298"/>
        <v>0</v>
      </c>
      <c r="AK2141" s="2">
        <f t="shared" si="302"/>
        <v>7.4</v>
      </c>
      <c r="AL2141" s="5">
        <f t="shared" si="300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01"/>
        <v>1</v>
      </c>
      <c r="Z2142" s="2" t="s">
        <v>117</v>
      </c>
      <c r="AF2142" s="2">
        <f t="shared" si="297"/>
        <v>0</v>
      </c>
      <c r="AJ2142" s="2">
        <f t="shared" si="298"/>
        <v>0</v>
      </c>
      <c r="AK2142" s="2">
        <f t="shared" si="302"/>
        <v>24.68</v>
      </c>
      <c r="AL2142" s="5">
        <f t="shared" si="300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01"/>
        <v>1</v>
      </c>
      <c r="Z2143" s="2" t="s">
        <v>117</v>
      </c>
      <c r="AA2143" s="2" t="s">
        <v>317</v>
      </c>
      <c r="AF2143" s="2">
        <f t="shared" si="297"/>
        <v>0</v>
      </c>
      <c r="AJ2143" s="2">
        <f t="shared" si="298"/>
        <v>0</v>
      </c>
      <c r="AK2143" s="2">
        <f t="shared" si="302"/>
        <v>929</v>
      </c>
      <c r="AL2143" s="5">
        <f t="shared" si="300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01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297"/>
        <v>0</v>
      </c>
      <c r="AJ2144" s="2">
        <f t="shared" si="298"/>
        <v>0</v>
      </c>
      <c r="AK2144" s="2">
        <f t="shared" si="302"/>
        <v>32.4</v>
      </c>
      <c r="AL2144" s="5">
        <f t="shared" si="300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297"/>
        <v>0</v>
      </c>
      <c r="AJ2145" s="2">
        <f t="shared" si="298"/>
        <v>0</v>
      </c>
      <c r="AK2145" s="2">
        <f t="shared" si="302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03">(T2146-W2146)/T2146</f>
        <v>#DIV/0!</v>
      </c>
      <c r="Z2146" s="2" t="s">
        <v>117</v>
      </c>
      <c r="AA2146" s="2" t="s">
        <v>317</v>
      </c>
      <c r="AF2146" s="2">
        <f t="shared" si="297"/>
        <v>0</v>
      </c>
      <c r="AJ2146" s="2">
        <f t="shared" si="298"/>
        <v>0</v>
      </c>
      <c r="AK2146" s="2">
        <f t="shared" si="302"/>
        <v>0</v>
      </c>
      <c r="AL2146" s="5" t="e">
        <f t="shared" ref="AL2146:AL2171" si="304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03"/>
        <v>0.13</v>
      </c>
      <c r="Z2147" s="2" t="s">
        <v>3226</v>
      </c>
      <c r="AA2147" s="2" t="s">
        <v>46</v>
      </c>
      <c r="AB2147" s="2" t="s">
        <v>60</v>
      </c>
      <c r="AC2147" s="2" t="s">
        <v>3331</v>
      </c>
      <c r="AF2147" s="2">
        <f t="shared" si="297"/>
        <v>0</v>
      </c>
      <c r="AJ2147" s="2">
        <f t="shared" si="298"/>
        <v>0</v>
      </c>
      <c r="AK2147" s="2">
        <f t="shared" si="302"/>
        <v>52</v>
      </c>
      <c r="AL2147" s="5">
        <f t="shared" si="304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03"/>
        <v>0.13</v>
      </c>
      <c r="Z2148" s="2" t="s">
        <v>3226</v>
      </c>
      <c r="AA2148" s="2" t="s">
        <v>46</v>
      </c>
      <c r="AB2148" s="2" t="s">
        <v>60</v>
      </c>
      <c r="AC2148" s="2" t="s">
        <v>3331</v>
      </c>
      <c r="AF2148" s="2">
        <f t="shared" si="297"/>
        <v>0</v>
      </c>
      <c r="AJ2148" s="2">
        <f t="shared" si="298"/>
        <v>0</v>
      </c>
      <c r="AK2148" s="2">
        <f t="shared" si="302"/>
        <v>52</v>
      </c>
      <c r="AL2148" s="5">
        <f t="shared" si="304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03"/>
        <v>0.13</v>
      </c>
      <c r="Z2149" s="2" t="s">
        <v>3226</v>
      </c>
      <c r="AA2149" s="2" t="s">
        <v>46</v>
      </c>
      <c r="AB2149" s="2" t="s">
        <v>60</v>
      </c>
      <c r="AC2149" s="2" t="s">
        <v>3331</v>
      </c>
      <c r="AF2149" s="2">
        <f t="shared" si="297"/>
        <v>0</v>
      </c>
      <c r="AJ2149" s="2">
        <f t="shared" si="298"/>
        <v>0</v>
      </c>
      <c r="AK2149" s="2">
        <f t="shared" si="302"/>
        <v>26</v>
      </c>
      <c r="AL2149" s="5">
        <f t="shared" si="304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03"/>
        <v>0.13</v>
      </c>
      <c r="Z2150" s="2" t="s">
        <v>3226</v>
      </c>
      <c r="AA2150" s="2" t="s">
        <v>46</v>
      </c>
      <c r="AB2150" s="2" t="s">
        <v>60</v>
      </c>
      <c r="AC2150" s="2" t="s">
        <v>3331</v>
      </c>
      <c r="AF2150" s="2">
        <f t="shared" si="297"/>
        <v>0</v>
      </c>
      <c r="AJ2150" s="2">
        <f t="shared" si="298"/>
        <v>0</v>
      </c>
      <c r="AK2150" s="2">
        <f t="shared" si="302"/>
        <v>26</v>
      </c>
      <c r="AL2150" s="5">
        <f t="shared" si="304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03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297"/>
        <v>0</v>
      </c>
      <c r="AJ2151" s="2">
        <f t="shared" si="298"/>
        <v>0</v>
      </c>
      <c r="AK2151" s="2">
        <f t="shared" si="302"/>
        <v>30</v>
      </c>
      <c r="AL2151" s="5">
        <f t="shared" si="304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03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297"/>
        <v>0</v>
      </c>
      <c r="AJ2152" s="2">
        <f t="shared" si="298"/>
        <v>0</v>
      </c>
      <c r="AK2152" s="2">
        <f t="shared" si="302"/>
        <v>37.5</v>
      </c>
      <c r="AL2152" s="5">
        <f t="shared" si="304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03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297"/>
        <v>0</v>
      </c>
      <c r="AJ2153" s="2">
        <f t="shared" si="298"/>
        <v>0</v>
      </c>
      <c r="AK2153" s="2">
        <f t="shared" si="302"/>
        <v>6.1999999999999993</v>
      </c>
      <c r="AL2153" s="5">
        <f t="shared" si="304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03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297"/>
        <v>0</v>
      </c>
      <c r="AJ2154" s="2">
        <f t="shared" si="298"/>
        <v>0</v>
      </c>
      <c r="AK2154" s="2">
        <f t="shared" si="302"/>
        <v>10.1</v>
      </c>
      <c r="AL2154" s="5">
        <f t="shared" si="304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03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297"/>
        <v>0</v>
      </c>
      <c r="AG2155" s="2">
        <v>15.020300000000001</v>
      </c>
      <c r="AH2155" s="2">
        <v>27.6</v>
      </c>
      <c r="AJ2155" s="2">
        <f t="shared" si="298"/>
        <v>0</v>
      </c>
      <c r="AK2155" s="2">
        <f t="shared" si="302"/>
        <v>14.959399999999999</v>
      </c>
      <c r="AL2155" s="5">
        <f t="shared" si="304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03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297"/>
        <v>0</v>
      </c>
      <c r="AG2156" s="2">
        <v>6.6266999999999996</v>
      </c>
      <c r="AH2156" s="2">
        <v>12</v>
      </c>
      <c r="AJ2156" s="2">
        <f t="shared" si="298"/>
        <v>0</v>
      </c>
      <c r="AK2156" s="2">
        <f t="shared" si="302"/>
        <v>53.733000000000004</v>
      </c>
      <c r="AL2156" s="5">
        <f t="shared" si="304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03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297"/>
        <v>0</v>
      </c>
      <c r="AG2157" s="2">
        <v>3.7357999999999998</v>
      </c>
      <c r="AH2157" s="2">
        <v>9</v>
      </c>
      <c r="AJ2157" s="2">
        <f t="shared" si="298"/>
        <v>0</v>
      </c>
      <c r="AK2157" s="2">
        <f t="shared" si="302"/>
        <v>4.0641999999999996</v>
      </c>
      <c r="AL2157" s="5">
        <f t="shared" si="304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03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297"/>
        <v>0</v>
      </c>
      <c r="AG2158" s="2">
        <v>7.9611999999999998</v>
      </c>
      <c r="AH2158" s="2">
        <v>14.4</v>
      </c>
      <c r="AJ2158" s="2">
        <f t="shared" si="298"/>
        <v>0</v>
      </c>
      <c r="AK2158" s="2">
        <f t="shared" si="302"/>
        <v>7.0388000000000002</v>
      </c>
      <c r="AL2158" s="5">
        <f t="shared" si="304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03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297"/>
        <v>0</v>
      </c>
      <c r="AJ2159" s="2">
        <f t="shared" si="298"/>
        <v>0</v>
      </c>
      <c r="AK2159" s="2">
        <f t="shared" si="302"/>
        <v>960</v>
      </c>
      <c r="AL2159" s="5">
        <f t="shared" si="304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297"/>
        <v>0</v>
      </c>
      <c r="AJ2160" s="2">
        <f t="shared" si="298"/>
        <v>0</v>
      </c>
      <c r="AK2160" s="2">
        <f t="shared" si="302"/>
        <v>0</v>
      </c>
      <c r="AL2160" s="5" t="e">
        <f t="shared" si="304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05">(T2161-W2161)/T2161</f>
        <v>1</v>
      </c>
      <c r="Z2161" s="2" t="s">
        <v>117</v>
      </c>
      <c r="AA2161" s="2" t="s">
        <v>1310</v>
      </c>
      <c r="AF2161" s="2">
        <f t="shared" si="297"/>
        <v>0</v>
      </c>
      <c r="AJ2161" s="2">
        <f t="shared" si="298"/>
        <v>0</v>
      </c>
      <c r="AK2161" s="2">
        <f t="shared" si="302"/>
        <v>402.77</v>
      </c>
      <c r="AL2161" s="5">
        <f t="shared" si="304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05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297"/>
        <v>0</v>
      </c>
      <c r="AG2162" s="2">
        <v>104.49</v>
      </c>
      <c r="AH2162" s="2">
        <v>220</v>
      </c>
      <c r="AJ2162" s="2">
        <f t="shared" si="298"/>
        <v>0</v>
      </c>
      <c r="AK2162" s="2">
        <f t="shared" si="302"/>
        <v>104.51</v>
      </c>
      <c r="AL2162" s="5">
        <f t="shared" si="304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05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297"/>
        <v>0</v>
      </c>
      <c r="AJ2163" s="2">
        <f t="shared" si="298"/>
        <v>0</v>
      </c>
      <c r="AK2163" s="2">
        <f t="shared" si="302"/>
        <v>0</v>
      </c>
      <c r="AL2163" s="5">
        <f t="shared" si="304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05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297"/>
        <v>0</v>
      </c>
      <c r="AJ2164" s="2">
        <f t="shared" si="298"/>
        <v>0</v>
      </c>
      <c r="AK2164" s="2">
        <f t="shared" si="302"/>
        <v>129.14999999999998</v>
      </c>
      <c r="AL2164" s="5">
        <f t="shared" si="304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05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297"/>
        <v>0</v>
      </c>
      <c r="AJ2165" s="2">
        <f t="shared" si="298"/>
        <v>0</v>
      </c>
      <c r="AK2165" s="2">
        <f t="shared" si="302"/>
        <v>61.875</v>
      </c>
      <c r="AL2165" s="5">
        <f t="shared" si="304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305"/>
        <v>1</v>
      </c>
      <c r="Z2166" s="2" t="s">
        <v>119</v>
      </c>
      <c r="AA2166" s="2" t="s">
        <v>3379</v>
      </c>
      <c r="AF2166" s="2">
        <f t="shared" si="297"/>
        <v>0</v>
      </c>
      <c r="AJ2166" s="2">
        <f t="shared" si="298"/>
        <v>0</v>
      </c>
      <c r="AK2166" s="2">
        <f t="shared" si="302"/>
        <v>268.12</v>
      </c>
      <c r="AL2166" s="5">
        <f t="shared" si="304"/>
        <v>1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05"/>
        <v>1</v>
      </c>
      <c r="Z2167" s="2" t="s">
        <v>117</v>
      </c>
      <c r="AF2167" s="2">
        <f t="shared" si="297"/>
        <v>0</v>
      </c>
      <c r="AJ2167" s="2">
        <f t="shared" si="298"/>
        <v>0</v>
      </c>
      <c r="AK2167" s="2">
        <f t="shared" si="302"/>
        <v>26.79</v>
      </c>
      <c r="AL2167" s="5">
        <f t="shared" si="304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05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297"/>
        <v>0</v>
      </c>
      <c r="AJ2168" s="2">
        <f t="shared" si="298"/>
        <v>0</v>
      </c>
      <c r="AK2168" s="2">
        <f t="shared" si="302"/>
        <v>59.4</v>
      </c>
      <c r="AL2168" s="5">
        <f t="shared" si="304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05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297"/>
        <v>0</v>
      </c>
      <c r="AJ2169" s="2">
        <f t="shared" si="298"/>
        <v>0</v>
      </c>
      <c r="AK2169" s="2">
        <f t="shared" si="302"/>
        <v>25</v>
      </c>
      <c r="AL2169" s="5">
        <f t="shared" si="304"/>
        <v>0.5</v>
      </c>
    </row>
    <row r="2170" spans="1:38" x14ac:dyDescent="0.2">
      <c r="A2170" s="2">
        <v>2025</v>
      </c>
      <c r="B2170" s="2">
        <v>11</v>
      </c>
      <c r="D2170" s="2" t="s">
        <v>1388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05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297"/>
        <v>0</v>
      </c>
      <c r="AJ2170" s="2">
        <f t="shared" si="298"/>
        <v>0</v>
      </c>
      <c r="AK2170" s="2">
        <f t="shared" si="302"/>
        <v>352.72999999999996</v>
      </c>
      <c r="AL2170" s="5">
        <f t="shared" si="304"/>
        <v>0.50440440440440437</v>
      </c>
    </row>
    <row r="2171" spans="1:38" x14ac:dyDescent="0.2">
      <c r="A2171" s="2">
        <v>2025</v>
      </c>
      <c r="B2171" s="2">
        <v>11</v>
      </c>
      <c r="D2171" s="2" t="s">
        <v>1388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05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297"/>
        <v>0</v>
      </c>
      <c r="AJ2171" s="2">
        <f t="shared" si="298"/>
        <v>0</v>
      </c>
      <c r="AK2171" s="2">
        <f t="shared" si="302"/>
        <v>69</v>
      </c>
      <c r="AL2171" s="5">
        <f t="shared" si="304"/>
        <v>0.6</v>
      </c>
    </row>
    <row r="2172" spans="1:38" x14ac:dyDescent="0.2">
      <c r="A2172" s="2">
        <v>2025</v>
      </c>
      <c r="B2172" s="2">
        <v>11</v>
      </c>
      <c r="D2172" s="2" t="s">
        <v>1388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297"/>
        <v>0</v>
      </c>
      <c r="AJ2172" s="2">
        <f t="shared" si="298"/>
        <v>0</v>
      </c>
      <c r="AK2172" s="2">
        <f t="shared" si="302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06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297"/>
        <v>0</v>
      </c>
      <c r="AJ2173" s="2">
        <f t="shared" si="298"/>
        <v>0</v>
      </c>
      <c r="AK2173" s="2">
        <f t="shared" si="302"/>
        <v>25.908000000000001</v>
      </c>
      <c r="AL2173" s="5">
        <f t="shared" ref="AL2173:AL2195" si="307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06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297"/>
        <v>0</v>
      </c>
      <c r="AG2174" s="2">
        <v>10.6</v>
      </c>
      <c r="AH2174" s="2">
        <v>18</v>
      </c>
      <c r="AJ2174" s="2">
        <f t="shared" si="298"/>
        <v>0</v>
      </c>
      <c r="AK2174" s="2">
        <f t="shared" si="302"/>
        <v>14.8</v>
      </c>
      <c r="AL2174" s="5">
        <f t="shared" si="307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06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297"/>
        <v>0</v>
      </c>
      <c r="AG2175" s="2">
        <v>8.1999999999999993</v>
      </c>
      <c r="AH2175" s="2">
        <v>13</v>
      </c>
      <c r="AJ2175" s="2">
        <f t="shared" si="298"/>
        <v>0</v>
      </c>
      <c r="AK2175" s="2">
        <f t="shared" si="302"/>
        <v>4.7999999999999989</v>
      </c>
      <c r="AL2175" s="5">
        <f t="shared" si="307"/>
        <v>0.36923076923076914</v>
      </c>
    </row>
    <row r="2176" spans="1:38" x14ac:dyDescent="0.2">
      <c r="A2176" s="2">
        <v>2025</v>
      </c>
      <c r="B2176" s="2">
        <v>11</v>
      </c>
      <c r="C2176" s="2" t="s">
        <v>3393</v>
      </c>
      <c r="D2176" s="15" t="s">
        <v>3414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06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297"/>
        <v>0</v>
      </c>
      <c r="AJ2176" s="2">
        <f t="shared" si="298"/>
        <v>0</v>
      </c>
      <c r="AK2176" s="2">
        <f t="shared" si="302"/>
        <v>5656.84</v>
      </c>
      <c r="AL2176" s="5">
        <f t="shared" si="307"/>
        <v>0.70798998748435549</v>
      </c>
    </row>
    <row r="2177" spans="1:38" x14ac:dyDescent="0.2">
      <c r="A2177" s="2">
        <v>2025</v>
      </c>
      <c r="B2177" s="2">
        <v>11</v>
      </c>
      <c r="C2177" s="2" t="s">
        <v>3393</v>
      </c>
      <c r="D2177" s="15" t="s">
        <v>3414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06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297"/>
        <v>0</v>
      </c>
      <c r="AJ2177" s="2">
        <f t="shared" si="298"/>
        <v>0</v>
      </c>
      <c r="AK2177" s="2">
        <f t="shared" si="302"/>
        <v>3203.7911999999997</v>
      </c>
      <c r="AL2177" s="5">
        <f t="shared" si="307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06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08">AJ2178</f>
        <v>0</v>
      </c>
      <c r="AJ2178" s="2">
        <f t="shared" ref="AJ2178:AJ2241" si="309">AI2178*T2178</f>
        <v>0</v>
      </c>
      <c r="AK2178" s="2">
        <f t="shared" si="302"/>
        <v>30</v>
      </c>
      <c r="AL2178" s="5">
        <f t="shared" si="307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06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08"/>
        <v>0</v>
      </c>
      <c r="AJ2179" s="2">
        <f t="shared" si="309"/>
        <v>0</v>
      </c>
      <c r="AK2179" s="2">
        <f t="shared" si="302"/>
        <v>12.5</v>
      </c>
      <c r="AL2179" s="5">
        <f t="shared" si="307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06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08"/>
        <v>0</v>
      </c>
      <c r="AG2180" s="2">
        <v>131.93</v>
      </c>
      <c r="AH2180" s="2">
        <v>220</v>
      </c>
      <c r="AJ2180" s="2">
        <f t="shared" si="309"/>
        <v>0</v>
      </c>
      <c r="AK2180" s="2">
        <f t="shared" si="302"/>
        <v>88.07</v>
      </c>
      <c r="AL2180" s="5">
        <f t="shared" si="307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06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08"/>
        <v>0</v>
      </c>
      <c r="AJ2181" s="2">
        <f t="shared" si="309"/>
        <v>0</v>
      </c>
      <c r="AK2181" s="2">
        <f t="shared" si="302"/>
        <v>0</v>
      </c>
      <c r="AL2181" s="5">
        <f t="shared" si="307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06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08"/>
        <v>0</v>
      </c>
      <c r="AG2182" s="2">
        <v>6.6266999999999996</v>
      </c>
      <c r="AH2182" s="2">
        <v>12</v>
      </c>
      <c r="AJ2182" s="2">
        <f t="shared" si="309"/>
        <v>0</v>
      </c>
      <c r="AK2182" s="2">
        <f t="shared" si="302"/>
        <v>6.3733000000000004</v>
      </c>
      <c r="AL2182" s="5">
        <f t="shared" si="307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06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08"/>
        <v>0</v>
      </c>
      <c r="AG2183" s="2">
        <v>10.6</v>
      </c>
      <c r="AH2183" s="2">
        <v>18</v>
      </c>
      <c r="AJ2183" s="2">
        <f t="shared" si="309"/>
        <v>0</v>
      </c>
      <c r="AK2183" s="2">
        <f t="shared" si="302"/>
        <v>14.8</v>
      </c>
      <c r="AL2183" s="5">
        <f t="shared" si="307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06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08"/>
        <v>0</v>
      </c>
      <c r="AG2184" s="2">
        <v>8.1999999999999993</v>
      </c>
      <c r="AH2184" s="2">
        <v>13</v>
      </c>
      <c r="AJ2184" s="2">
        <f t="shared" si="309"/>
        <v>0</v>
      </c>
      <c r="AK2184" s="2">
        <f t="shared" si="302"/>
        <v>4.7999999999999989</v>
      </c>
      <c r="AL2184" s="5">
        <f t="shared" si="307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06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08"/>
        <v>0</v>
      </c>
      <c r="AG2185" s="2">
        <v>7.9611999999999998</v>
      </c>
      <c r="AH2185" s="2">
        <v>14.4</v>
      </c>
      <c r="AJ2185" s="2">
        <f t="shared" si="309"/>
        <v>0</v>
      </c>
      <c r="AK2185" s="2">
        <f t="shared" si="302"/>
        <v>6.5388000000000002</v>
      </c>
      <c r="AL2185" s="5">
        <f t="shared" si="307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06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08"/>
        <v>0</v>
      </c>
      <c r="AG2186" s="2">
        <v>117.453</v>
      </c>
      <c r="AH2186" s="2">
        <v>220</v>
      </c>
      <c r="AJ2186" s="2">
        <f t="shared" si="309"/>
        <v>0</v>
      </c>
      <c r="AK2186" s="2">
        <f t="shared" si="302"/>
        <v>102.547</v>
      </c>
      <c r="AL2186" s="5">
        <f t="shared" si="307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06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08"/>
        <v>0</v>
      </c>
      <c r="AJ2187" s="2">
        <f t="shared" si="309"/>
        <v>0</v>
      </c>
      <c r="AK2187" s="2">
        <f t="shared" si="302"/>
        <v>163.35000000000002</v>
      </c>
      <c r="AL2187" s="5">
        <f t="shared" si="307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06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08"/>
        <v>0</v>
      </c>
      <c r="AJ2188" s="2">
        <f t="shared" si="309"/>
        <v>0</v>
      </c>
      <c r="AK2188" s="2">
        <f t="shared" si="302"/>
        <v>152.87</v>
      </c>
      <c r="AL2188" s="5">
        <f t="shared" si="307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06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08"/>
        <v>0</v>
      </c>
      <c r="AJ2189" s="2">
        <f t="shared" si="309"/>
        <v>0</v>
      </c>
      <c r="AK2189" s="2">
        <f t="shared" si="302"/>
        <v>76.199999999999989</v>
      </c>
      <c r="AL2189" s="5">
        <f t="shared" si="307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06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08"/>
        <v>0</v>
      </c>
      <c r="AJ2190" s="2">
        <f t="shared" si="309"/>
        <v>0</v>
      </c>
      <c r="AK2190" s="2">
        <f t="shared" si="302"/>
        <v>25</v>
      </c>
      <c r="AL2190" s="5">
        <f t="shared" si="307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06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08"/>
        <v>0</v>
      </c>
      <c r="AJ2191" s="2">
        <f t="shared" si="309"/>
        <v>0</v>
      </c>
      <c r="AK2191" s="2">
        <f t="shared" si="302"/>
        <v>0</v>
      </c>
      <c r="AL2191" s="5">
        <f t="shared" si="307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06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08"/>
        <v>0</v>
      </c>
      <c r="AJ2192" s="2">
        <f t="shared" si="309"/>
        <v>0</v>
      </c>
      <c r="AK2192" s="2">
        <f t="shared" si="302"/>
        <v>354.09659999999997</v>
      </c>
      <c r="AL2192" s="5">
        <f t="shared" si="307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06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08"/>
        <v>0</v>
      </c>
      <c r="AJ2193" s="2">
        <f t="shared" si="309"/>
        <v>0</v>
      </c>
      <c r="AK2193" s="2">
        <f t="shared" si="302"/>
        <v>30</v>
      </c>
      <c r="AL2193" s="5">
        <f t="shared" si="307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06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08"/>
        <v>0</v>
      </c>
      <c r="AJ2194" s="2">
        <f t="shared" si="309"/>
        <v>0</v>
      </c>
      <c r="AK2194" s="2">
        <f t="shared" si="302"/>
        <v>25</v>
      </c>
      <c r="AL2194" s="5">
        <f t="shared" si="307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06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08"/>
        <v>0</v>
      </c>
      <c r="AJ2195" s="2">
        <f t="shared" si="309"/>
        <v>0</v>
      </c>
      <c r="AK2195" s="2">
        <f t="shared" ref="AK2195:AK2217" si="310">T2195-W2195</f>
        <v>298</v>
      </c>
      <c r="AL2195" s="5">
        <f t="shared" si="307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3331</v>
      </c>
      <c r="AF2196" s="2">
        <f t="shared" si="308"/>
        <v>0</v>
      </c>
      <c r="AJ2196" s="2">
        <f t="shared" si="309"/>
        <v>0</v>
      </c>
      <c r="AK2196" s="2">
        <f t="shared" si="310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11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08"/>
        <v>0</v>
      </c>
      <c r="AJ2197" s="2">
        <f t="shared" si="309"/>
        <v>0</v>
      </c>
      <c r="AK2197" s="2">
        <f t="shared" si="310"/>
        <v>354.09659999999997</v>
      </c>
      <c r="AL2197" s="5">
        <f t="shared" ref="AL2197:AL2217" si="312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11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08"/>
        <v>0</v>
      </c>
      <c r="AJ2198" s="2">
        <f t="shared" si="309"/>
        <v>0</v>
      </c>
      <c r="AK2198" s="2">
        <f t="shared" si="310"/>
        <v>59.4</v>
      </c>
      <c r="AL2198" s="5">
        <f t="shared" si="312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11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08"/>
        <v>0</v>
      </c>
      <c r="AJ2199" s="2">
        <f t="shared" si="309"/>
        <v>0</v>
      </c>
      <c r="AK2199" s="2">
        <f t="shared" si="310"/>
        <v>25</v>
      </c>
      <c r="AL2199" s="5">
        <f t="shared" si="312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11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08"/>
        <v>0</v>
      </c>
      <c r="AJ2200" s="2">
        <f t="shared" si="309"/>
        <v>0</v>
      </c>
      <c r="AK2200" s="2">
        <f t="shared" si="310"/>
        <v>5.5300000000000011</v>
      </c>
      <c r="AL2200" s="5">
        <f t="shared" si="312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11"/>
        <v>1</v>
      </c>
      <c r="Z2201" s="2" t="s">
        <v>119</v>
      </c>
      <c r="AA2201" s="2" t="s">
        <v>492</v>
      </c>
      <c r="AF2201" s="2">
        <f t="shared" si="308"/>
        <v>0</v>
      </c>
      <c r="AJ2201" s="2">
        <f t="shared" si="309"/>
        <v>0</v>
      </c>
      <c r="AK2201" s="2">
        <f t="shared" si="310"/>
        <v>664.04</v>
      </c>
      <c r="AL2201" s="5">
        <f t="shared" si="312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11"/>
        <v>1</v>
      </c>
      <c r="AF2202" s="2">
        <f t="shared" si="308"/>
        <v>0</v>
      </c>
      <c r="AJ2202" s="2">
        <f t="shared" si="309"/>
        <v>0</v>
      </c>
      <c r="AK2202" s="2">
        <f t="shared" si="310"/>
        <v>725.58</v>
      </c>
      <c r="AL2202" s="5">
        <f t="shared" si="312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11"/>
        <v>1</v>
      </c>
      <c r="Z2203" s="2" t="s">
        <v>3226</v>
      </c>
      <c r="AF2203" s="2">
        <f t="shared" si="308"/>
        <v>0</v>
      </c>
      <c r="AJ2203" s="2">
        <f t="shared" si="309"/>
        <v>0</v>
      </c>
      <c r="AK2203" s="2">
        <f t="shared" si="310"/>
        <v>18.5</v>
      </c>
      <c r="AL2203" s="5">
        <f t="shared" si="312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11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3331</v>
      </c>
      <c r="AF2204" s="2">
        <f t="shared" si="308"/>
        <v>0</v>
      </c>
      <c r="AJ2204" s="2">
        <f t="shared" si="309"/>
        <v>0</v>
      </c>
      <c r="AK2204" s="2">
        <f t="shared" si="310"/>
        <v>60.800000000000011</v>
      </c>
      <c r="AL2204" s="5">
        <f t="shared" si="312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11"/>
        <v>1</v>
      </c>
      <c r="Z2205" s="2" t="s">
        <v>3226</v>
      </c>
      <c r="AF2205" s="2">
        <f t="shared" si="308"/>
        <v>0</v>
      </c>
      <c r="AJ2205" s="2">
        <f t="shared" si="309"/>
        <v>0</v>
      </c>
      <c r="AK2205" s="2">
        <f t="shared" si="310"/>
        <v>80</v>
      </c>
      <c r="AL2205" s="5">
        <f t="shared" si="312"/>
        <v>1</v>
      </c>
    </row>
    <row r="2206" spans="1:38" x14ac:dyDescent="0.2">
      <c r="A2206" s="2">
        <v>2025</v>
      </c>
      <c r="B2206" s="2">
        <v>11</v>
      </c>
      <c r="C2206" s="2" t="s">
        <v>3393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11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08"/>
        <v>0</v>
      </c>
      <c r="AJ2206" s="2">
        <f t="shared" si="309"/>
        <v>0</v>
      </c>
      <c r="AK2206" s="2">
        <f t="shared" si="310"/>
        <v>8.2949999999999999</v>
      </c>
      <c r="AL2206" s="5">
        <f t="shared" si="312"/>
        <v>0.35000000000000003</v>
      </c>
    </row>
    <row r="2207" spans="1:38" x14ac:dyDescent="0.2">
      <c r="A2207" s="2">
        <v>2025</v>
      </c>
      <c r="B2207" s="2">
        <v>11</v>
      </c>
      <c r="C2207" s="2" t="s">
        <v>3393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11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08"/>
        <v>0</v>
      </c>
      <c r="AJ2207" s="2">
        <f t="shared" si="309"/>
        <v>0</v>
      </c>
      <c r="AK2207" s="2">
        <f t="shared" si="310"/>
        <v>9.84</v>
      </c>
      <c r="AL2207" s="5">
        <f t="shared" si="312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11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08"/>
        <v>0</v>
      </c>
      <c r="AJ2208" s="2">
        <f t="shared" si="309"/>
        <v>0</v>
      </c>
      <c r="AK2208" s="2">
        <f t="shared" si="310"/>
        <v>3</v>
      </c>
      <c r="AL2208" s="5">
        <f t="shared" si="312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11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08"/>
        <v>0</v>
      </c>
      <c r="AJ2209" s="2">
        <f t="shared" si="309"/>
        <v>0</v>
      </c>
      <c r="AK2209" s="2">
        <f t="shared" si="310"/>
        <v>11.5</v>
      </c>
      <c r="AL2209" s="5">
        <f t="shared" si="312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11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08"/>
        <v>0</v>
      </c>
      <c r="AJ2210" s="2">
        <f t="shared" si="309"/>
        <v>0</v>
      </c>
      <c r="AK2210" s="2">
        <f t="shared" si="310"/>
        <v>9.9</v>
      </c>
      <c r="AL2210" s="5">
        <f t="shared" si="312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11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08"/>
        <v>0</v>
      </c>
      <c r="AJ2211" s="2">
        <f t="shared" si="309"/>
        <v>0</v>
      </c>
      <c r="AK2211" s="2">
        <f t="shared" si="310"/>
        <v>9.9</v>
      </c>
      <c r="AL2211" s="5">
        <f t="shared" si="312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11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08"/>
        <v>0</v>
      </c>
      <c r="AG2212" s="2">
        <v>122.446</v>
      </c>
      <c r="AH2212" s="2">
        <v>230</v>
      </c>
      <c r="AJ2212" s="2">
        <f t="shared" si="309"/>
        <v>0</v>
      </c>
      <c r="AK2212" s="2">
        <f t="shared" si="310"/>
        <v>107.554</v>
      </c>
      <c r="AL2212" s="5">
        <f t="shared" si="312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11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08"/>
        <v>0</v>
      </c>
      <c r="AJ2213" s="2">
        <f t="shared" si="309"/>
        <v>0</v>
      </c>
      <c r="AK2213" s="2">
        <f t="shared" si="310"/>
        <v>0</v>
      </c>
      <c r="AL2213" s="5">
        <f t="shared" si="312"/>
        <v>0</v>
      </c>
    </row>
    <row r="2214" spans="1:38" x14ac:dyDescent="0.2">
      <c r="A2214" s="2">
        <v>2025</v>
      </c>
      <c r="B2214" s="2">
        <v>11</v>
      </c>
      <c r="C2214" s="2" t="s">
        <v>3439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11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08"/>
        <v>0</v>
      </c>
      <c r="AJ2214" s="2">
        <f t="shared" si="309"/>
        <v>0</v>
      </c>
      <c r="AK2214" s="2">
        <f t="shared" si="310"/>
        <v>691.54000000000008</v>
      </c>
      <c r="AL2214" s="5">
        <f t="shared" si="312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11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08"/>
        <v>0</v>
      </c>
      <c r="AG2215" s="2">
        <f>144.14+15.4</f>
        <v>159.54</v>
      </c>
      <c r="AH2215" s="2">
        <v>280</v>
      </c>
      <c r="AJ2215" s="2">
        <f t="shared" si="309"/>
        <v>0</v>
      </c>
      <c r="AK2215" s="2">
        <f t="shared" si="310"/>
        <v>100.46000000000001</v>
      </c>
      <c r="AL2215" s="5">
        <f t="shared" si="312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11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08"/>
        <v>0</v>
      </c>
      <c r="AJ2216" s="2">
        <f t="shared" si="309"/>
        <v>0</v>
      </c>
      <c r="AK2216" s="2">
        <f t="shared" si="310"/>
        <v>0</v>
      </c>
      <c r="AL2216" s="5">
        <f t="shared" si="312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11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08"/>
        <v>0</v>
      </c>
      <c r="AJ2217" s="2">
        <f t="shared" si="309"/>
        <v>0</v>
      </c>
      <c r="AK2217" s="2">
        <f t="shared" si="310"/>
        <v>152.44</v>
      </c>
      <c r="AL2217" s="5">
        <f t="shared" si="312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119</v>
      </c>
      <c r="AA2218" s="2" t="s">
        <v>142</v>
      </c>
      <c r="AF2218" s="2">
        <f t="shared" si="308"/>
        <v>0</v>
      </c>
      <c r="AJ2218" s="2">
        <f t="shared" si="309"/>
        <v>0</v>
      </c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13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08"/>
        <v>0</v>
      </c>
      <c r="AJ2219" s="2">
        <f t="shared" si="309"/>
        <v>0</v>
      </c>
      <c r="AK2219" s="2">
        <f t="shared" ref="AK2219:AK2258" si="314">T2219-W2219</f>
        <v>0</v>
      </c>
      <c r="AL2219" s="5">
        <f t="shared" ref="AL2219:AL2227" si="315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13"/>
        <v>1</v>
      </c>
      <c r="Z2220" s="2" t="s">
        <v>104</v>
      </c>
      <c r="AF2220" s="2">
        <f t="shared" si="308"/>
        <v>0</v>
      </c>
      <c r="AJ2220" s="2">
        <f t="shared" si="309"/>
        <v>0</v>
      </c>
      <c r="AK2220" s="2">
        <f t="shared" si="314"/>
        <v>8980</v>
      </c>
      <c r="AL2220" s="5">
        <f t="shared" si="315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13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08"/>
        <v>0</v>
      </c>
      <c r="AG2221" s="2">
        <v>108.6</v>
      </c>
      <c r="AJ2221" s="2">
        <f t="shared" si="309"/>
        <v>0</v>
      </c>
      <c r="AK2221" s="2">
        <f t="shared" si="314"/>
        <v>256.65999999999997</v>
      </c>
      <c r="AL2221" s="5">
        <f t="shared" si="315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13"/>
        <v>0.4</v>
      </c>
      <c r="Z2222" s="2" t="s">
        <v>169</v>
      </c>
      <c r="AA2222" s="2" t="s">
        <v>169</v>
      </c>
      <c r="AF2222" s="2">
        <f t="shared" si="308"/>
        <v>0</v>
      </c>
      <c r="AJ2222" s="2">
        <f t="shared" si="309"/>
        <v>0</v>
      </c>
      <c r="AK2222" s="2">
        <f t="shared" si="314"/>
        <v>40</v>
      </c>
      <c r="AL2222" s="5">
        <f t="shared" si="315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13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08"/>
        <v>0</v>
      </c>
      <c r="AJ2223" s="2">
        <f t="shared" si="309"/>
        <v>0</v>
      </c>
      <c r="AK2223" s="2">
        <f t="shared" si="314"/>
        <v>75.72</v>
      </c>
      <c r="AL2223" s="5">
        <f t="shared" si="315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13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08"/>
        <v>0</v>
      </c>
      <c r="AJ2224" s="2">
        <f t="shared" si="309"/>
        <v>0</v>
      </c>
      <c r="AK2224" s="2">
        <f t="shared" si="314"/>
        <v>0</v>
      </c>
      <c r="AL2224" s="5">
        <f t="shared" si="315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13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08"/>
        <v>0</v>
      </c>
      <c r="AG2225" s="2">
        <v>143.91999999999999</v>
      </c>
      <c r="AJ2225" s="2">
        <f t="shared" si="309"/>
        <v>0</v>
      </c>
      <c r="AK2225" s="2">
        <f t="shared" si="314"/>
        <v>101.08000000000001</v>
      </c>
      <c r="AL2225" s="5">
        <f t="shared" si="315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13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08"/>
        <v>0</v>
      </c>
      <c r="AG2226" s="2">
        <v>110.68</v>
      </c>
      <c r="AH2226" s="2">
        <v>210</v>
      </c>
      <c r="AJ2226" s="2">
        <f t="shared" si="309"/>
        <v>0</v>
      </c>
      <c r="AK2226" s="2">
        <f t="shared" si="314"/>
        <v>109.32</v>
      </c>
      <c r="AL2226" s="5">
        <f t="shared" si="315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13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08"/>
        <v>0</v>
      </c>
      <c r="AG2227" s="2">
        <v>122.25</v>
      </c>
      <c r="AJ2227" s="2">
        <f t="shared" si="309"/>
        <v>0</v>
      </c>
      <c r="AK2227" s="2">
        <f t="shared" si="314"/>
        <v>82.75</v>
      </c>
      <c r="AL2227" s="5">
        <f t="shared" si="315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13"/>
        <v>-0.53333333333333333</v>
      </c>
      <c r="Z2228" s="2" t="s">
        <v>169</v>
      </c>
      <c r="AA2228" s="2" t="s">
        <v>169</v>
      </c>
      <c r="AF2228" s="2">
        <f t="shared" si="308"/>
        <v>0</v>
      </c>
      <c r="AJ2228" s="2">
        <f t="shared" si="309"/>
        <v>0</v>
      </c>
      <c r="AK2228" s="2">
        <f t="shared" si="314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16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08"/>
        <v>0</v>
      </c>
      <c r="AG2229" s="2">
        <v>1.1399999999999999</v>
      </c>
      <c r="AH2229" s="2">
        <v>1.1399999999999999</v>
      </c>
      <c r="AJ2229" s="2">
        <f t="shared" si="309"/>
        <v>0</v>
      </c>
      <c r="AK2229" s="2">
        <f t="shared" si="314"/>
        <v>0</v>
      </c>
      <c r="AL2229" s="5">
        <f t="shared" ref="AL2229:AL2258" si="317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16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08"/>
        <v>0</v>
      </c>
      <c r="AG2230" s="2">
        <v>1119</v>
      </c>
      <c r="AJ2230" s="2">
        <f t="shared" si="309"/>
        <v>0</v>
      </c>
      <c r="AK2230" s="2">
        <f t="shared" si="314"/>
        <v>479.57999999999993</v>
      </c>
      <c r="AL2230" s="5">
        <f t="shared" si="317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16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08"/>
        <v>0</v>
      </c>
      <c r="AJ2231" s="2">
        <f t="shared" si="309"/>
        <v>0</v>
      </c>
      <c r="AK2231" s="2">
        <f t="shared" si="314"/>
        <v>3320.6000000000004</v>
      </c>
      <c r="AL2231" s="5">
        <f t="shared" si="317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16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08"/>
        <v>0</v>
      </c>
      <c r="AJ2232" s="2">
        <f t="shared" si="309"/>
        <v>0</v>
      </c>
      <c r="AK2232" s="2">
        <f t="shared" si="314"/>
        <v>10.593299999999999</v>
      </c>
      <c r="AL2232" s="5">
        <f t="shared" si="317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16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08"/>
        <v>0</v>
      </c>
      <c r="AJ2233" s="2">
        <f t="shared" si="309"/>
        <v>0</v>
      </c>
      <c r="AK2233" s="2">
        <f t="shared" si="314"/>
        <v>7.5654000000000003</v>
      </c>
      <c r="AL2233" s="5">
        <f t="shared" si="317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16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08"/>
        <v>0</v>
      </c>
      <c r="AJ2234" s="2">
        <f t="shared" si="309"/>
        <v>0</v>
      </c>
      <c r="AK2234" s="2">
        <f t="shared" si="314"/>
        <v>8.6732999999999993</v>
      </c>
      <c r="AL2234" s="5">
        <f t="shared" si="317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16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08"/>
        <v>0</v>
      </c>
      <c r="AJ2235" s="2">
        <f t="shared" si="309"/>
        <v>0</v>
      </c>
      <c r="AK2235" s="2">
        <f t="shared" si="314"/>
        <v>4.5449999999999999</v>
      </c>
      <c r="AL2235" s="5">
        <f t="shared" si="317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16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08"/>
        <v>0</v>
      </c>
      <c r="AJ2236" s="2">
        <f t="shared" si="309"/>
        <v>0</v>
      </c>
      <c r="AK2236" s="2">
        <f t="shared" si="314"/>
        <v>6.2423999999999999</v>
      </c>
      <c r="AL2236" s="5">
        <f t="shared" si="317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16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08"/>
        <v>0</v>
      </c>
      <c r="AG2237" s="2">
        <v>10.6</v>
      </c>
      <c r="AH2237" s="2">
        <v>18</v>
      </c>
      <c r="AJ2237" s="2">
        <f t="shared" si="309"/>
        <v>0</v>
      </c>
      <c r="AK2237" s="2">
        <f t="shared" si="314"/>
        <v>34</v>
      </c>
      <c r="AL2237" s="5">
        <f t="shared" si="317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16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08"/>
        <v>0</v>
      </c>
      <c r="AG2238" s="2">
        <v>120.636</v>
      </c>
      <c r="AH2238" s="2">
        <v>220</v>
      </c>
      <c r="AJ2238" s="2">
        <f t="shared" si="309"/>
        <v>0</v>
      </c>
      <c r="AK2238" s="2">
        <f t="shared" si="314"/>
        <v>99.364000000000004</v>
      </c>
      <c r="AL2238" s="5">
        <f t="shared" si="317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16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08"/>
        <v>0</v>
      </c>
      <c r="AJ2239" s="2">
        <f t="shared" si="309"/>
        <v>0</v>
      </c>
      <c r="AK2239" s="2">
        <f t="shared" si="314"/>
        <v>0</v>
      </c>
      <c r="AL2239" s="5">
        <f t="shared" si="317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16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08"/>
        <v>0</v>
      </c>
      <c r="AG2240" s="2">
        <v>1.8320000000000001</v>
      </c>
      <c r="AH2240" s="2">
        <v>2.4</v>
      </c>
      <c r="AJ2240" s="2">
        <f t="shared" si="309"/>
        <v>0</v>
      </c>
      <c r="AK2240" s="2">
        <f t="shared" si="314"/>
        <v>2.2719999999999994</v>
      </c>
      <c r="AL2240" s="5">
        <f t="shared" si="317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316"/>
        <v>1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08"/>
        <v>0</v>
      </c>
      <c r="AJ2241" s="2">
        <f t="shared" si="309"/>
        <v>0</v>
      </c>
      <c r="AK2241" s="2">
        <f t="shared" si="314"/>
        <v>9.8000000000000007</v>
      </c>
      <c r="AL2241" s="5">
        <f t="shared" si="317"/>
        <v>1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16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18">AJ2242</f>
        <v>0</v>
      </c>
      <c r="AJ2242" s="2">
        <f t="shared" ref="AJ2242:AJ2305" si="319">AI2242*T2242</f>
        <v>0</v>
      </c>
      <c r="AK2242" s="2">
        <f t="shared" si="314"/>
        <v>25.8736</v>
      </c>
      <c r="AL2242" s="5">
        <f t="shared" si="317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16"/>
        <v>1</v>
      </c>
      <c r="Z2243" s="2" t="s">
        <v>104</v>
      </c>
      <c r="AC2243" s="2" t="s">
        <v>3230</v>
      </c>
      <c r="AF2243" s="2">
        <f t="shared" si="318"/>
        <v>0</v>
      </c>
      <c r="AJ2243" s="2">
        <f t="shared" si="319"/>
        <v>0</v>
      </c>
      <c r="AK2243" s="2">
        <f t="shared" si="314"/>
        <v>2700</v>
      </c>
      <c r="AL2243" s="5">
        <f t="shared" si="317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16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18"/>
        <v>0</v>
      </c>
      <c r="AJ2244" s="2">
        <f t="shared" si="319"/>
        <v>0</v>
      </c>
      <c r="AK2244" s="2">
        <f t="shared" si="314"/>
        <v>18.917999999999999</v>
      </c>
      <c r="AL2244" s="5">
        <f t="shared" si="317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16"/>
        <v>1</v>
      </c>
      <c r="Z2245" s="2" t="s">
        <v>117</v>
      </c>
      <c r="AF2245" s="2">
        <f t="shared" si="318"/>
        <v>0</v>
      </c>
      <c r="AJ2245" s="2">
        <f t="shared" si="319"/>
        <v>0</v>
      </c>
      <c r="AK2245" s="2">
        <f t="shared" si="314"/>
        <v>60.1</v>
      </c>
      <c r="AL2245" s="5">
        <f t="shared" si="317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16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18"/>
        <v>0</v>
      </c>
      <c r="AG2246" s="2">
        <v>8.1999999999999993</v>
      </c>
      <c r="AH2246" s="2">
        <v>13</v>
      </c>
      <c r="AJ2246" s="2">
        <f t="shared" si="319"/>
        <v>0</v>
      </c>
      <c r="AK2246" s="2">
        <f t="shared" si="314"/>
        <v>23</v>
      </c>
      <c r="AL2246" s="5">
        <f t="shared" si="317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16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18"/>
        <v>0</v>
      </c>
      <c r="AG2247" s="2">
        <v>0.85609999999999997</v>
      </c>
      <c r="AH2247" s="2">
        <v>1.8</v>
      </c>
      <c r="AJ2247" s="2">
        <f t="shared" si="319"/>
        <v>0</v>
      </c>
      <c r="AK2247" s="2">
        <f t="shared" si="314"/>
        <v>18.878</v>
      </c>
      <c r="AL2247" s="5">
        <f t="shared" si="317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16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18"/>
        <v>0</v>
      </c>
      <c r="AJ2248" s="2">
        <f t="shared" si="319"/>
        <v>0</v>
      </c>
      <c r="AK2248" s="2">
        <f t="shared" si="314"/>
        <v>5.0460000000000012</v>
      </c>
      <c r="AL2248" s="5">
        <f t="shared" si="317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16"/>
        <v>1</v>
      </c>
      <c r="Z2249" s="2" t="s">
        <v>104</v>
      </c>
      <c r="AF2249" s="2">
        <f t="shared" si="318"/>
        <v>0</v>
      </c>
      <c r="AJ2249" s="2">
        <f t="shared" si="319"/>
        <v>0</v>
      </c>
      <c r="AK2249" s="2">
        <f t="shared" si="314"/>
        <v>6670</v>
      </c>
      <c r="AL2249" s="5">
        <f t="shared" si="317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16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18"/>
        <v>0</v>
      </c>
      <c r="AG2250" s="2">
        <f>144.14+15.4</f>
        <v>159.54</v>
      </c>
      <c r="AH2250" s="2">
        <v>280</v>
      </c>
      <c r="AJ2250" s="2">
        <f t="shared" si="319"/>
        <v>0</v>
      </c>
      <c r="AK2250" s="2">
        <f t="shared" si="314"/>
        <v>88.860000000000014</v>
      </c>
      <c r="AL2250" s="5">
        <f t="shared" si="317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16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18"/>
        <v>0</v>
      </c>
      <c r="AJ2251" s="2">
        <f t="shared" si="319"/>
        <v>0</v>
      </c>
      <c r="AK2251" s="2">
        <f t="shared" si="314"/>
        <v>0</v>
      </c>
      <c r="AL2251" s="5">
        <f t="shared" si="317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16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18"/>
        <v>0</v>
      </c>
      <c r="AJ2252" s="2">
        <f t="shared" si="319"/>
        <v>0</v>
      </c>
      <c r="AK2252" s="2">
        <f t="shared" si="314"/>
        <v>25.908000000000001</v>
      </c>
      <c r="AL2252" s="5">
        <f t="shared" si="317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16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18"/>
        <v>0</v>
      </c>
      <c r="AG2253" s="2">
        <v>5.2972999999999999</v>
      </c>
      <c r="AH2253" s="2">
        <v>10.8</v>
      </c>
      <c r="AJ2253" s="2">
        <f t="shared" si="319"/>
        <v>0</v>
      </c>
      <c r="AK2253" s="2">
        <f t="shared" si="314"/>
        <v>4.3026999999999997</v>
      </c>
      <c r="AL2253" s="5">
        <f t="shared" si="317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16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18"/>
        <v>0</v>
      </c>
      <c r="AG2254" s="2">
        <v>10.6</v>
      </c>
      <c r="AH2254" s="2">
        <v>18</v>
      </c>
      <c r="AJ2254" s="2">
        <f t="shared" si="319"/>
        <v>0</v>
      </c>
      <c r="AK2254" s="2">
        <f t="shared" si="314"/>
        <v>34</v>
      </c>
      <c r="AL2254" s="5">
        <f t="shared" si="317"/>
        <v>0.24285714285714285</v>
      </c>
    </row>
    <row r="2255" spans="1:38" x14ac:dyDescent="0.2">
      <c r="A2255" s="2">
        <v>2025</v>
      </c>
      <c r="B2255" s="2">
        <v>11</v>
      </c>
      <c r="D2255" s="2" t="s">
        <v>2072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316"/>
        <v>1</v>
      </c>
      <c r="Z2255" s="2" t="s">
        <v>104</v>
      </c>
      <c r="AF2255" s="2">
        <f t="shared" si="318"/>
        <v>0</v>
      </c>
      <c r="AJ2255" s="2">
        <f t="shared" si="319"/>
        <v>0</v>
      </c>
      <c r="AK2255" s="2">
        <f t="shared" si="314"/>
        <v>2190</v>
      </c>
      <c r="AL2255" s="5">
        <f t="shared" si="317"/>
        <v>1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16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18"/>
        <v>0</v>
      </c>
      <c r="AG2256" s="2">
        <v>10.6</v>
      </c>
      <c r="AH2256" s="2">
        <v>18</v>
      </c>
      <c r="AJ2256" s="2">
        <f t="shared" si="319"/>
        <v>0</v>
      </c>
      <c r="AK2256" s="2">
        <f t="shared" si="314"/>
        <v>34</v>
      </c>
      <c r="AL2256" s="5">
        <f t="shared" si="317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16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18"/>
        <v>0</v>
      </c>
      <c r="AG2257" s="2">
        <v>8.1999999999999993</v>
      </c>
      <c r="AH2257" s="2">
        <v>13</v>
      </c>
      <c r="AJ2257" s="2">
        <f t="shared" si="319"/>
        <v>0</v>
      </c>
      <c r="AK2257" s="2">
        <f t="shared" si="314"/>
        <v>23</v>
      </c>
      <c r="AL2257" s="5">
        <f t="shared" si="317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16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18"/>
        <v>0</v>
      </c>
      <c r="AJ2258" s="2">
        <f t="shared" si="319"/>
        <v>0</v>
      </c>
      <c r="AK2258" s="2">
        <f t="shared" si="314"/>
        <v>13</v>
      </c>
      <c r="AL2258" s="5">
        <f t="shared" si="317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18"/>
        <v>0</v>
      </c>
      <c r="AJ2259" s="2">
        <f t="shared" si="319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18"/>
        <v>0</v>
      </c>
      <c r="AG2260" s="2">
        <v>111.98</v>
      </c>
      <c r="AH2260" s="2">
        <v>210</v>
      </c>
      <c r="AJ2260" s="2">
        <f t="shared" si="319"/>
        <v>0</v>
      </c>
      <c r="AK2260" s="2">
        <f t="shared" ref="AK2260:AK2291" si="320">T2260-W2260</f>
        <v>91.719999999999985</v>
      </c>
      <c r="AL2260" s="5">
        <f t="shared" ref="AL2260:AL2291" si="321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18"/>
        <v>0</v>
      </c>
      <c r="AJ2261" s="2">
        <f t="shared" si="319"/>
        <v>0</v>
      </c>
      <c r="AK2261" s="2">
        <f t="shared" si="320"/>
        <v>0</v>
      </c>
      <c r="AL2261" s="5" t="e">
        <f t="shared" si="321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22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18"/>
        <v>0</v>
      </c>
      <c r="AJ2262" s="2">
        <f t="shared" si="319"/>
        <v>0</v>
      </c>
      <c r="AK2262" s="2">
        <f t="shared" si="320"/>
        <v>9.6419999999999995</v>
      </c>
      <c r="AL2262" s="5">
        <f t="shared" si="321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22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18"/>
        <v>0</v>
      </c>
      <c r="AJ2263" s="2">
        <f t="shared" si="319"/>
        <v>0</v>
      </c>
      <c r="AK2263" s="2">
        <f t="shared" si="320"/>
        <v>3.1399999999999997</v>
      </c>
      <c r="AL2263" s="5">
        <f t="shared" si="321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22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18"/>
        <v>0</v>
      </c>
      <c r="AJ2264" s="2">
        <f t="shared" si="319"/>
        <v>0</v>
      </c>
      <c r="AK2264" s="2">
        <f t="shared" si="320"/>
        <v>29.360000000000007</v>
      </c>
      <c r="AL2264" s="5">
        <f t="shared" si="321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22"/>
        <v>1</v>
      </c>
      <c r="Z2265" s="2" t="s">
        <v>117</v>
      </c>
      <c r="AF2265" s="2">
        <f t="shared" si="318"/>
        <v>0</v>
      </c>
      <c r="AJ2265" s="2">
        <f t="shared" si="319"/>
        <v>0</v>
      </c>
      <c r="AK2265" s="2">
        <f t="shared" si="320"/>
        <v>1066.25</v>
      </c>
      <c r="AL2265" s="5">
        <f t="shared" si="321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22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18"/>
        <v>0</v>
      </c>
      <c r="AJ2266" s="2">
        <f t="shared" si="319"/>
        <v>0</v>
      </c>
      <c r="AK2266" s="2">
        <f t="shared" si="320"/>
        <v>30</v>
      </c>
      <c r="AL2266" s="5">
        <f t="shared" si="321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22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18"/>
        <v>0</v>
      </c>
      <c r="AJ2267" s="2">
        <f t="shared" si="319"/>
        <v>0</v>
      </c>
      <c r="AK2267" s="2">
        <f t="shared" si="320"/>
        <v>25</v>
      </c>
      <c r="AL2267" s="5">
        <f t="shared" si="321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22"/>
        <v>0.5</v>
      </c>
      <c r="Z2268" s="2" t="s">
        <v>104</v>
      </c>
      <c r="AC2268" s="2" t="s">
        <v>3230</v>
      </c>
      <c r="AF2268" s="2">
        <f t="shared" si="318"/>
        <v>0</v>
      </c>
      <c r="AJ2268" s="2">
        <f t="shared" si="319"/>
        <v>0</v>
      </c>
      <c r="AK2268" s="2">
        <f t="shared" si="320"/>
        <v>1174.7950000000001</v>
      </c>
      <c r="AL2268" s="5">
        <f t="shared" si="321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22"/>
        <v>1</v>
      </c>
      <c r="AF2269" s="2">
        <f t="shared" si="318"/>
        <v>0</v>
      </c>
      <c r="AJ2269" s="2">
        <f t="shared" si="319"/>
        <v>0</v>
      </c>
      <c r="AK2269" s="2">
        <f t="shared" si="320"/>
        <v>79.819999999999993</v>
      </c>
      <c r="AL2269" s="5">
        <f t="shared" si="321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22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18"/>
        <v>0</v>
      </c>
      <c r="AG2270" s="2">
        <v>8.1999999999999993</v>
      </c>
      <c r="AH2270" s="2">
        <v>13</v>
      </c>
      <c r="AJ2270" s="2">
        <f t="shared" si="319"/>
        <v>0</v>
      </c>
      <c r="AK2270" s="2">
        <f t="shared" si="320"/>
        <v>23</v>
      </c>
      <c r="AL2270" s="5">
        <f t="shared" si="321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22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18"/>
        <v>0</v>
      </c>
      <c r="AJ2271" s="2">
        <f t="shared" si="319"/>
        <v>0</v>
      </c>
      <c r="AK2271" s="2">
        <f t="shared" si="320"/>
        <v>103.16999999999999</v>
      </c>
      <c r="AL2271" s="5">
        <f t="shared" si="321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22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18"/>
        <v>0</v>
      </c>
      <c r="AJ2272" s="2">
        <f t="shared" si="319"/>
        <v>0</v>
      </c>
      <c r="AK2272" s="2">
        <f t="shared" si="320"/>
        <v>0</v>
      </c>
      <c r="AL2272" s="5">
        <f t="shared" si="321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22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18"/>
        <v>0</v>
      </c>
      <c r="AJ2273" s="2">
        <f t="shared" si="319"/>
        <v>0</v>
      </c>
      <c r="AK2273" s="2">
        <f t="shared" si="320"/>
        <v>82.8</v>
      </c>
      <c r="AL2273" s="5">
        <f t="shared" si="321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22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18"/>
        <v>0</v>
      </c>
      <c r="AJ2274" s="2">
        <f t="shared" si="319"/>
        <v>0</v>
      </c>
      <c r="AK2274" s="2">
        <f t="shared" si="320"/>
        <v>50</v>
      </c>
      <c r="AL2274" s="5">
        <f t="shared" si="321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22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18"/>
        <v>0</v>
      </c>
      <c r="AJ2275" s="2">
        <f t="shared" si="319"/>
        <v>0</v>
      </c>
      <c r="AK2275" s="2">
        <f t="shared" si="320"/>
        <v>37.835999999999999</v>
      </c>
      <c r="AL2275" s="5">
        <f t="shared" si="321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22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18"/>
        <v>0</v>
      </c>
      <c r="AJ2276" s="2">
        <f t="shared" si="319"/>
        <v>0</v>
      </c>
      <c r="AK2276" s="2">
        <f t="shared" si="320"/>
        <v>30</v>
      </c>
      <c r="AL2276" s="5">
        <f t="shared" si="321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22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18"/>
        <v>0</v>
      </c>
      <c r="AJ2277" s="2">
        <f t="shared" si="319"/>
        <v>0</v>
      </c>
      <c r="AK2277" s="2">
        <f t="shared" si="320"/>
        <v>25</v>
      </c>
      <c r="AL2277" s="5">
        <f t="shared" si="321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23">T2278</f>
        <v>96</v>
      </c>
      <c r="W2278" s="2">
        <f>6.6267*S2278</f>
        <v>53.013599999999997</v>
      </c>
      <c r="X2278" s="5">
        <f t="shared" si="322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18"/>
        <v>0</v>
      </c>
      <c r="AG2278" s="2">
        <v>6.6266999999999996</v>
      </c>
      <c r="AH2278" s="2">
        <v>12</v>
      </c>
      <c r="AJ2278" s="2">
        <f t="shared" si="319"/>
        <v>0</v>
      </c>
      <c r="AK2278" s="2">
        <f t="shared" si="320"/>
        <v>42.986400000000003</v>
      </c>
      <c r="AL2278" s="5">
        <f t="shared" si="321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23"/>
        <v>7.8</v>
      </c>
      <c r="W2279" s="2">
        <f>3.7358*S2279</f>
        <v>3.7357999999999998</v>
      </c>
      <c r="X2279" s="5">
        <f t="shared" si="322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18"/>
        <v>0</v>
      </c>
      <c r="AG2279" s="2">
        <v>3.7357999999999998</v>
      </c>
      <c r="AH2279" s="2">
        <v>9</v>
      </c>
      <c r="AJ2279" s="2">
        <f t="shared" si="319"/>
        <v>0</v>
      </c>
      <c r="AK2279" s="2">
        <f t="shared" si="320"/>
        <v>4.0641999999999996</v>
      </c>
      <c r="AL2279" s="5">
        <f t="shared" si="321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23"/>
        <v>19.2</v>
      </c>
      <c r="W2280" s="2">
        <f>5.2973*S2280</f>
        <v>10.5946</v>
      </c>
      <c r="X2280" s="5">
        <f t="shared" si="322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18"/>
        <v>0</v>
      </c>
      <c r="AG2280" s="2">
        <v>5.2972999999999999</v>
      </c>
      <c r="AH2280" s="2">
        <v>10.8</v>
      </c>
      <c r="AJ2280" s="2">
        <f t="shared" si="319"/>
        <v>0</v>
      </c>
      <c r="AK2280" s="2">
        <f t="shared" si="320"/>
        <v>8.6053999999999995</v>
      </c>
      <c r="AL2280" s="5">
        <f t="shared" si="321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23"/>
        <v>12</v>
      </c>
      <c r="W2281" s="2">
        <v>5.9066999999999998</v>
      </c>
      <c r="X2281" s="5">
        <f t="shared" si="322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18"/>
        <v>0</v>
      </c>
      <c r="AG2281" s="2">
        <v>5.9066999999999998</v>
      </c>
      <c r="AH2281" s="2">
        <v>12.6</v>
      </c>
      <c r="AJ2281" s="2">
        <f t="shared" si="319"/>
        <v>0</v>
      </c>
      <c r="AK2281" s="2">
        <f t="shared" si="320"/>
        <v>6.0933000000000002</v>
      </c>
      <c r="AL2281" s="5">
        <f t="shared" si="321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23"/>
        <v>13.2</v>
      </c>
      <c r="W2282" s="2">
        <v>7.2217000000000002</v>
      </c>
      <c r="X2282" s="5">
        <f t="shared" si="322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18"/>
        <v>0</v>
      </c>
      <c r="AG2282" s="2">
        <v>7.2217000000000002</v>
      </c>
      <c r="AH2282" s="2">
        <v>14.4</v>
      </c>
      <c r="AJ2282" s="2">
        <f t="shared" si="319"/>
        <v>0</v>
      </c>
      <c r="AK2282" s="2">
        <f t="shared" si="320"/>
        <v>5.9782999999999991</v>
      </c>
      <c r="AL2282" s="5">
        <f t="shared" si="321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23"/>
        <v>19.8</v>
      </c>
      <c r="W2283" s="2">
        <f>11.045*S2283</f>
        <v>11.045</v>
      </c>
      <c r="X2283" s="5">
        <f t="shared" si="322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18"/>
        <v>0</v>
      </c>
      <c r="AJ2283" s="2">
        <f t="shared" si="319"/>
        <v>0</v>
      </c>
      <c r="AK2283" s="2">
        <f t="shared" si="320"/>
        <v>8.7550000000000008</v>
      </c>
      <c r="AL2283" s="5">
        <f t="shared" si="321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23"/>
        <v>24</v>
      </c>
      <c r="W2284" s="2">
        <f>13.4067*S2284</f>
        <v>13.406700000000001</v>
      </c>
      <c r="X2284" s="5">
        <f t="shared" si="322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18"/>
        <v>0</v>
      </c>
      <c r="AJ2284" s="2">
        <f t="shared" si="319"/>
        <v>0</v>
      </c>
      <c r="AK2284" s="2">
        <f t="shared" si="320"/>
        <v>10.593299999999999</v>
      </c>
      <c r="AL2284" s="5">
        <f t="shared" si="321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23"/>
        <v>28.8</v>
      </c>
      <c r="W2285" s="2">
        <f>16.2249*S2285</f>
        <v>16.224900000000002</v>
      </c>
      <c r="X2285" s="5">
        <f t="shared" si="322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18"/>
        <v>0</v>
      </c>
      <c r="AJ2285" s="2">
        <f t="shared" si="319"/>
        <v>0</v>
      </c>
      <c r="AK2285" s="2">
        <f t="shared" si="320"/>
        <v>12.575099999999999</v>
      </c>
      <c r="AL2285" s="5">
        <f t="shared" si="321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23"/>
        <v>16.8</v>
      </c>
      <c r="W2286" s="2">
        <f>9.2346*S2286</f>
        <v>9.2346000000000004</v>
      </c>
      <c r="X2286" s="5">
        <f t="shared" si="322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18"/>
        <v>0</v>
      </c>
      <c r="AJ2286" s="2">
        <f t="shared" si="319"/>
        <v>0</v>
      </c>
      <c r="AK2286" s="2">
        <f t="shared" si="320"/>
        <v>7.5654000000000003</v>
      </c>
      <c r="AL2286" s="5">
        <f t="shared" si="321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23"/>
        <v>19.2</v>
      </c>
      <c r="W2287" s="2">
        <f>10.5267*S2287</f>
        <v>10.5267</v>
      </c>
      <c r="X2287" s="5">
        <f t="shared" si="322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18"/>
        <v>0</v>
      </c>
      <c r="AJ2287" s="2">
        <f t="shared" si="319"/>
        <v>0</v>
      </c>
      <c r="AK2287" s="2">
        <f t="shared" si="320"/>
        <v>8.6732999999999993</v>
      </c>
      <c r="AL2287" s="5">
        <f t="shared" si="321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23"/>
        <v>22.2</v>
      </c>
      <c r="W2288" s="2">
        <f>12.2604*S2288</f>
        <v>12.260400000000001</v>
      </c>
      <c r="X2288" s="5">
        <f t="shared" si="322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18"/>
        <v>0</v>
      </c>
      <c r="AJ2288" s="2">
        <f t="shared" si="319"/>
        <v>0</v>
      </c>
      <c r="AK2288" s="2">
        <f t="shared" si="320"/>
        <v>9.9395999999999987</v>
      </c>
      <c r="AL2288" s="5">
        <f t="shared" si="321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23"/>
        <v>105</v>
      </c>
      <c r="W2289" s="2">
        <f>0.082*S2289</f>
        <v>82</v>
      </c>
      <c r="X2289" s="5">
        <f t="shared" si="322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18"/>
        <v>0</v>
      </c>
      <c r="AG2289" s="2">
        <v>8.1999999999999993</v>
      </c>
      <c r="AH2289" s="2">
        <v>13</v>
      </c>
      <c r="AJ2289" s="2">
        <f t="shared" si="319"/>
        <v>0</v>
      </c>
      <c r="AK2289" s="2">
        <f t="shared" si="320"/>
        <v>23</v>
      </c>
      <c r="AL2289" s="5">
        <f t="shared" si="321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23"/>
        <v>24</v>
      </c>
      <c r="W2290" s="2">
        <f>11*S2290</f>
        <v>11</v>
      </c>
      <c r="X2290" s="5">
        <f t="shared" si="322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18"/>
        <v>0</v>
      </c>
      <c r="AJ2290" s="2">
        <f t="shared" si="319"/>
        <v>0</v>
      </c>
      <c r="AK2290" s="2">
        <f t="shared" si="320"/>
        <v>13</v>
      </c>
      <c r="AL2290" s="5">
        <f t="shared" si="321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23"/>
        <v>26.4</v>
      </c>
      <c r="W2291" s="2">
        <f>15.0203*S2291</f>
        <v>15.020300000000001</v>
      </c>
      <c r="X2291" s="5">
        <f t="shared" si="322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18"/>
        <v>0</v>
      </c>
      <c r="AG2291" s="2">
        <v>15.020300000000001</v>
      </c>
      <c r="AH2291" s="2">
        <v>27.6</v>
      </c>
      <c r="AJ2291" s="2">
        <f t="shared" si="319"/>
        <v>0</v>
      </c>
      <c r="AK2291" s="2">
        <f t="shared" si="320"/>
        <v>11.379699999999998</v>
      </c>
      <c r="AL2291" s="5">
        <f t="shared" si="321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23"/>
        <v>10.199999999999999</v>
      </c>
      <c r="W2292" s="2">
        <v>6.86</v>
      </c>
      <c r="X2292" s="5">
        <f t="shared" si="322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18"/>
        <v>0</v>
      </c>
      <c r="AJ2292" s="2">
        <f t="shared" si="319"/>
        <v>0</v>
      </c>
      <c r="AK2292" s="2">
        <f t="shared" ref="AK2292:AK2323" si="324">T2292-W2292</f>
        <v>3.339999999999999</v>
      </c>
      <c r="AL2292" s="5">
        <f t="shared" ref="AL2292:AL2323" si="325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23"/>
        <v>6</v>
      </c>
      <c r="W2293" s="2">
        <v>2.94</v>
      </c>
      <c r="X2293" s="5">
        <f t="shared" si="322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18"/>
        <v>0</v>
      </c>
      <c r="AJ2293" s="2">
        <f t="shared" si="319"/>
        <v>0</v>
      </c>
      <c r="AK2293" s="2">
        <f t="shared" si="324"/>
        <v>3.06</v>
      </c>
      <c r="AL2293" s="5">
        <f t="shared" si="325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26">(T2294-W2294)/T2294</f>
        <v>1</v>
      </c>
      <c r="Z2294" s="2" t="s">
        <v>3226</v>
      </c>
      <c r="AF2294" s="2">
        <f t="shared" si="318"/>
        <v>0</v>
      </c>
      <c r="AJ2294" s="2">
        <f t="shared" si="319"/>
        <v>0</v>
      </c>
      <c r="AK2294" s="2">
        <f t="shared" si="324"/>
        <v>30</v>
      </c>
      <c r="AL2294" s="5">
        <f t="shared" si="325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26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3331</v>
      </c>
      <c r="AF2295" s="2">
        <f t="shared" si="318"/>
        <v>0</v>
      </c>
      <c r="AJ2295" s="2">
        <f t="shared" si="319"/>
        <v>0</v>
      </c>
      <c r="AK2295" s="2">
        <f t="shared" si="324"/>
        <v>7.8000000000000043</v>
      </c>
      <c r="AL2295" s="5">
        <f t="shared" si="325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26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3331</v>
      </c>
      <c r="AF2296" s="2">
        <f t="shared" si="318"/>
        <v>0</v>
      </c>
      <c r="AJ2296" s="2">
        <f t="shared" si="319"/>
        <v>0</v>
      </c>
      <c r="AK2296" s="2">
        <f t="shared" si="324"/>
        <v>7.8000000000000043</v>
      </c>
      <c r="AL2296" s="5">
        <f t="shared" si="325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26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18"/>
        <v>0</v>
      </c>
      <c r="AG2297" s="2">
        <v>9.3000000000000007</v>
      </c>
      <c r="AH2297" s="2">
        <v>21</v>
      </c>
      <c r="AJ2297" s="2">
        <f t="shared" si="319"/>
        <v>0</v>
      </c>
      <c r="AK2297" s="2">
        <f t="shared" si="324"/>
        <v>18.600000000000001</v>
      </c>
      <c r="AL2297" s="5">
        <f t="shared" si="325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26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18"/>
        <v>0</v>
      </c>
      <c r="AJ2298" s="2">
        <f t="shared" si="319"/>
        <v>0</v>
      </c>
      <c r="AK2298" s="2">
        <f t="shared" si="324"/>
        <v>11.2</v>
      </c>
      <c r="AL2298" s="5">
        <f t="shared" si="325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26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18"/>
        <v>0</v>
      </c>
      <c r="AG2299" s="2">
        <v>3.7357999999999998</v>
      </c>
      <c r="AH2299" s="2">
        <v>9</v>
      </c>
      <c r="AJ2299" s="2">
        <f t="shared" si="319"/>
        <v>0</v>
      </c>
      <c r="AK2299" s="2">
        <f t="shared" si="324"/>
        <v>12.192599999999999</v>
      </c>
      <c r="AL2299" s="5">
        <f t="shared" si="325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26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18"/>
        <v>0</v>
      </c>
      <c r="AG2300" s="2">
        <v>10.6</v>
      </c>
      <c r="AH2300" s="2">
        <v>18</v>
      </c>
      <c r="AJ2300" s="2">
        <f t="shared" si="319"/>
        <v>0</v>
      </c>
      <c r="AK2300" s="2">
        <f t="shared" si="324"/>
        <v>52</v>
      </c>
      <c r="AL2300" s="5">
        <f t="shared" si="325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26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18"/>
        <v>0</v>
      </c>
      <c r="AG2301" s="2">
        <v>113.33</v>
      </c>
      <c r="AH2301" s="2">
        <v>220</v>
      </c>
      <c r="AJ2301" s="2">
        <f t="shared" si="319"/>
        <v>0</v>
      </c>
      <c r="AK2301" s="2">
        <f t="shared" si="324"/>
        <v>145.69</v>
      </c>
      <c r="AL2301" s="5">
        <f t="shared" si="325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26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18"/>
        <v>0</v>
      </c>
      <c r="AJ2302" s="2">
        <f t="shared" si="319"/>
        <v>0</v>
      </c>
      <c r="AK2302" s="2">
        <f t="shared" si="324"/>
        <v>226.87</v>
      </c>
      <c r="AL2302" s="5">
        <f t="shared" si="325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3385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26"/>
        <v>0</v>
      </c>
      <c r="Z2303" s="2" t="s">
        <v>3226</v>
      </c>
      <c r="AA2303" s="2" t="s">
        <v>2167</v>
      </c>
      <c r="AB2303" s="2" t="s">
        <v>2247</v>
      </c>
      <c r="AC2303" s="2" t="s">
        <v>3385</v>
      </c>
      <c r="AF2303" s="2">
        <f t="shared" si="318"/>
        <v>0</v>
      </c>
      <c r="AJ2303" s="2">
        <f t="shared" si="319"/>
        <v>0</v>
      </c>
      <c r="AK2303" s="2">
        <f t="shared" si="324"/>
        <v>0</v>
      </c>
      <c r="AL2303" s="5">
        <f t="shared" si="325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3386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26"/>
        <v>0</v>
      </c>
      <c r="Z2304" s="2" t="s">
        <v>3226</v>
      </c>
      <c r="AA2304" s="2" t="s">
        <v>1041</v>
      </c>
      <c r="AB2304" s="2" t="s">
        <v>1270</v>
      </c>
      <c r="AC2304" s="2" t="s">
        <v>3386</v>
      </c>
      <c r="AF2304" s="2">
        <f t="shared" si="318"/>
        <v>0</v>
      </c>
      <c r="AJ2304" s="2">
        <f t="shared" si="319"/>
        <v>0</v>
      </c>
      <c r="AK2304" s="2">
        <f t="shared" si="324"/>
        <v>0</v>
      </c>
      <c r="AL2304" s="5">
        <f t="shared" si="325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3386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26"/>
        <v>0</v>
      </c>
      <c r="Z2305" s="2" t="s">
        <v>3226</v>
      </c>
      <c r="AA2305" s="2" t="s">
        <v>1041</v>
      </c>
      <c r="AB2305" s="2" t="s">
        <v>1270</v>
      </c>
      <c r="AC2305" s="2" t="s">
        <v>3386</v>
      </c>
      <c r="AF2305" s="2">
        <f t="shared" si="318"/>
        <v>0</v>
      </c>
      <c r="AJ2305" s="2">
        <f t="shared" si="319"/>
        <v>0</v>
      </c>
      <c r="AK2305" s="2">
        <f t="shared" si="324"/>
        <v>0</v>
      </c>
      <c r="AL2305" s="5">
        <f t="shared" si="325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3386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26"/>
        <v>0</v>
      </c>
      <c r="Z2306" s="2" t="s">
        <v>3226</v>
      </c>
      <c r="AA2306" s="2" t="s">
        <v>1041</v>
      </c>
      <c r="AB2306" s="2" t="s">
        <v>1270</v>
      </c>
      <c r="AC2306" s="2" t="s">
        <v>3386</v>
      </c>
      <c r="AF2306" s="2">
        <f t="shared" ref="AF2306:AF2369" si="327">AJ2306</f>
        <v>0</v>
      </c>
      <c r="AJ2306" s="2">
        <f t="shared" ref="AJ2306:AJ2369" si="328">AI2306*T2306</f>
        <v>0</v>
      </c>
      <c r="AK2306" s="2">
        <f t="shared" si="324"/>
        <v>0</v>
      </c>
      <c r="AL2306" s="5">
        <f t="shared" si="325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3385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26"/>
        <v>0</v>
      </c>
      <c r="Z2307" s="2" t="s">
        <v>3226</v>
      </c>
      <c r="AA2307" s="2" t="s">
        <v>2167</v>
      </c>
      <c r="AB2307" s="2" t="s">
        <v>2247</v>
      </c>
      <c r="AC2307" s="2" t="s">
        <v>3385</v>
      </c>
      <c r="AF2307" s="2">
        <f t="shared" si="327"/>
        <v>0</v>
      </c>
      <c r="AJ2307" s="2">
        <f t="shared" si="328"/>
        <v>0</v>
      </c>
      <c r="AK2307" s="2">
        <f t="shared" si="324"/>
        <v>0</v>
      </c>
      <c r="AL2307" s="5">
        <f t="shared" si="325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26"/>
        <v>0.23333333333333334</v>
      </c>
      <c r="Z2308" s="2" t="s">
        <v>169</v>
      </c>
      <c r="AA2308" s="2" t="s">
        <v>169</v>
      </c>
      <c r="AF2308" s="2">
        <f t="shared" si="327"/>
        <v>0</v>
      </c>
      <c r="AJ2308" s="2">
        <f t="shared" si="328"/>
        <v>0</v>
      </c>
      <c r="AK2308" s="2">
        <f t="shared" si="324"/>
        <v>7</v>
      </c>
      <c r="AL2308" s="5">
        <f t="shared" si="325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26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27"/>
        <v>0</v>
      </c>
      <c r="AJ2309" s="2">
        <f t="shared" si="328"/>
        <v>0</v>
      </c>
      <c r="AK2309" s="2">
        <f t="shared" si="324"/>
        <v>0</v>
      </c>
      <c r="AL2309" s="5">
        <f t="shared" si="325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26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27"/>
        <v>0</v>
      </c>
      <c r="AJ2310" s="2">
        <f t="shared" si="328"/>
        <v>0</v>
      </c>
      <c r="AK2310" s="2">
        <f t="shared" si="324"/>
        <v>545.75549999999998</v>
      </c>
      <c r="AL2310" s="5">
        <f t="shared" si="325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26"/>
        <v>1</v>
      </c>
      <c r="Z2311" s="2" t="s">
        <v>104</v>
      </c>
      <c r="AA2311" s="2" t="s">
        <v>616</v>
      </c>
      <c r="AC2311" s="2" t="s">
        <v>114</v>
      </c>
      <c r="AF2311" s="2">
        <f t="shared" si="327"/>
        <v>0</v>
      </c>
      <c r="AJ2311" s="2">
        <f t="shared" si="328"/>
        <v>0</v>
      </c>
      <c r="AK2311" s="2">
        <f t="shared" si="324"/>
        <v>4599</v>
      </c>
      <c r="AL2311" s="5">
        <f t="shared" si="325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26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27"/>
        <v>0</v>
      </c>
      <c r="AJ2312" s="2">
        <f t="shared" si="328"/>
        <v>0</v>
      </c>
      <c r="AK2312" s="2">
        <f t="shared" si="324"/>
        <v>754.875</v>
      </c>
      <c r="AL2312" s="5">
        <f t="shared" si="325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26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27"/>
        <v>0</v>
      </c>
      <c r="AJ2313" s="2">
        <f t="shared" si="328"/>
        <v>0</v>
      </c>
      <c r="AK2313" s="2">
        <f t="shared" si="324"/>
        <v>2100</v>
      </c>
      <c r="AL2313" s="5">
        <f t="shared" si="325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26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27"/>
        <v>0</v>
      </c>
      <c r="AJ2314" s="2">
        <f t="shared" si="328"/>
        <v>0</v>
      </c>
      <c r="AK2314" s="2">
        <f t="shared" si="324"/>
        <v>2750</v>
      </c>
      <c r="AL2314" s="5">
        <f t="shared" si="325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26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27"/>
        <v>0</v>
      </c>
      <c r="AJ2315" s="2">
        <f t="shared" si="328"/>
        <v>0</v>
      </c>
      <c r="AK2315" s="2">
        <f t="shared" si="324"/>
        <v>214.07</v>
      </c>
      <c r="AL2315" s="5">
        <f t="shared" si="325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26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27"/>
        <v>0</v>
      </c>
      <c r="AJ2316" s="2">
        <f t="shared" si="328"/>
        <v>0</v>
      </c>
      <c r="AK2316" s="2">
        <f t="shared" si="324"/>
        <v>252.82999999999998</v>
      </c>
      <c r="AL2316" s="5">
        <f t="shared" si="325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26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27"/>
        <v>0</v>
      </c>
      <c r="AJ2317" s="2">
        <f t="shared" si="328"/>
        <v>0</v>
      </c>
      <c r="AK2317" s="2">
        <f t="shared" si="324"/>
        <v>50.82</v>
      </c>
      <c r="AL2317" s="5">
        <f t="shared" si="325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26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27"/>
        <v>0</v>
      </c>
      <c r="AJ2318" s="2">
        <f t="shared" si="328"/>
        <v>0</v>
      </c>
      <c r="AK2318" s="2">
        <f t="shared" si="324"/>
        <v>17.5</v>
      </c>
      <c r="AL2318" s="5">
        <f t="shared" si="325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26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27"/>
        <v>0</v>
      </c>
      <c r="AJ2319" s="2">
        <f t="shared" si="328"/>
        <v>0</v>
      </c>
      <c r="AK2319" s="2">
        <f t="shared" si="324"/>
        <v>246.74660000000006</v>
      </c>
      <c r="AL2319" s="5">
        <f t="shared" si="325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26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27"/>
        <v>0</v>
      </c>
      <c r="AJ2320" s="2">
        <f t="shared" si="328"/>
        <v>0</v>
      </c>
      <c r="AK2320" s="2">
        <f t="shared" si="324"/>
        <v>30</v>
      </c>
      <c r="AL2320" s="5">
        <f t="shared" si="325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26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27"/>
        <v>0</v>
      </c>
      <c r="AJ2321" s="2">
        <f t="shared" si="328"/>
        <v>0</v>
      </c>
      <c r="AK2321" s="2">
        <f t="shared" si="324"/>
        <v>25</v>
      </c>
      <c r="AL2321" s="5">
        <f t="shared" si="325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326"/>
        <v>1</v>
      </c>
      <c r="Z2322" s="2" t="s">
        <v>119</v>
      </c>
      <c r="AA2322" s="2" t="s">
        <v>3379</v>
      </c>
      <c r="AF2322" s="2">
        <f t="shared" si="327"/>
        <v>0</v>
      </c>
      <c r="AJ2322" s="2">
        <f t="shared" si="328"/>
        <v>0</v>
      </c>
      <c r="AK2322" s="2">
        <f t="shared" si="324"/>
        <v>297</v>
      </c>
      <c r="AL2322" s="5">
        <f t="shared" si="325"/>
        <v>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26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27"/>
        <v>0</v>
      </c>
      <c r="AJ2323" s="2">
        <f t="shared" si="328"/>
        <v>0</v>
      </c>
      <c r="AK2323" s="2">
        <f t="shared" si="324"/>
        <v>111.6</v>
      </c>
      <c r="AL2323" s="5">
        <f t="shared" si="325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26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27"/>
        <v>0</v>
      </c>
      <c r="AJ2324" s="2">
        <f t="shared" si="328"/>
        <v>0</v>
      </c>
      <c r="AK2324" s="2">
        <f t="shared" ref="AK2324:AK2350" si="329">T2324-W2324</f>
        <v>25</v>
      </c>
      <c r="AL2324" s="5">
        <f t="shared" ref="AL2324:AL2334" si="330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26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27"/>
        <v>0</v>
      </c>
      <c r="AJ2325" s="2">
        <f t="shared" si="328"/>
        <v>0</v>
      </c>
      <c r="AK2325" s="2">
        <f t="shared" si="329"/>
        <v>273.13</v>
      </c>
      <c r="AL2325" s="5">
        <f t="shared" si="330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31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27"/>
        <v>0</v>
      </c>
      <c r="AG2326" s="2">
        <v>42.23</v>
      </c>
      <c r="AJ2326" s="2">
        <f t="shared" si="328"/>
        <v>0</v>
      </c>
      <c r="AK2326" s="2">
        <f t="shared" si="329"/>
        <v>12.900000000000006</v>
      </c>
      <c r="AL2326" s="5">
        <f t="shared" si="330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31"/>
        <v>0.53835775587452683</v>
      </c>
      <c r="Z2327" s="2" t="s">
        <v>117</v>
      </c>
      <c r="AA2327" s="2" t="s">
        <v>118</v>
      </c>
      <c r="AF2327" s="2">
        <f t="shared" si="327"/>
        <v>0</v>
      </c>
      <c r="AJ2327" s="2">
        <f t="shared" si="328"/>
        <v>0</v>
      </c>
      <c r="AK2327" s="2">
        <f t="shared" si="329"/>
        <v>1005.55</v>
      </c>
      <c r="AL2327" s="5">
        <f t="shared" si="330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31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27"/>
        <v>0</v>
      </c>
      <c r="AJ2328" s="2">
        <f t="shared" si="328"/>
        <v>0</v>
      </c>
      <c r="AK2328" s="2">
        <f t="shared" si="329"/>
        <v>1389.62</v>
      </c>
      <c r="AL2328" s="5">
        <f t="shared" si="330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31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27"/>
        <v>0</v>
      </c>
      <c r="AJ2329" s="2">
        <f t="shared" si="328"/>
        <v>0</v>
      </c>
      <c r="AK2329" s="2">
        <f t="shared" si="329"/>
        <v>6.0632000000000001</v>
      </c>
      <c r="AL2329" s="5">
        <f t="shared" si="330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31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27"/>
        <v>0</v>
      </c>
      <c r="AG2330" s="2">
        <v>10.2346</v>
      </c>
      <c r="AH2330" s="2">
        <v>18</v>
      </c>
      <c r="AJ2330" s="2">
        <f t="shared" si="328"/>
        <v>0</v>
      </c>
      <c r="AK2330" s="2">
        <f t="shared" si="329"/>
        <v>9.5999999999999979</v>
      </c>
      <c r="AL2330" s="5">
        <f t="shared" si="330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31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27"/>
        <v>0</v>
      </c>
      <c r="AJ2331" s="2">
        <f t="shared" si="328"/>
        <v>0</v>
      </c>
      <c r="AK2331" s="2">
        <f t="shared" si="329"/>
        <v>22.4</v>
      </c>
      <c r="AL2331" s="5">
        <f t="shared" si="330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31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27"/>
        <v>0</v>
      </c>
      <c r="AJ2332" s="2">
        <f t="shared" si="328"/>
        <v>0</v>
      </c>
      <c r="AK2332" s="2">
        <f t="shared" si="329"/>
        <v>14.399999999999999</v>
      </c>
      <c r="AL2332" s="5">
        <f t="shared" si="330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31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27"/>
        <v>0</v>
      </c>
      <c r="AJ2333" s="2">
        <f t="shared" si="328"/>
        <v>0</v>
      </c>
      <c r="AK2333" s="2">
        <f t="shared" si="329"/>
        <v>47.4</v>
      </c>
      <c r="AL2333" s="5">
        <f t="shared" si="330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31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27"/>
        <v>0</v>
      </c>
      <c r="AJ2334" s="2">
        <f t="shared" si="328"/>
        <v>0</v>
      </c>
      <c r="AK2334" s="2">
        <f t="shared" si="329"/>
        <v>50</v>
      </c>
      <c r="AL2334" s="5">
        <f t="shared" si="330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27"/>
        <v>0</v>
      </c>
      <c r="AJ2335" s="2">
        <f t="shared" si="328"/>
        <v>0</v>
      </c>
      <c r="AK2335" s="2">
        <f t="shared" si="329"/>
        <v>0</v>
      </c>
      <c r="AL2335" s="5">
        <v>-1</v>
      </c>
    </row>
    <row r="2336" spans="1:38" x14ac:dyDescent="0.2">
      <c r="A2336" s="2">
        <v>2025</v>
      </c>
      <c r="B2336" s="2">
        <v>12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32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27"/>
        <v>0</v>
      </c>
      <c r="AG2336" s="2">
        <v>3.7555999999999998</v>
      </c>
      <c r="AH2336" s="2">
        <v>7.2</v>
      </c>
      <c r="AJ2336" s="2">
        <f t="shared" si="328"/>
        <v>0</v>
      </c>
      <c r="AK2336" s="2">
        <f t="shared" si="329"/>
        <v>34.132800000000003</v>
      </c>
      <c r="AL2336" s="5">
        <f t="shared" ref="AL2336:AL2350" si="333">(T2336-W2336)/T2336</f>
        <v>0.430969696969697</v>
      </c>
    </row>
    <row r="2337" spans="1:38" x14ac:dyDescent="0.2">
      <c r="A2337" s="2">
        <v>2025</v>
      </c>
      <c r="B2337" s="2">
        <v>12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32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27"/>
        <v>0</v>
      </c>
      <c r="AG2337" s="2">
        <v>0.85609999999999997</v>
      </c>
      <c r="AH2337" s="2">
        <v>1.8</v>
      </c>
      <c r="AJ2337" s="2">
        <f t="shared" si="328"/>
        <v>0</v>
      </c>
      <c r="AK2337" s="2">
        <f t="shared" si="329"/>
        <v>11.326800000000002</v>
      </c>
      <c r="AL2337" s="5">
        <f t="shared" si="333"/>
        <v>0.5243888888888889</v>
      </c>
    </row>
    <row r="2338" spans="1:38" x14ac:dyDescent="0.2">
      <c r="A2338" s="2">
        <v>2025</v>
      </c>
      <c r="B2338" s="2">
        <v>12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32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27"/>
        <v>0</v>
      </c>
      <c r="AG2338" s="2">
        <v>1.1122000000000001</v>
      </c>
      <c r="AH2338" s="2">
        <v>3</v>
      </c>
      <c r="AJ2338" s="2">
        <f t="shared" si="328"/>
        <v>0</v>
      </c>
      <c r="AK2338" s="2">
        <f t="shared" si="329"/>
        <v>18.878</v>
      </c>
      <c r="AL2338" s="5">
        <f t="shared" si="333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32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27"/>
        <v>0</v>
      </c>
      <c r="AJ2339" s="2">
        <f t="shared" si="328"/>
        <v>0</v>
      </c>
      <c r="AK2339" s="2">
        <f t="shared" si="329"/>
        <v>33.33</v>
      </c>
      <c r="AL2339" s="5">
        <f t="shared" si="333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32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27"/>
        <v>0</v>
      </c>
      <c r="AJ2340" s="2">
        <f t="shared" si="328"/>
        <v>0</v>
      </c>
      <c r="AK2340" s="2">
        <f t="shared" si="329"/>
        <v>36.599999999999994</v>
      </c>
      <c r="AL2340" s="5">
        <f t="shared" si="333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32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27"/>
        <v>0</v>
      </c>
      <c r="AJ2341" s="2">
        <f t="shared" si="328"/>
        <v>0</v>
      </c>
      <c r="AK2341" s="2">
        <f t="shared" si="329"/>
        <v>62.5</v>
      </c>
      <c r="AL2341" s="5">
        <f t="shared" si="333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32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27"/>
        <v>0</v>
      </c>
      <c r="AJ2342" s="2">
        <f t="shared" si="328"/>
        <v>0</v>
      </c>
      <c r="AK2342" s="2">
        <f t="shared" si="329"/>
        <v>42.599999999999994</v>
      </c>
      <c r="AL2342" s="5">
        <f t="shared" si="333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32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27"/>
        <v>0</v>
      </c>
      <c r="AJ2343" s="2">
        <f t="shared" si="328"/>
        <v>0</v>
      </c>
      <c r="AK2343" s="2">
        <f t="shared" si="329"/>
        <v>25</v>
      </c>
      <c r="AL2343" s="5">
        <f t="shared" si="333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32"/>
        <v>1</v>
      </c>
      <c r="Z2344" s="2" t="s">
        <v>117</v>
      </c>
      <c r="AA2344" s="2" t="s">
        <v>1310</v>
      </c>
      <c r="AF2344" s="2">
        <f t="shared" si="327"/>
        <v>0</v>
      </c>
      <c r="AJ2344" s="2">
        <f t="shared" si="328"/>
        <v>0</v>
      </c>
      <c r="AK2344" s="2">
        <f t="shared" si="329"/>
        <v>45</v>
      </c>
      <c r="AL2344" s="5">
        <f t="shared" si="333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32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27"/>
        <v>0</v>
      </c>
      <c r="AG2345" s="2">
        <v>18.934200000000001</v>
      </c>
      <c r="AH2345" s="2">
        <v>29</v>
      </c>
      <c r="AJ2345" s="2">
        <f t="shared" si="328"/>
        <v>0</v>
      </c>
      <c r="AK2345" s="2">
        <f t="shared" si="329"/>
        <v>44.263199999999998</v>
      </c>
      <c r="AL2345" s="5">
        <f t="shared" si="333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32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27"/>
        <v>0</v>
      </c>
      <c r="AJ2346" s="2">
        <f t="shared" si="328"/>
        <v>0</v>
      </c>
      <c r="AK2346" s="2">
        <f t="shared" si="329"/>
        <v>34.799999999999997</v>
      </c>
      <c r="AL2346" s="5">
        <f t="shared" si="333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32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27"/>
        <v>0</v>
      </c>
      <c r="AJ2347" s="2">
        <f t="shared" si="328"/>
        <v>0</v>
      </c>
      <c r="AK2347" s="2">
        <f t="shared" si="329"/>
        <v>18.75</v>
      </c>
      <c r="AL2347" s="5">
        <f t="shared" si="333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32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27"/>
        <v>0</v>
      </c>
      <c r="AG2348" s="2">
        <v>1.4114</v>
      </c>
      <c r="AH2348" s="2">
        <v>3</v>
      </c>
      <c r="AJ2348" s="2">
        <f t="shared" si="328"/>
        <v>0</v>
      </c>
      <c r="AK2348" s="2">
        <f t="shared" si="329"/>
        <v>3.9543999999999997</v>
      </c>
      <c r="AL2348" s="5">
        <f t="shared" si="333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32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27"/>
        <v>0</v>
      </c>
      <c r="AG2349" s="2">
        <v>1.2190000000000001</v>
      </c>
      <c r="AH2349" s="2">
        <v>3</v>
      </c>
      <c r="AJ2349" s="2">
        <f t="shared" si="328"/>
        <v>0</v>
      </c>
      <c r="AK2349" s="2">
        <f t="shared" si="329"/>
        <v>4.7239999999999993</v>
      </c>
      <c r="AL2349" s="5">
        <f t="shared" si="333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332"/>
        <v>1</v>
      </c>
      <c r="Z2350" s="2" t="s">
        <v>119</v>
      </c>
      <c r="AA2350" s="2" t="s">
        <v>3379</v>
      </c>
      <c r="AF2350" s="2">
        <f t="shared" si="327"/>
        <v>0</v>
      </c>
      <c r="AJ2350" s="2">
        <f t="shared" si="328"/>
        <v>0</v>
      </c>
      <c r="AK2350" s="2">
        <f t="shared" si="329"/>
        <v>18.260000000000002</v>
      </c>
      <c r="AL2350" s="5">
        <f t="shared" si="333"/>
        <v>1</v>
      </c>
    </row>
    <row r="2351" spans="1:38" x14ac:dyDescent="0.2">
      <c r="A2351" s="2">
        <v>2025</v>
      </c>
      <c r="B2351" s="2">
        <v>12</v>
      </c>
      <c r="D2351" s="2" t="s">
        <v>2111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119</v>
      </c>
      <c r="AA2351" s="2" t="s">
        <v>3379</v>
      </c>
      <c r="AF2351" s="2">
        <f t="shared" si="327"/>
        <v>0</v>
      </c>
      <c r="AJ2351" s="2">
        <f t="shared" si="328"/>
        <v>0</v>
      </c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27"/>
        <v>0</v>
      </c>
      <c r="AJ2352" s="2">
        <f t="shared" si="328"/>
        <v>0</v>
      </c>
      <c r="AK2352" s="2">
        <f t="shared" ref="AK2352:AK2383" si="334">T2352-W2352</f>
        <v>58.949999999999996</v>
      </c>
      <c r="AL2352" s="5">
        <f t="shared" ref="AL2352:AL2377" si="335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27"/>
        <v>0</v>
      </c>
      <c r="AJ2353" s="2">
        <f t="shared" si="328"/>
        <v>0</v>
      </c>
      <c r="AK2353" s="2">
        <f t="shared" si="334"/>
        <v>16.875</v>
      </c>
      <c r="AL2353" s="5">
        <f t="shared" si="335"/>
        <v>0.5</v>
      </c>
    </row>
    <row r="2354" spans="1:38" x14ac:dyDescent="0.2">
      <c r="A2354" s="2">
        <v>2025</v>
      </c>
      <c r="B2354" s="2">
        <v>12</v>
      </c>
      <c r="D2354" s="2" t="s">
        <v>2113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X2354" s="5">
        <v>0</v>
      </c>
      <c r="AF2354" s="2">
        <f t="shared" si="327"/>
        <v>0</v>
      </c>
      <c r="AJ2354" s="2">
        <f t="shared" si="328"/>
        <v>0</v>
      </c>
      <c r="AK2354" s="2">
        <f t="shared" si="334"/>
        <v>0</v>
      </c>
      <c r="AL2354" s="5" t="e">
        <f t="shared" si="335"/>
        <v>#DIV/0!</v>
      </c>
    </row>
    <row r="2355" spans="1:38" x14ac:dyDescent="0.2">
      <c r="A2355" s="2">
        <v>2025</v>
      </c>
      <c r="B2355" s="2">
        <v>12</v>
      </c>
      <c r="D2355" s="2" t="s">
        <v>2113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ref="X2355:X2367" si="336">(T2355-W2355)/T2355</f>
        <v>1</v>
      </c>
      <c r="AF2355" s="2">
        <f t="shared" si="327"/>
        <v>0</v>
      </c>
      <c r="AJ2355" s="2">
        <f t="shared" si="328"/>
        <v>0</v>
      </c>
      <c r="AK2355" s="2">
        <f t="shared" si="334"/>
        <v>669.3</v>
      </c>
      <c r="AL2355" s="5">
        <f t="shared" si="335"/>
        <v>1</v>
      </c>
    </row>
    <row r="2356" spans="1:38" x14ac:dyDescent="0.2">
      <c r="A2356" s="2">
        <v>2025</v>
      </c>
      <c r="B2356" s="2">
        <v>12</v>
      </c>
      <c r="D2356" s="2" t="s">
        <v>2113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336"/>
        <v>1</v>
      </c>
      <c r="Z2356" s="2" t="s">
        <v>104</v>
      </c>
      <c r="AF2356" s="2">
        <f t="shared" si="327"/>
        <v>0</v>
      </c>
      <c r="AJ2356" s="2">
        <f t="shared" si="328"/>
        <v>0</v>
      </c>
      <c r="AK2356" s="2">
        <f t="shared" si="334"/>
        <v>11834</v>
      </c>
      <c r="AL2356" s="5">
        <f t="shared" si="335"/>
        <v>1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36"/>
        <v>#DIV/0!</v>
      </c>
      <c r="Z2357" s="2" t="s">
        <v>104</v>
      </c>
      <c r="AF2357" s="2">
        <f t="shared" si="327"/>
        <v>0</v>
      </c>
      <c r="AJ2357" s="2">
        <f t="shared" si="328"/>
        <v>0</v>
      </c>
      <c r="AK2357" s="2">
        <f t="shared" si="334"/>
        <v>0</v>
      </c>
      <c r="AL2357" s="5" t="e">
        <f t="shared" si="335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336"/>
        <v>1</v>
      </c>
      <c r="Z2358" s="2" t="s">
        <v>119</v>
      </c>
      <c r="AA2358" s="2" t="s">
        <v>3379</v>
      </c>
      <c r="AF2358" s="2">
        <f t="shared" si="327"/>
        <v>0</v>
      </c>
      <c r="AJ2358" s="2">
        <f t="shared" si="328"/>
        <v>0</v>
      </c>
      <c r="AK2358" s="2">
        <f t="shared" si="334"/>
        <v>5000</v>
      </c>
      <c r="AL2358" s="5">
        <f t="shared" si="335"/>
        <v>1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36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27"/>
        <v>0</v>
      </c>
      <c r="AJ2359" s="2">
        <f t="shared" si="328"/>
        <v>0</v>
      </c>
      <c r="AK2359" s="2">
        <f t="shared" si="334"/>
        <v>22.5</v>
      </c>
      <c r="AL2359" s="5">
        <f t="shared" si="335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36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27"/>
        <v>0</v>
      </c>
      <c r="AJ2360" s="2">
        <f t="shared" si="328"/>
        <v>0</v>
      </c>
      <c r="AK2360" s="2">
        <f t="shared" si="334"/>
        <v>18</v>
      </c>
      <c r="AL2360" s="5">
        <f t="shared" si="335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36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27"/>
        <v>0</v>
      </c>
      <c r="AJ2361" s="2">
        <f t="shared" si="328"/>
        <v>0</v>
      </c>
      <c r="AK2361" s="2">
        <f t="shared" si="334"/>
        <v>207.07439999999997</v>
      </c>
      <c r="AL2361" s="5">
        <f t="shared" si="335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36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27"/>
        <v>0</v>
      </c>
      <c r="AJ2362" s="2">
        <f t="shared" si="328"/>
        <v>0</v>
      </c>
      <c r="AK2362" s="2">
        <f t="shared" si="334"/>
        <v>193.57920000000001</v>
      </c>
      <c r="AL2362" s="5">
        <f t="shared" si="335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36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27"/>
        <v>0</v>
      </c>
      <c r="AJ2363" s="2">
        <f t="shared" si="328"/>
        <v>0</v>
      </c>
      <c r="AK2363" s="2">
        <f t="shared" si="334"/>
        <v>109</v>
      </c>
      <c r="AL2363" s="5">
        <f t="shared" si="335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36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27"/>
        <v>0</v>
      </c>
      <c r="AJ2364" s="2">
        <f t="shared" si="328"/>
        <v>0</v>
      </c>
      <c r="AK2364" s="2">
        <f t="shared" si="334"/>
        <v>4320.6000000000004</v>
      </c>
      <c r="AL2364" s="5">
        <f t="shared" si="335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36"/>
        <v>1</v>
      </c>
      <c r="Z2365" s="2" t="s">
        <v>3226</v>
      </c>
      <c r="AF2365" s="2">
        <f t="shared" si="327"/>
        <v>0</v>
      </c>
      <c r="AJ2365" s="2">
        <f t="shared" si="328"/>
        <v>0</v>
      </c>
      <c r="AK2365" s="2">
        <f t="shared" si="334"/>
        <v>239.8</v>
      </c>
      <c r="AL2365" s="5">
        <f t="shared" si="335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36"/>
        <v>1</v>
      </c>
      <c r="Z2366" s="2" t="s">
        <v>3226</v>
      </c>
      <c r="AF2366" s="2">
        <f t="shared" si="327"/>
        <v>0</v>
      </c>
      <c r="AJ2366" s="2">
        <f t="shared" si="328"/>
        <v>0</v>
      </c>
      <c r="AK2366" s="2">
        <f t="shared" si="334"/>
        <v>759</v>
      </c>
      <c r="AL2366" s="5">
        <f t="shared" si="335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36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27"/>
        <v>0</v>
      </c>
      <c r="AJ2367" s="2">
        <f t="shared" si="328"/>
        <v>0</v>
      </c>
      <c r="AK2367" s="2">
        <f t="shared" si="334"/>
        <v>960</v>
      </c>
      <c r="AL2367" s="5">
        <f t="shared" si="335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27"/>
        <v>0</v>
      </c>
      <c r="AJ2368" s="2">
        <f t="shared" si="328"/>
        <v>0</v>
      </c>
      <c r="AK2368" s="2">
        <f t="shared" si="334"/>
        <v>0</v>
      </c>
      <c r="AL2368" s="5" t="e">
        <f t="shared" si="335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37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27"/>
        <v>0</v>
      </c>
      <c r="AG2369" s="2">
        <v>0.85609999999999997</v>
      </c>
      <c r="AH2369" s="2">
        <v>1.8</v>
      </c>
      <c r="AJ2369" s="2">
        <f t="shared" si="328"/>
        <v>0</v>
      </c>
      <c r="AK2369" s="2">
        <f t="shared" si="334"/>
        <v>18.878</v>
      </c>
      <c r="AL2369" s="5">
        <f t="shared" si="335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37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38">AJ2370</f>
        <v>0</v>
      </c>
      <c r="AG2370" s="2">
        <v>15.020300000000001</v>
      </c>
      <c r="AH2370" s="2">
        <v>27.6</v>
      </c>
      <c r="AJ2370" s="2">
        <f t="shared" ref="AJ2370:AJ2433" si="339">AI2370*T2370</f>
        <v>0</v>
      </c>
      <c r="AK2370" s="2">
        <f t="shared" si="334"/>
        <v>31.918799999999997</v>
      </c>
      <c r="AL2370" s="5">
        <f t="shared" si="335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37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38"/>
        <v>0</v>
      </c>
      <c r="AG2371" s="2">
        <v>11.295</v>
      </c>
      <c r="AJ2371" s="2">
        <f t="shared" si="339"/>
        <v>0</v>
      </c>
      <c r="AK2371" s="2">
        <f t="shared" si="334"/>
        <v>18.704999999999998</v>
      </c>
      <c r="AL2371" s="5">
        <f t="shared" si="335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37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38"/>
        <v>0</v>
      </c>
      <c r="AG2372" s="2">
        <v>7.2217000000000002</v>
      </c>
      <c r="AH2372" s="2">
        <v>14.4</v>
      </c>
      <c r="AJ2372" s="2">
        <f t="shared" si="339"/>
        <v>0</v>
      </c>
      <c r="AK2372" s="2">
        <f t="shared" si="334"/>
        <v>5.9782999999999991</v>
      </c>
      <c r="AL2372" s="5">
        <f t="shared" si="335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37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38"/>
        <v>0</v>
      </c>
      <c r="AJ2373" s="2">
        <f t="shared" si="339"/>
        <v>0</v>
      </c>
      <c r="AK2373" s="2">
        <f t="shared" si="334"/>
        <v>10.593299999999999</v>
      </c>
      <c r="AL2373" s="5">
        <f t="shared" si="335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37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38"/>
        <v>0</v>
      </c>
      <c r="AJ2374" s="2">
        <f t="shared" si="339"/>
        <v>0</v>
      </c>
      <c r="AK2374" s="2">
        <f t="shared" si="334"/>
        <v>25.150199999999998</v>
      </c>
      <c r="AL2374" s="5">
        <f t="shared" si="335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37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38"/>
        <v>0</v>
      </c>
      <c r="AJ2375" s="2">
        <f t="shared" si="339"/>
        <v>0</v>
      </c>
      <c r="AK2375" s="2">
        <f t="shared" si="334"/>
        <v>15.130800000000001</v>
      </c>
      <c r="AL2375" s="5">
        <f t="shared" si="335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37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38"/>
        <v>0</v>
      </c>
      <c r="AG2376" s="2">
        <v>0.98</v>
      </c>
      <c r="AH2376" s="2">
        <v>3</v>
      </c>
      <c r="AJ2376" s="2">
        <f t="shared" si="339"/>
        <v>0</v>
      </c>
      <c r="AK2376" s="2">
        <f t="shared" si="334"/>
        <v>4.0199999999999996</v>
      </c>
      <c r="AL2376" s="5">
        <f t="shared" si="335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337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38"/>
        <v>0</v>
      </c>
      <c r="AG2377" s="2">
        <v>6.8949999999999996</v>
      </c>
      <c r="AJ2377" s="2">
        <f t="shared" si="339"/>
        <v>0</v>
      </c>
      <c r="AK2377" s="2">
        <f t="shared" si="334"/>
        <v>8.1050000000000004</v>
      </c>
      <c r="AL2377" s="5">
        <f t="shared" si="335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38"/>
        <v>0</v>
      </c>
      <c r="AJ2378" s="2">
        <f t="shared" si="339"/>
        <v>0</v>
      </c>
      <c r="AK2378" s="2">
        <f t="shared" si="334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38"/>
        <v>0</v>
      </c>
      <c r="AJ2379" s="2">
        <f t="shared" si="339"/>
        <v>0</v>
      </c>
      <c r="AK2379" s="2">
        <f t="shared" si="334"/>
        <v>12.5</v>
      </c>
      <c r="AL2379" s="5">
        <f t="shared" ref="AL2379:AL2393" si="340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38"/>
        <v>0</v>
      </c>
      <c r="AJ2380" s="2">
        <f t="shared" si="339"/>
        <v>0</v>
      </c>
      <c r="AK2380" s="2">
        <f t="shared" si="334"/>
        <v>2210</v>
      </c>
      <c r="AL2380" s="5">
        <f t="shared" si="340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38"/>
        <v>0</v>
      </c>
      <c r="AJ2381" s="2">
        <f t="shared" si="339"/>
        <v>0</v>
      </c>
      <c r="AK2381" s="2">
        <f t="shared" si="334"/>
        <v>0</v>
      </c>
      <c r="AL2381" s="5" t="e">
        <f t="shared" si="340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41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38"/>
        <v>0</v>
      </c>
      <c r="AG2382" s="2">
        <v>6.6266999999999996</v>
      </c>
      <c r="AH2382" s="2">
        <v>12</v>
      </c>
      <c r="AJ2382" s="2">
        <f t="shared" si="339"/>
        <v>0</v>
      </c>
      <c r="AK2382" s="2">
        <f t="shared" si="334"/>
        <v>6.3733000000000004</v>
      </c>
      <c r="AL2382" s="5">
        <f t="shared" si="340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41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38"/>
        <v>0</v>
      </c>
      <c r="AJ2383" s="2">
        <f t="shared" si="339"/>
        <v>0</v>
      </c>
      <c r="AK2383" s="2">
        <f t="shared" si="334"/>
        <v>4.0600000000000005</v>
      </c>
      <c r="AL2383" s="5">
        <f t="shared" si="340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41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38"/>
        <v>0</v>
      </c>
      <c r="AJ2384" s="2">
        <f t="shared" si="339"/>
        <v>0</v>
      </c>
      <c r="AK2384" s="2">
        <f t="shared" ref="AK2384:AK2415" si="342">T2384-W2384</f>
        <v>4.4948999999999995</v>
      </c>
      <c r="AL2384" s="5">
        <f t="shared" si="340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341"/>
        <v>1</v>
      </c>
      <c r="Z2385" s="2" t="s">
        <v>119</v>
      </c>
      <c r="AA2385" s="2" t="s">
        <v>3379</v>
      </c>
      <c r="AF2385" s="2">
        <f t="shared" si="338"/>
        <v>0</v>
      </c>
      <c r="AJ2385" s="2">
        <f t="shared" si="339"/>
        <v>0</v>
      </c>
      <c r="AK2385" s="2">
        <f t="shared" si="342"/>
        <v>440</v>
      </c>
      <c r="AL2385" s="5">
        <f t="shared" si="340"/>
        <v>1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41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38"/>
        <v>0</v>
      </c>
      <c r="AJ2386" s="2">
        <f t="shared" si="339"/>
        <v>0</v>
      </c>
      <c r="AK2386" s="2">
        <f t="shared" si="342"/>
        <v>102</v>
      </c>
      <c r="AL2386" s="5">
        <f t="shared" si="340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41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38"/>
        <v>0</v>
      </c>
      <c r="AJ2387" s="2">
        <f t="shared" si="339"/>
        <v>0</v>
      </c>
      <c r="AK2387" s="2">
        <f t="shared" si="342"/>
        <v>18.75</v>
      </c>
      <c r="AL2387" s="5">
        <f t="shared" si="340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41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38"/>
        <v>0</v>
      </c>
      <c r="AJ2388" s="2">
        <f t="shared" si="339"/>
        <v>0</v>
      </c>
      <c r="AK2388" s="2">
        <f t="shared" si="342"/>
        <v>110.39999999999999</v>
      </c>
      <c r="AL2388" s="5">
        <f t="shared" si="340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41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38"/>
        <v>0</v>
      </c>
      <c r="AJ2389" s="2">
        <f t="shared" si="339"/>
        <v>0</v>
      </c>
      <c r="AK2389" s="2">
        <f t="shared" si="342"/>
        <v>62.5</v>
      </c>
      <c r="AL2389" s="5">
        <f t="shared" si="340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41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38"/>
        <v>0</v>
      </c>
      <c r="AJ2390" s="2">
        <f t="shared" si="339"/>
        <v>0</v>
      </c>
      <c r="AK2390" s="2">
        <f t="shared" si="342"/>
        <v>57</v>
      </c>
      <c r="AL2390" s="5">
        <f t="shared" si="340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41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38"/>
        <v>0</v>
      </c>
      <c r="AJ2391" s="2">
        <f t="shared" si="339"/>
        <v>0</v>
      </c>
      <c r="AK2391" s="2">
        <f t="shared" si="342"/>
        <v>25</v>
      </c>
      <c r="AL2391" s="5">
        <f t="shared" si="340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341"/>
        <v>1</v>
      </c>
      <c r="Z2392" s="2" t="s">
        <v>119</v>
      </c>
      <c r="AA2392" s="2" t="s">
        <v>3379</v>
      </c>
      <c r="AF2392" s="2">
        <f t="shared" si="338"/>
        <v>0</v>
      </c>
      <c r="AJ2392" s="2">
        <f t="shared" si="339"/>
        <v>0</v>
      </c>
      <c r="AK2392" s="2">
        <f t="shared" si="342"/>
        <v>99.75</v>
      </c>
      <c r="AL2392" s="5">
        <f t="shared" si="340"/>
        <v>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41"/>
        <v>1</v>
      </c>
      <c r="Z2393" s="2" t="s">
        <v>117</v>
      </c>
      <c r="AA2393" s="2" t="s">
        <v>317</v>
      </c>
      <c r="AF2393" s="2">
        <f t="shared" si="338"/>
        <v>0</v>
      </c>
      <c r="AJ2393" s="2">
        <f t="shared" si="339"/>
        <v>0</v>
      </c>
      <c r="AK2393" s="2">
        <f t="shared" si="342"/>
        <v>723.1</v>
      </c>
      <c r="AL2393" s="5">
        <f t="shared" si="340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38"/>
        <v>0</v>
      </c>
      <c r="AJ2394" s="2">
        <f t="shared" si="339"/>
        <v>0</v>
      </c>
      <c r="AK2394" s="2">
        <f t="shared" si="342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43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38"/>
        <v>0</v>
      </c>
      <c r="AG2395" s="2">
        <v>117.453</v>
      </c>
      <c r="AH2395" s="2">
        <v>220</v>
      </c>
      <c r="AJ2395" s="2">
        <f t="shared" si="339"/>
        <v>0</v>
      </c>
      <c r="AK2395" s="2">
        <f t="shared" si="342"/>
        <v>102.547</v>
      </c>
      <c r="AL2395" s="5">
        <f t="shared" ref="AL2395:AL2426" si="344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43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38"/>
        <v>0</v>
      </c>
      <c r="AJ2396" s="2">
        <f t="shared" si="339"/>
        <v>0</v>
      </c>
      <c r="AK2396" s="2">
        <f t="shared" si="342"/>
        <v>0</v>
      </c>
      <c r="AL2396" s="5">
        <f t="shared" si="344"/>
        <v>0</v>
      </c>
    </row>
    <row r="2397" spans="1:38" x14ac:dyDescent="0.2">
      <c r="A2397" s="2">
        <v>2025</v>
      </c>
      <c r="B2397" s="2">
        <v>12</v>
      </c>
      <c r="C2397" s="2" t="s">
        <v>3492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43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38"/>
        <v>0</v>
      </c>
      <c r="AJ2397" s="2">
        <f t="shared" si="339"/>
        <v>0</v>
      </c>
      <c r="AK2397" s="2">
        <f t="shared" si="342"/>
        <v>25.908000000000001</v>
      </c>
      <c r="AL2397" s="5">
        <f t="shared" si="344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43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38"/>
        <v>0</v>
      </c>
      <c r="AG2398" s="2">
        <v>5.9066999999999998</v>
      </c>
      <c r="AH2398" s="2">
        <v>12.6</v>
      </c>
      <c r="AJ2398" s="2">
        <f t="shared" si="339"/>
        <v>0</v>
      </c>
      <c r="AK2398" s="2">
        <f t="shared" si="342"/>
        <v>5.4333</v>
      </c>
      <c r="AL2398" s="5">
        <f t="shared" si="344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43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38"/>
        <v>0</v>
      </c>
      <c r="AG2399" s="2">
        <v>11.045</v>
      </c>
      <c r="AJ2399" s="2">
        <f t="shared" si="339"/>
        <v>0</v>
      </c>
      <c r="AK2399" s="2">
        <f t="shared" si="342"/>
        <v>10.435</v>
      </c>
      <c r="AL2399" s="5">
        <f t="shared" si="344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43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38"/>
        <v>0</v>
      </c>
      <c r="AG2400" s="2">
        <v>10.6</v>
      </c>
      <c r="AH2400" s="2">
        <v>18</v>
      </c>
      <c r="AJ2400" s="2">
        <f t="shared" si="339"/>
        <v>0</v>
      </c>
      <c r="AK2400" s="2">
        <f t="shared" si="342"/>
        <v>64</v>
      </c>
      <c r="AL2400" s="5">
        <f t="shared" si="344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43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38"/>
        <v>0</v>
      </c>
      <c r="AG2401" s="2">
        <v>8.1999999999999993</v>
      </c>
      <c r="AH2401" s="2">
        <v>13</v>
      </c>
      <c r="AJ2401" s="2">
        <f t="shared" si="339"/>
        <v>0</v>
      </c>
      <c r="AK2401" s="2">
        <f t="shared" si="342"/>
        <v>19</v>
      </c>
      <c r="AL2401" s="5">
        <f t="shared" si="344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43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38"/>
        <v>0</v>
      </c>
      <c r="AG2402" s="2">
        <v>7.9611999999999998</v>
      </c>
      <c r="AH2402" s="2">
        <v>14.4</v>
      </c>
      <c r="AJ2402" s="2">
        <f t="shared" si="339"/>
        <v>0</v>
      </c>
      <c r="AK2402" s="2">
        <f t="shared" si="342"/>
        <v>6.5888000000000009</v>
      </c>
      <c r="AL2402" s="5">
        <f t="shared" si="344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43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38"/>
        <v>0</v>
      </c>
      <c r="AJ2403" s="2">
        <f t="shared" si="339"/>
        <v>0</v>
      </c>
      <c r="AK2403" s="2">
        <f t="shared" si="342"/>
        <v>164.39999999999998</v>
      </c>
      <c r="AL2403" s="5">
        <f t="shared" si="344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43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38"/>
        <v>0</v>
      </c>
      <c r="AJ2404" s="2">
        <f t="shared" si="339"/>
        <v>0</v>
      </c>
      <c r="AK2404" s="2">
        <f t="shared" si="342"/>
        <v>31.25</v>
      </c>
      <c r="AL2404" s="5">
        <f t="shared" si="344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43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38"/>
        <v>0</v>
      </c>
      <c r="AJ2405" s="2">
        <f t="shared" si="339"/>
        <v>0</v>
      </c>
      <c r="AK2405" s="2">
        <f t="shared" si="342"/>
        <v>354.09659999999997</v>
      </c>
      <c r="AL2405" s="5">
        <f t="shared" si="344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43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38"/>
        <v>0</v>
      </c>
      <c r="AJ2406" s="2">
        <f t="shared" si="339"/>
        <v>0</v>
      </c>
      <c r="AK2406" s="2">
        <f t="shared" si="342"/>
        <v>104.39999999999999</v>
      </c>
      <c r="AL2406" s="5">
        <f t="shared" si="344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43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38"/>
        <v>0</v>
      </c>
      <c r="AJ2407" s="2">
        <f t="shared" si="339"/>
        <v>0</v>
      </c>
      <c r="AK2407" s="2">
        <f t="shared" si="342"/>
        <v>50</v>
      </c>
      <c r="AL2407" s="5">
        <f t="shared" si="344"/>
        <v>0.5</v>
      </c>
    </row>
    <row r="2408" spans="1:38" x14ac:dyDescent="0.2">
      <c r="A2408" s="2">
        <v>2025</v>
      </c>
      <c r="B2408" s="2">
        <v>12</v>
      </c>
      <c r="C2408" s="2" t="s">
        <v>3442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43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38"/>
        <v>0</v>
      </c>
      <c r="AJ2408" s="2">
        <f t="shared" si="339"/>
        <v>0</v>
      </c>
      <c r="AK2408" s="2">
        <f t="shared" si="342"/>
        <v>3.4948999999999999</v>
      </c>
      <c r="AL2408" s="5">
        <f t="shared" si="344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43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38"/>
        <v>0</v>
      </c>
      <c r="AJ2409" s="2">
        <f t="shared" si="339"/>
        <v>0</v>
      </c>
      <c r="AK2409" s="2">
        <f t="shared" si="342"/>
        <v>30</v>
      </c>
      <c r="AL2409" s="5">
        <f t="shared" si="344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43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38"/>
        <v>0</v>
      </c>
      <c r="AJ2410" s="2">
        <f t="shared" si="339"/>
        <v>0</v>
      </c>
      <c r="AK2410" s="2">
        <f t="shared" si="342"/>
        <v>31.25</v>
      </c>
      <c r="AL2410" s="5">
        <f t="shared" si="344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43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38"/>
        <v>0</v>
      </c>
      <c r="AJ2411" s="2">
        <f t="shared" si="339"/>
        <v>0</v>
      </c>
      <c r="AK2411" s="2">
        <f t="shared" si="342"/>
        <v>25.908000000000001</v>
      </c>
      <c r="AL2411" s="5">
        <f t="shared" si="344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43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38"/>
        <v>0</v>
      </c>
      <c r="AG2412" s="2">
        <v>122.446</v>
      </c>
      <c r="AH2412" s="2">
        <v>230</v>
      </c>
      <c r="AJ2412" s="2">
        <f t="shared" si="339"/>
        <v>0</v>
      </c>
      <c r="AK2412" s="2">
        <f t="shared" si="342"/>
        <v>87.554000000000002</v>
      </c>
      <c r="AL2412" s="5">
        <f t="shared" si="344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43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38"/>
        <v>0</v>
      </c>
      <c r="AJ2413" s="2">
        <f t="shared" si="339"/>
        <v>0</v>
      </c>
      <c r="AK2413" s="2">
        <f t="shared" si="342"/>
        <v>88.84</v>
      </c>
      <c r="AL2413" s="5">
        <f t="shared" si="344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43"/>
        <v>0.25</v>
      </c>
      <c r="Z2414" s="2" t="s">
        <v>169</v>
      </c>
      <c r="AA2414" s="2" t="s">
        <v>169</v>
      </c>
      <c r="AF2414" s="2">
        <f t="shared" si="338"/>
        <v>0</v>
      </c>
      <c r="AJ2414" s="2">
        <f t="shared" si="339"/>
        <v>0</v>
      </c>
      <c r="AK2414" s="2">
        <f t="shared" si="342"/>
        <v>10</v>
      </c>
      <c r="AL2414" s="5">
        <f t="shared" si="344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43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38"/>
        <v>0</v>
      </c>
      <c r="AJ2415" s="2">
        <f t="shared" si="339"/>
        <v>0</v>
      </c>
      <c r="AK2415" s="2">
        <f t="shared" si="342"/>
        <v>0</v>
      </c>
      <c r="AL2415" s="5">
        <f t="shared" si="344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43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38"/>
        <v>0</v>
      </c>
      <c r="AG2416" s="2">
        <v>117.453</v>
      </c>
      <c r="AH2416" s="2">
        <v>220</v>
      </c>
      <c r="AJ2416" s="2">
        <f t="shared" si="339"/>
        <v>0</v>
      </c>
      <c r="AK2416" s="2">
        <f t="shared" ref="AK2416:AK2450" si="345">T2416-W2416</f>
        <v>102.547</v>
      </c>
      <c r="AL2416" s="5">
        <f t="shared" si="344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43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38"/>
        <v>0</v>
      </c>
      <c r="AJ2417" s="2">
        <f t="shared" si="339"/>
        <v>0</v>
      </c>
      <c r="AK2417" s="2">
        <f t="shared" si="345"/>
        <v>24.75</v>
      </c>
      <c r="AL2417" s="5">
        <f t="shared" si="344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43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38"/>
        <v>0</v>
      </c>
      <c r="AJ2418" s="2">
        <f t="shared" si="339"/>
        <v>0</v>
      </c>
      <c r="AK2418" s="2">
        <f t="shared" si="345"/>
        <v>22.5</v>
      </c>
      <c r="AL2418" s="5">
        <f t="shared" si="344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43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38"/>
        <v>0</v>
      </c>
      <c r="AJ2419" s="2">
        <f t="shared" si="339"/>
        <v>0</v>
      </c>
      <c r="AK2419" s="2">
        <f t="shared" si="345"/>
        <v>0</v>
      </c>
      <c r="AL2419" s="5">
        <f t="shared" si="344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343"/>
        <v>1</v>
      </c>
      <c r="Z2420" s="2" t="s">
        <v>119</v>
      </c>
      <c r="AA2420" s="2" t="s">
        <v>3379</v>
      </c>
      <c r="AF2420" s="2">
        <f t="shared" si="338"/>
        <v>0</v>
      </c>
      <c r="AJ2420" s="2">
        <f t="shared" si="339"/>
        <v>0</v>
      </c>
      <c r="AK2420" s="2">
        <f t="shared" si="345"/>
        <v>28.5</v>
      </c>
      <c r="AL2420" s="5">
        <f t="shared" si="344"/>
        <v>1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43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38"/>
        <v>0</v>
      </c>
      <c r="AG2421" s="2">
        <v>10669.4</v>
      </c>
      <c r="AJ2421" s="2">
        <f t="shared" si="339"/>
        <v>0</v>
      </c>
      <c r="AK2421" s="2">
        <f t="shared" si="345"/>
        <v>4320.6000000000004</v>
      </c>
      <c r="AL2421" s="5">
        <f t="shared" si="344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43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38"/>
        <v>0</v>
      </c>
      <c r="AJ2422" s="2">
        <f t="shared" si="339"/>
        <v>0</v>
      </c>
      <c r="AK2422" s="2">
        <f t="shared" si="345"/>
        <v>25.908000000000001</v>
      </c>
      <c r="AL2422" s="5">
        <f t="shared" si="344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43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38"/>
        <v>0</v>
      </c>
      <c r="AG2423" s="2">
        <v>3.7555999999999998</v>
      </c>
      <c r="AH2423" s="2">
        <v>7.2</v>
      </c>
      <c r="AJ2423" s="2">
        <f t="shared" si="339"/>
        <v>0</v>
      </c>
      <c r="AK2423" s="2">
        <f t="shared" si="345"/>
        <v>22.755199999999999</v>
      </c>
      <c r="AL2423" s="5">
        <f t="shared" si="344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43"/>
        <v>0.55555555555555558</v>
      </c>
      <c r="Z2424" s="2" t="s">
        <v>169</v>
      </c>
      <c r="AA2424" s="2" t="s">
        <v>169</v>
      </c>
      <c r="AF2424" s="2">
        <f t="shared" si="338"/>
        <v>0</v>
      </c>
      <c r="AJ2424" s="2">
        <f t="shared" si="339"/>
        <v>0</v>
      </c>
      <c r="AK2424" s="2">
        <f t="shared" si="345"/>
        <v>7.5</v>
      </c>
      <c r="AL2424" s="5">
        <f t="shared" si="344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43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38"/>
        <v>0</v>
      </c>
      <c r="AG2425" s="2">
        <v>8.1999999999999993</v>
      </c>
      <c r="AH2425" s="2">
        <v>13</v>
      </c>
      <c r="AJ2425" s="2">
        <f t="shared" si="339"/>
        <v>0</v>
      </c>
      <c r="AK2425" s="2">
        <f t="shared" si="345"/>
        <v>9.5999999999999979</v>
      </c>
      <c r="AL2425" s="5">
        <f t="shared" si="344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43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38"/>
        <v>0</v>
      </c>
      <c r="AG2426" s="2">
        <v>10.6</v>
      </c>
      <c r="AH2426" s="2">
        <v>18</v>
      </c>
      <c r="AJ2426" s="2">
        <f t="shared" si="339"/>
        <v>0</v>
      </c>
      <c r="AK2426" s="2">
        <f t="shared" si="345"/>
        <v>7.4</v>
      </c>
      <c r="AL2426" s="5">
        <f t="shared" si="344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46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38"/>
        <v>0</v>
      </c>
      <c r="AG2427" s="2">
        <v>8.1999999999999993</v>
      </c>
      <c r="AH2427" s="2">
        <v>13</v>
      </c>
      <c r="AJ2427" s="2">
        <f t="shared" si="339"/>
        <v>0</v>
      </c>
      <c r="AK2427" s="2">
        <f t="shared" si="345"/>
        <v>4.7999999999999989</v>
      </c>
      <c r="AL2427" s="5">
        <f t="shared" ref="AL2427:AL2443" si="347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46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38"/>
        <v>0</v>
      </c>
      <c r="AG2428" s="2">
        <v>15.020300000000001</v>
      </c>
      <c r="AH2428" s="2">
        <v>27.6</v>
      </c>
      <c r="AJ2428" s="2">
        <f t="shared" si="339"/>
        <v>0</v>
      </c>
      <c r="AK2428" s="2">
        <f t="shared" si="345"/>
        <v>11.379699999999998</v>
      </c>
      <c r="AL2428" s="5">
        <f t="shared" si="347"/>
        <v>0.43104924242424236</v>
      </c>
    </row>
    <row r="2429" spans="1:38" x14ac:dyDescent="0.2">
      <c r="A2429" s="2">
        <v>2025</v>
      </c>
      <c r="B2429" s="2">
        <v>12</v>
      </c>
      <c r="D2429" s="2" t="s">
        <v>2136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346"/>
        <v>1</v>
      </c>
      <c r="Z2429" s="2" t="s">
        <v>117</v>
      </c>
      <c r="AF2429" s="2">
        <f t="shared" si="338"/>
        <v>0</v>
      </c>
      <c r="AJ2429" s="2">
        <f t="shared" si="339"/>
        <v>0</v>
      </c>
      <c r="AK2429" s="2">
        <f t="shared" si="345"/>
        <v>13500</v>
      </c>
      <c r="AL2429" s="5">
        <f t="shared" si="347"/>
        <v>1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46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38"/>
        <v>0</v>
      </c>
      <c r="AG2430" s="2">
        <v>117.453</v>
      </c>
      <c r="AH2430" s="2">
        <v>220</v>
      </c>
      <c r="AJ2430" s="2">
        <f t="shared" si="339"/>
        <v>0</v>
      </c>
      <c r="AK2430" s="2">
        <f t="shared" si="345"/>
        <v>102.547</v>
      </c>
      <c r="AL2430" s="5">
        <f t="shared" si="347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46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38"/>
        <v>0</v>
      </c>
      <c r="AJ2431" s="2">
        <f t="shared" si="339"/>
        <v>0</v>
      </c>
      <c r="AK2431" s="2">
        <f t="shared" si="345"/>
        <v>0</v>
      </c>
      <c r="AL2431" s="5">
        <f t="shared" si="347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46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38"/>
        <v>0</v>
      </c>
      <c r="AJ2432" s="2">
        <f t="shared" si="339"/>
        <v>0</v>
      </c>
      <c r="AK2432" s="2">
        <f t="shared" si="345"/>
        <v>354.09659999999997</v>
      </c>
      <c r="AL2432" s="5">
        <f t="shared" si="347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46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38"/>
        <v>0</v>
      </c>
      <c r="AG2433" s="2">
        <v>9.3000000000000007</v>
      </c>
      <c r="AH2433" s="2">
        <v>21</v>
      </c>
      <c r="AJ2433" s="2">
        <f t="shared" si="339"/>
        <v>0</v>
      </c>
      <c r="AK2433" s="2">
        <f t="shared" si="345"/>
        <v>7.75</v>
      </c>
      <c r="AL2433" s="5">
        <f t="shared" si="347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46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48">AJ2434</f>
        <v>0</v>
      </c>
      <c r="AG2434" s="2">
        <v>6.6266999999999996</v>
      </c>
      <c r="AH2434" s="2">
        <v>12</v>
      </c>
      <c r="AJ2434" s="2">
        <f t="shared" ref="AJ2434:AJ2497" si="349">AI2434*T2434</f>
        <v>0</v>
      </c>
      <c r="AK2434" s="2">
        <f t="shared" si="345"/>
        <v>5.3733000000000004</v>
      </c>
      <c r="AL2434" s="5">
        <f t="shared" si="347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46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48"/>
        <v>0</v>
      </c>
      <c r="AG2435" s="2">
        <v>10.6</v>
      </c>
      <c r="AH2435" s="2">
        <v>18</v>
      </c>
      <c r="AJ2435" s="2">
        <f t="shared" si="349"/>
        <v>0</v>
      </c>
      <c r="AK2435" s="2">
        <f t="shared" si="345"/>
        <v>14.8</v>
      </c>
      <c r="AL2435" s="5">
        <f t="shared" si="347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46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48"/>
        <v>0</v>
      </c>
      <c r="AJ2436" s="2">
        <f t="shared" si="349"/>
        <v>0</v>
      </c>
      <c r="AK2436" s="2">
        <f t="shared" si="345"/>
        <v>36</v>
      </c>
      <c r="AL2436" s="5">
        <f t="shared" si="347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46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48"/>
        <v>0</v>
      </c>
      <c r="AJ2437" s="2">
        <f t="shared" si="349"/>
        <v>0</v>
      </c>
      <c r="AK2437" s="2">
        <f t="shared" si="345"/>
        <v>25</v>
      </c>
      <c r="AL2437" s="5">
        <f t="shared" si="347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46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48"/>
        <v>0</v>
      </c>
      <c r="AJ2438" s="2">
        <f t="shared" si="349"/>
        <v>0</v>
      </c>
      <c r="AK2438" s="2">
        <f t="shared" si="345"/>
        <v>352.72999999999996</v>
      </c>
      <c r="AL2438" s="5">
        <f t="shared" si="347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46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48"/>
        <v>0</v>
      </c>
      <c r="AJ2439" s="2">
        <f t="shared" si="349"/>
        <v>0</v>
      </c>
      <c r="AK2439" s="2">
        <f t="shared" si="345"/>
        <v>102.6</v>
      </c>
      <c r="AL2439" s="5">
        <f t="shared" si="347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46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48"/>
        <v>0</v>
      </c>
      <c r="AJ2440" s="2">
        <f t="shared" si="349"/>
        <v>0</v>
      </c>
      <c r="AK2440" s="2">
        <f t="shared" si="345"/>
        <v>25</v>
      </c>
      <c r="AL2440" s="5">
        <f t="shared" si="347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46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48"/>
        <v>0</v>
      </c>
      <c r="AJ2441" s="2">
        <f t="shared" si="349"/>
        <v>0</v>
      </c>
      <c r="AK2441" s="2">
        <f t="shared" si="345"/>
        <v>6662</v>
      </c>
      <c r="AL2441" s="5">
        <f t="shared" si="347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46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48"/>
        <v>0</v>
      </c>
      <c r="AJ2442" s="2">
        <f t="shared" si="349"/>
        <v>0</v>
      </c>
      <c r="AK2442" s="2">
        <f t="shared" si="345"/>
        <v>282.8</v>
      </c>
      <c r="AL2442" s="5">
        <f t="shared" si="347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46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48"/>
        <v>0</v>
      </c>
      <c r="AJ2443" s="2">
        <f t="shared" si="349"/>
        <v>0</v>
      </c>
      <c r="AK2443" s="2">
        <f t="shared" si="345"/>
        <v>42.599999999999994</v>
      </c>
      <c r="AL2443" s="5">
        <f t="shared" si="347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46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48"/>
        <v>0</v>
      </c>
      <c r="AJ2444" s="2">
        <f t="shared" si="349"/>
        <v>0</v>
      </c>
      <c r="AK2444" s="2">
        <f t="shared" si="345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346"/>
        <v>1</v>
      </c>
      <c r="Z2445" s="2" t="s">
        <v>119</v>
      </c>
      <c r="AA2445" s="2" t="s">
        <v>3379</v>
      </c>
      <c r="AF2445" s="2">
        <f t="shared" si="348"/>
        <v>0</v>
      </c>
      <c r="AJ2445" s="2">
        <f t="shared" si="349"/>
        <v>0</v>
      </c>
      <c r="AK2445" s="2">
        <f t="shared" si="345"/>
        <v>629.37</v>
      </c>
      <c r="AL2445" s="5">
        <f t="shared" ref="AL2445:AL2450" si="350">(T2445-W2445)/T2445</f>
        <v>1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46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48"/>
        <v>0</v>
      </c>
      <c r="AG2446" s="2">
        <v>8.1999999999999993</v>
      </c>
      <c r="AH2446" s="2">
        <v>13</v>
      </c>
      <c r="AJ2446" s="2">
        <f t="shared" si="349"/>
        <v>0</v>
      </c>
      <c r="AK2446" s="2">
        <f t="shared" si="345"/>
        <v>28</v>
      </c>
      <c r="AL2446" s="5">
        <f t="shared" si="350"/>
        <v>0.25454545454545452</v>
      </c>
    </row>
    <row r="2447" spans="1:38" x14ac:dyDescent="0.2">
      <c r="A2447" s="2">
        <v>2025</v>
      </c>
      <c r="B2447" s="2">
        <v>12</v>
      </c>
      <c r="D2447" s="2" t="s">
        <v>2143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46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48"/>
        <v>0</v>
      </c>
      <c r="AG2447" s="2">
        <v>117.453</v>
      </c>
      <c r="AH2447" s="2">
        <v>220</v>
      </c>
      <c r="AJ2447" s="2">
        <f t="shared" si="349"/>
        <v>0</v>
      </c>
      <c r="AK2447" s="2">
        <f t="shared" si="345"/>
        <v>102.547</v>
      </c>
      <c r="AL2447" s="5">
        <f t="shared" si="350"/>
        <v>0.46612272727272724</v>
      </c>
    </row>
    <row r="2448" spans="1:38" x14ac:dyDescent="0.2">
      <c r="A2448" s="2">
        <v>2025</v>
      </c>
      <c r="B2448" s="2">
        <v>12</v>
      </c>
      <c r="D2448" s="2" t="s">
        <v>2143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46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48"/>
        <v>0</v>
      </c>
      <c r="AJ2448" s="2">
        <f t="shared" si="349"/>
        <v>0</v>
      </c>
      <c r="AK2448" s="2">
        <f t="shared" si="345"/>
        <v>0</v>
      </c>
      <c r="AL2448" s="5">
        <f t="shared" si="350"/>
        <v>0</v>
      </c>
    </row>
    <row r="2449" spans="1:38" x14ac:dyDescent="0.2">
      <c r="A2449" s="2">
        <v>2025</v>
      </c>
      <c r="B2449" s="2">
        <v>12</v>
      </c>
      <c r="C2449" s="2" t="s">
        <v>3325</v>
      </c>
      <c r="D2449" s="2" t="s">
        <v>3460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46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48"/>
        <v>0</v>
      </c>
      <c r="AG2449" s="2">
        <v>6468.73</v>
      </c>
      <c r="AJ2449" s="2">
        <f t="shared" si="349"/>
        <v>0</v>
      </c>
      <c r="AK2449" s="2">
        <f t="shared" si="345"/>
        <v>2990.4799999999996</v>
      </c>
      <c r="AL2449" s="5">
        <f t="shared" si="350"/>
        <v>0.31614479433271908</v>
      </c>
    </row>
    <row r="2450" spans="1:38" x14ac:dyDescent="0.2">
      <c r="A2450" s="2">
        <v>2025</v>
      </c>
      <c r="B2450" s="2">
        <v>12</v>
      </c>
      <c r="C2450" s="2" t="s">
        <v>3459</v>
      </c>
      <c r="D2450" s="15" t="s">
        <v>3414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46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48"/>
        <v>0</v>
      </c>
      <c r="AG2450" s="2">
        <f>1294+95</f>
        <v>1389</v>
      </c>
      <c r="AJ2450" s="2">
        <f t="shared" si="349"/>
        <v>0</v>
      </c>
      <c r="AK2450" s="2">
        <f t="shared" si="345"/>
        <v>121</v>
      </c>
      <c r="AL2450" s="5">
        <f t="shared" si="350"/>
        <v>8.0132450331125829E-2</v>
      </c>
    </row>
    <row r="2451" spans="1:38" x14ac:dyDescent="0.2">
      <c r="A2451" s="2">
        <v>2025</v>
      </c>
      <c r="B2451" s="2">
        <v>12</v>
      </c>
      <c r="C2451" s="2" t="s">
        <v>3459</v>
      </c>
      <c r="D2451" s="15" t="s">
        <v>3414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3380</v>
      </c>
      <c r="AC2451" s="2" t="s">
        <v>1327</v>
      </c>
      <c r="AF2451" s="2">
        <f t="shared" si="348"/>
        <v>0</v>
      </c>
      <c r="AJ2451" s="2">
        <f t="shared" si="349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3459</v>
      </c>
      <c r="D2452" s="15" t="s">
        <v>3414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48"/>
        <v>0</v>
      </c>
      <c r="AG2452" s="2">
        <v>2190</v>
      </c>
      <c r="AJ2452" s="2">
        <f t="shared" si="349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3459</v>
      </c>
      <c r="D2453" s="15" t="s">
        <v>3414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48"/>
        <v>0</v>
      </c>
      <c r="AJ2453" s="2">
        <f t="shared" si="349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48"/>
        <v>0</v>
      </c>
      <c r="AG2454" s="2">
        <v>107.72</v>
      </c>
      <c r="AJ2454" s="2">
        <f t="shared" si="349"/>
        <v>0</v>
      </c>
      <c r="AK2454" s="2">
        <f t="shared" ref="AK2454:AK2487" si="351">T2454-W2454</f>
        <v>113.08000000000001</v>
      </c>
      <c r="AL2454" s="5">
        <f t="shared" ref="AL2454:AL2487" si="352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48"/>
        <v>0</v>
      </c>
      <c r="AJ2455" s="2">
        <f t="shared" si="349"/>
        <v>0</v>
      </c>
      <c r="AK2455" s="2">
        <f t="shared" si="351"/>
        <v>2</v>
      </c>
      <c r="AL2455" s="5">
        <f t="shared" si="352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48"/>
        <v>0</v>
      </c>
      <c r="AJ2456" s="2">
        <f t="shared" si="349"/>
        <v>0</v>
      </c>
      <c r="AK2456" s="2">
        <f t="shared" si="351"/>
        <v>0</v>
      </c>
      <c r="AL2456" s="5">
        <f t="shared" si="352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48"/>
        <v>0</v>
      </c>
      <c r="AJ2457" s="2">
        <f t="shared" si="349"/>
        <v>0</v>
      </c>
      <c r="AK2457" s="2">
        <f t="shared" si="351"/>
        <v>664.04</v>
      </c>
      <c r="AL2457" s="5">
        <f t="shared" si="352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48"/>
        <v>0</v>
      </c>
      <c r="AJ2458" s="2">
        <f t="shared" si="349"/>
        <v>0</v>
      </c>
      <c r="AK2458" s="2">
        <f t="shared" si="351"/>
        <v>0</v>
      </c>
      <c r="AL2458" s="5" t="e">
        <f t="shared" si="352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53">(T2459-W2459)/T2459</f>
        <v>1</v>
      </c>
      <c r="Z2459" s="2" t="s">
        <v>104</v>
      </c>
      <c r="AF2459" s="2">
        <f t="shared" si="348"/>
        <v>0</v>
      </c>
      <c r="AJ2459" s="2">
        <f t="shared" si="349"/>
        <v>0</v>
      </c>
      <c r="AK2459" s="2">
        <f t="shared" si="351"/>
        <v>8500</v>
      </c>
      <c r="AL2459" s="5">
        <f t="shared" si="352"/>
        <v>1</v>
      </c>
    </row>
    <row r="2460" spans="1:38" x14ac:dyDescent="0.2">
      <c r="A2460" s="2">
        <v>2025</v>
      </c>
      <c r="B2460" s="2">
        <v>12</v>
      </c>
      <c r="D2460" s="2" t="s">
        <v>1257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53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48"/>
        <v>0</v>
      </c>
      <c r="AJ2460" s="2">
        <f t="shared" si="349"/>
        <v>0</v>
      </c>
      <c r="AK2460" s="2">
        <f t="shared" si="351"/>
        <v>4320.6000000000004</v>
      </c>
      <c r="AL2460" s="5">
        <f t="shared" si="352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53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48"/>
        <v>0</v>
      </c>
      <c r="AJ2461" s="2">
        <f t="shared" si="349"/>
        <v>0</v>
      </c>
      <c r="AK2461" s="2">
        <f t="shared" si="351"/>
        <v>30</v>
      </c>
      <c r="AL2461" s="5">
        <f t="shared" si="352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53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48"/>
        <v>0</v>
      </c>
      <c r="AJ2462" s="2">
        <f t="shared" si="349"/>
        <v>0</v>
      </c>
      <c r="AK2462" s="2">
        <f t="shared" si="351"/>
        <v>25</v>
      </c>
      <c r="AL2462" s="5">
        <f t="shared" si="352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353"/>
        <v>1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48"/>
        <v>0</v>
      </c>
      <c r="AJ2463" s="2">
        <f t="shared" si="349"/>
        <v>0</v>
      </c>
      <c r="AK2463" s="2">
        <f t="shared" si="351"/>
        <v>699.3</v>
      </c>
      <c r="AL2463" s="5">
        <f t="shared" si="352"/>
        <v>1</v>
      </c>
    </row>
    <row r="2464" spans="1:38" x14ac:dyDescent="0.2">
      <c r="A2464" s="2">
        <v>2025</v>
      </c>
      <c r="B2464" s="2">
        <v>12</v>
      </c>
      <c r="C2464" s="2" t="s">
        <v>3325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53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48"/>
        <v>0</v>
      </c>
      <c r="AJ2464" s="2">
        <f t="shared" si="349"/>
        <v>0</v>
      </c>
      <c r="AK2464" s="2">
        <f t="shared" si="351"/>
        <v>254.19659999999999</v>
      </c>
      <c r="AL2464" s="5">
        <f t="shared" si="352"/>
        <v>0.42408508508508508</v>
      </c>
    </row>
    <row r="2465" spans="1:38" x14ac:dyDescent="0.2">
      <c r="A2465" s="2">
        <v>2025</v>
      </c>
      <c r="B2465" s="2">
        <v>12</v>
      </c>
      <c r="C2465" s="2" t="s">
        <v>3325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53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48"/>
        <v>0</v>
      </c>
      <c r="AJ2465" s="2">
        <f t="shared" si="349"/>
        <v>0</v>
      </c>
      <c r="AK2465" s="2">
        <f t="shared" si="351"/>
        <v>40.200000000000003</v>
      </c>
      <c r="AL2465" s="5">
        <f t="shared" si="352"/>
        <v>0.60000000000000009</v>
      </c>
    </row>
    <row r="2466" spans="1:38" x14ac:dyDescent="0.2">
      <c r="A2466" s="2">
        <v>2025</v>
      </c>
      <c r="B2466" s="2">
        <v>12</v>
      </c>
      <c r="C2466" s="2" t="s">
        <v>3325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53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48"/>
        <v>0</v>
      </c>
      <c r="AJ2466" s="2">
        <f t="shared" si="349"/>
        <v>0</v>
      </c>
      <c r="AK2466" s="2">
        <f t="shared" si="351"/>
        <v>25</v>
      </c>
      <c r="AL2466" s="5">
        <f t="shared" si="352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53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48"/>
        <v>0</v>
      </c>
      <c r="AG2467" s="2">
        <v>6.6266999999999996</v>
      </c>
      <c r="AH2467" s="2">
        <v>12</v>
      </c>
      <c r="AJ2467" s="2">
        <f t="shared" si="349"/>
        <v>0</v>
      </c>
      <c r="AK2467" s="2">
        <f t="shared" si="351"/>
        <v>10.746600000000001</v>
      </c>
      <c r="AL2467" s="5">
        <f t="shared" si="352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53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48"/>
        <v>0</v>
      </c>
      <c r="AJ2468" s="2">
        <f t="shared" si="349"/>
        <v>0</v>
      </c>
      <c r="AK2468" s="2">
        <f t="shared" si="351"/>
        <v>11.2</v>
      </c>
      <c r="AL2468" s="5">
        <f t="shared" si="352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53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48"/>
        <v>0</v>
      </c>
      <c r="AJ2469" s="2">
        <f t="shared" si="349"/>
        <v>0</v>
      </c>
      <c r="AK2469" s="2">
        <f t="shared" si="351"/>
        <v>11</v>
      </c>
      <c r="AL2469" s="5">
        <f t="shared" si="352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53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48"/>
        <v>0</v>
      </c>
      <c r="AG2470" s="2">
        <v>5.9066999999999998</v>
      </c>
      <c r="AH2470" s="2">
        <v>12.6</v>
      </c>
      <c r="AJ2470" s="2">
        <f t="shared" si="349"/>
        <v>0</v>
      </c>
      <c r="AK2470" s="2">
        <f t="shared" si="351"/>
        <v>6.0933000000000002</v>
      </c>
      <c r="AL2470" s="5">
        <f t="shared" si="352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53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48"/>
        <v>0</v>
      </c>
      <c r="AG2471" s="2">
        <v>7.2217000000000002</v>
      </c>
      <c r="AH2471" s="2">
        <v>14.4</v>
      </c>
      <c r="AJ2471" s="2">
        <f t="shared" si="349"/>
        <v>0</v>
      </c>
      <c r="AK2471" s="2">
        <f t="shared" si="351"/>
        <v>5.9782999999999991</v>
      </c>
      <c r="AL2471" s="5">
        <f t="shared" si="352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53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48"/>
        <v>0</v>
      </c>
      <c r="AJ2472" s="2">
        <f t="shared" si="349"/>
        <v>0</v>
      </c>
      <c r="AK2472" s="2">
        <f t="shared" si="351"/>
        <v>10.593299999999999</v>
      </c>
      <c r="AL2472" s="5">
        <f t="shared" si="352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53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48"/>
        <v>0</v>
      </c>
      <c r="AG2473" s="2">
        <v>10.6</v>
      </c>
      <c r="AH2473" s="2">
        <v>18</v>
      </c>
      <c r="AJ2473" s="2">
        <f t="shared" si="349"/>
        <v>0</v>
      </c>
      <c r="AK2473" s="2">
        <f t="shared" si="351"/>
        <v>24.400000000000002</v>
      </c>
      <c r="AL2473" s="5">
        <f t="shared" si="352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53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48"/>
        <v>0</v>
      </c>
      <c r="AJ2474" s="2">
        <f t="shared" si="349"/>
        <v>0</v>
      </c>
      <c r="AK2474" s="2">
        <f t="shared" si="351"/>
        <v>354.09659999999997</v>
      </c>
      <c r="AL2474" s="5">
        <f t="shared" si="352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53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48"/>
        <v>0</v>
      </c>
      <c r="AJ2475" s="2">
        <f t="shared" si="349"/>
        <v>0</v>
      </c>
      <c r="AK2475" s="2">
        <f t="shared" si="351"/>
        <v>69</v>
      </c>
      <c r="AL2475" s="5">
        <f t="shared" si="352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53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48"/>
        <v>0</v>
      </c>
      <c r="AJ2476" s="2">
        <f t="shared" si="349"/>
        <v>0</v>
      </c>
      <c r="AK2476" s="2">
        <f t="shared" si="351"/>
        <v>25</v>
      </c>
      <c r="AL2476" s="5">
        <f t="shared" si="352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53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48"/>
        <v>0</v>
      </c>
      <c r="AG2477" s="2">
        <v>15.020300000000001</v>
      </c>
      <c r="AH2477" s="2">
        <v>27.6</v>
      </c>
      <c r="AJ2477" s="2">
        <f t="shared" si="349"/>
        <v>0</v>
      </c>
      <c r="AK2477" s="2">
        <f t="shared" si="351"/>
        <v>64.796999999999997</v>
      </c>
      <c r="AL2477" s="5">
        <f t="shared" si="352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53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48"/>
        <v>0</v>
      </c>
      <c r="AG2478" s="2">
        <v>10.6</v>
      </c>
      <c r="AH2478" s="2">
        <v>18</v>
      </c>
      <c r="AJ2478" s="2">
        <f t="shared" si="349"/>
        <v>0</v>
      </c>
      <c r="AK2478" s="2">
        <f t="shared" si="351"/>
        <v>29.6</v>
      </c>
      <c r="AL2478" s="5">
        <f t="shared" si="352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53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48"/>
        <v>0</v>
      </c>
      <c r="AG2479" s="2">
        <v>8.1999999999999993</v>
      </c>
      <c r="AH2479" s="2">
        <v>13</v>
      </c>
      <c r="AJ2479" s="2">
        <f t="shared" si="349"/>
        <v>0</v>
      </c>
      <c r="AK2479" s="2">
        <f t="shared" si="351"/>
        <v>15.199999999999996</v>
      </c>
      <c r="AL2479" s="5">
        <f t="shared" si="352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53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48"/>
        <v>0</v>
      </c>
      <c r="AG2480" s="2">
        <v>7.9611999999999998</v>
      </c>
      <c r="AH2480" s="2">
        <v>14.4</v>
      </c>
      <c r="AJ2480" s="2">
        <f t="shared" si="349"/>
        <v>0</v>
      </c>
      <c r="AK2480" s="2">
        <f t="shared" si="351"/>
        <v>13.0776</v>
      </c>
      <c r="AL2480" s="5">
        <f t="shared" si="352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53"/>
        <v>1</v>
      </c>
      <c r="Z2481" s="2" t="s">
        <v>117</v>
      </c>
      <c r="AF2481" s="2">
        <f t="shared" si="348"/>
        <v>0</v>
      </c>
      <c r="AJ2481" s="2">
        <f t="shared" si="349"/>
        <v>0</v>
      </c>
      <c r="AK2481" s="2">
        <f t="shared" si="351"/>
        <v>65.72</v>
      </c>
      <c r="AL2481" s="5">
        <f t="shared" si="352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53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48"/>
        <v>0</v>
      </c>
      <c r="AJ2482" s="2">
        <f t="shared" si="349"/>
        <v>0</v>
      </c>
      <c r="AK2482" s="2">
        <f t="shared" si="351"/>
        <v>17.91</v>
      </c>
      <c r="AL2482" s="5">
        <f t="shared" si="352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53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48"/>
        <v>0</v>
      </c>
      <c r="AJ2483" s="2">
        <f t="shared" si="349"/>
        <v>0</v>
      </c>
      <c r="AK2483" s="2">
        <f t="shared" si="351"/>
        <v>110.39999999999999</v>
      </c>
      <c r="AL2483" s="5">
        <f t="shared" si="352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53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48"/>
        <v>0</v>
      </c>
      <c r="AJ2484" s="2">
        <f t="shared" si="349"/>
        <v>0</v>
      </c>
      <c r="AK2484" s="2">
        <f t="shared" si="351"/>
        <v>31.25</v>
      </c>
      <c r="AL2484" s="5">
        <f t="shared" si="352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53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48"/>
        <v>0</v>
      </c>
      <c r="AG2485" s="2">
        <v>6468.73</v>
      </c>
      <c r="AJ2485" s="2">
        <f t="shared" si="349"/>
        <v>0</v>
      </c>
      <c r="AK2485" s="2">
        <f t="shared" si="351"/>
        <v>3461.2700000000004</v>
      </c>
      <c r="AL2485" s="5">
        <f t="shared" si="352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53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48"/>
        <v>0</v>
      </c>
      <c r="AG2486" s="2">
        <v>117.453</v>
      </c>
      <c r="AH2486" s="2">
        <v>220</v>
      </c>
      <c r="AJ2486" s="2">
        <f t="shared" si="349"/>
        <v>0</v>
      </c>
      <c r="AK2486" s="2">
        <f t="shared" si="351"/>
        <v>102.42699999999999</v>
      </c>
      <c r="AL2486" s="5">
        <f t="shared" si="352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53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48"/>
        <v>0</v>
      </c>
      <c r="AJ2487" s="2">
        <f t="shared" si="349"/>
        <v>0</v>
      </c>
      <c r="AK2487" s="2">
        <f t="shared" si="351"/>
        <v>113.60999999999999</v>
      </c>
      <c r="AL2487" s="5">
        <f t="shared" si="352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119</v>
      </c>
      <c r="AA2488" s="2" t="s">
        <v>142</v>
      </c>
      <c r="AF2488" s="2">
        <f t="shared" si="348"/>
        <v>0</v>
      </c>
      <c r="AJ2488" s="2">
        <f t="shared" si="349"/>
        <v>0</v>
      </c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48"/>
        <v>0</v>
      </c>
      <c r="AJ2489" s="2">
        <f t="shared" si="349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48"/>
        <v>0</v>
      </c>
      <c r="AJ2490" s="2">
        <f t="shared" si="349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48"/>
        <v>0</v>
      </c>
      <c r="AJ2491" s="2">
        <f t="shared" si="349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48"/>
        <v>0</v>
      </c>
      <c r="AJ2492" s="2">
        <f t="shared" si="349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48"/>
        <v>0</v>
      </c>
      <c r="AJ2493" s="2">
        <f t="shared" si="349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54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48"/>
        <v>0</v>
      </c>
      <c r="AJ2494" s="2">
        <f t="shared" si="349"/>
        <v>0</v>
      </c>
      <c r="AK2494" s="2">
        <f t="shared" ref="AK2494:AK2513" si="355">T2494-W2494</f>
        <v>173.82000000000005</v>
      </c>
      <c r="AL2494" s="5">
        <f t="shared" ref="AL2494:AL2513" si="356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54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48"/>
        <v>0</v>
      </c>
      <c r="AJ2495" s="2">
        <f t="shared" si="349"/>
        <v>0</v>
      </c>
      <c r="AK2495" s="2">
        <f t="shared" si="355"/>
        <v>25.8736</v>
      </c>
      <c r="AL2495" s="5">
        <f t="shared" si="356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54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48"/>
        <v>0</v>
      </c>
      <c r="AJ2496" s="2">
        <f t="shared" si="349"/>
        <v>0</v>
      </c>
      <c r="AK2496" s="2">
        <f t="shared" si="355"/>
        <v>40.25</v>
      </c>
      <c r="AL2496" s="5">
        <f t="shared" si="356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54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48"/>
        <v>0</v>
      </c>
      <c r="AJ2497" s="2">
        <f t="shared" si="349"/>
        <v>0</v>
      </c>
      <c r="AK2497" s="2">
        <f t="shared" si="355"/>
        <v>42.200000000000045</v>
      </c>
      <c r="AL2497" s="5">
        <f t="shared" si="356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54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57">AJ2498</f>
        <v>0</v>
      </c>
      <c r="AJ2498" s="2">
        <f t="shared" ref="AJ2498:AJ2561" si="358">AI2498*T2498</f>
        <v>0</v>
      </c>
      <c r="AK2498" s="2">
        <f t="shared" si="355"/>
        <v>30.049999999999955</v>
      </c>
      <c r="AL2498" s="5">
        <f t="shared" si="356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54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57"/>
        <v>0</v>
      </c>
      <c r="AJ2499" s="2">
        <f t="shared" si="358"/>
        <v>0</v>
      </c>
      <c r="AK2499" s="2">
        <f t="shared" si="355"/>
        <v>64.29000000000002</v>
      </c>
      <c r="AL2499" s="5">
        <f t="shared" si="356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54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57"/>
        <v>0</v>
      </c>
      <c r="AJ2500" s="2">
        <f t="shared" si="358"/>
        <v>0</v>
      </c>
      <c r="AK2500" s="2">
        <f t="shared" si="355"/>
        <v>160.37</v>
      </c>
      <c r="AL2500" s="5">
        <f t="shared" si="356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54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57"/>
        <v>0</v>
      </c>
      <c r="AJ2501" s="2">
        <f t="shared" si="358"/>
        <v>0</v>
      </c>
      <c r="AK2501" s="2">
        <f t="shared" si="355"/>
        <v>161.70000000000005</v>
      </c>
      <c r="AL2501" s="5">
        <f t="shared" si="356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54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57"/>
        <v>0</v>
      </c>
      <c r="AJ2502" s="2">
        <f t="shared" si="358"/>
        <v>0</v>
      </c>
      <c r="AK2502" s="2">
        <f t="shared" si="355"/>
        <v>64.680000000000007</v>
      </c>
      <c r="AL2502" s="5">
        <f t="shared" si="356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3385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54"/>
        <v>0</v>
      </c>
      <c r="Z2503" s="2" t="s">
        <v>3226</v>
      </c>
      <c r="AA2503" s="2" t="s">
        <v>2167</v>
      </c>
      <c r="AB2503" s="2" t="s">
        <v>2168</v>
      </c>
      <c r="AC2503" s="2" t="s">
        <v>3385</v>
      </c>
      <c r="AF2503" s="2">
        <f t="shared" si="357"/>
        <v>0</v>
      </c>
      <c r="AJ2503" s="2">
        <f t="shared" si="358"/>
        <v>0</v>
      </c>
      <c r="AK2503" s="2">
        <f t="shared" si="355"/>
        <v>0</v>
      </c>
      <c r="AL2503" s="5">
        <f t="shared" si="356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3395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54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3395</v>
      </c>
      <c r="AF2504" s="2">
        <f t="shared" si="357"/>
        <v>0</v>
      </c>
      <c r="AJ2504" s="2">
        <f t="shared" si="358"/>
        <v>0</v>
      </c>
      <c r="AK2504" s="2">
        <f t="shared" si="355"/>
        <v>0.28999999999999204</v>
      </c>
      <c r="AL2504" s="5">
        <f t="shared" si="356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3395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54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3395</v>
      </c>
      <c r="AF2505" s="2">
        <f t="shared" si="357"/>
        <v>0</v>
      </c>
      <c r="AJ2505" s="2">
        <f t="shared" si="358"/>
        <v>0</v>
      </c>
      <c r="AK2505" s="2">
        <f t="shared" si="355"/>
        <v>0.28999999999999204</v>
      </c>
      <c r="AL2505" s="5">
        <f t="shared" si="356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54"/>
        <v>-0.65217391304347827</v>
      </c>
      <c r="Z2506" s="2" t="s">
        <v>169</v>
      </c>
      <c r="AA2506" s="2" t="s">
        <v>169</v>
      </c>
      <c r="AF2506" s="2">
        <f t="shared" si="357"/>
        <v>0</v>
      </c>
      <c r="AJ2506" s="2">
        <f t="shared" si="358"/>
        <v>0</v>
      </c>
      <c r="AK2506" s="2">
        <f t="shared" si="355"/>
        <v>-75</v>
      </c>
      <c r="AL2506" s="5">
        <f t="shared" si="356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54"/>
        <v>1</v>
      </c>
      <c r="Z2507" s="2" t="s">
        <v>117</v>
      </c>
      <c r="AF2507" s="2">
        <f t="shared" si="357"/>
        <v>0</v>
      </c>
      <c r="AJ2507" s="2">
        <f t="shared" si="358"/>
        <v>0</v>
      </c>
      <c r="AK2507" s="2">
        <f t="shared" si="355"/>
        <v>10.78</v>
      </c>
      <c r="AL2507" s="5">
        <f t="shared" si="356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54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57"/>
        <v>0</v>
      </c>
      <c r="AJ2508" s="2">
        <f t="shared" si="358"/>
        <v>0</v>
      </c>
      <c r="AK2508" s="2">
        <f t="shared" si="355"/>
        <v>43.8</v>
      </c>
      <c r="AL2508" s="5">
        <f t="shared" si="356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54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57"/>
        <v>0</v>
      </c>
      <c r="AJ2509" s="2">
        <f t="shared" si="358"/>
        <v>0</v>
      </c>
      <c r="AK2509" s="2">
        <f t="shared" si="355"/>
        <v>25</v>
      </c>
      <c r="AL2509" s="5">
        <f t="shared" si="356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354"/>
        <v>1</v>
      </c>
      <c r="Z2510" s="2" t="s">
        <v>119</v>
      </c>
      <c r="AA2510" s="2" t="s">
        <v>3379</v>
      </c>
      <c r="AF2510" s="2">
        <f t="shared" si="357"/>
        <v>0</v>
      </c>
      <c r="AJ2510" s="2">
        <f t="shared" si="358"/>
        <v>0</v>
      </c>
      <c r="AK2510" s="2">
        <f t="shared" si="355"/>
        <v>50.05</v>
      </c>
      <c r="AL2510" s="5">
        <f t="shared" si="356"/>
        <v>1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54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57"/>
        <v>0</v>
      </c>
      <c r="AG2511" s="2">
        <f>10972.65+500</f>
        <v>11472.65</v>
      </c>
      <c r="AJ2511" s="2">
        <f t="shared" si="358"/>
        <v>0</v>
      </c>
      <c r="AK2511" s="2">
        <f t="shared" si="355"/>
        <v>5517.35</v>
      </c>
      <c r="AL2511" s="5">
        <f t="shared" si="356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54"/>
        <v>1</v>
      </c>
      <c r="Z2512" s="2" t="s">
        <v>117</v>
      </c>
      <c r="AF2512" s="2">
        <f t="shared" si="357"/>
        <v>0</v>
      </c>
      <c r="AJ2512" s="2">
        <f t="shared" si="358"/>
        <v>0</v>
      </c>
      <c r="AK2512" s="2">
        <f t="shared" si="355"/>
        <v>94.68</v>
      </c>
      <c r="AL2512" s="5">
        <f t="shared" si="356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54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57"/>
        <v>0</v>
      </c>
      <c r="AJ2513" s="2">
        <f t="shared" si="358"/>
        <v>0</v>
      </c>
      <c r="AK2513" s="2">
        <f t="shared" si="355"/>
        <v>10849.029999999999</v>
      </c>
      <c r="AL2513" s="5">
        <f t="shared" si="356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57"/>
        <v>0</v>
      </c>
      <c r="AG2514" s="2">
        <f>144.14+15.4</f>
        <v>159.54</v>
      </c>
      <c r="AH2514" s="2">
        <v>280</v>
      </c>
      <c r="AJ2514" s="2">
        <f t="shared" si="358"/>
        <v>0</v>
      </c>
      <c r="AK2514" s="2">
        <f>T2514+(W2514)</f>
        <v>-88.860000000000014</v>
      </c>
      <c r="AL2514" s="18">
        <f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57"/>
        <v>0</v>
      </c>
      <c r="AJ2515" s="2">
        <f t="shared" si="358"/>
        <v>0</v>
      </c>
      <c r="AK2515" s="2">
        <f>T2515+(W2515)</f>
        <v>0</v>
      </c>
      <c r="AL2515" s="18">
        <f>SIGN(T2515)*((ABS(T2515)-W2515)/ABS(T2515))</f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57"/>
        <v>0</v>
      </c>
      <c r="AJ2516" s="2">
        <f t="shared" si="358"/>
        <v>0</v>
      </c>
      <c r="AK2516" s="2">
        <f t="shared" ref="AK2516:AK2579" si="359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57"/>
        <v>0</v>
      </c>
      <c r="AG2517" s="2">
        <v>6.6266999999999996</v>
      </c>
      <c r="AH2517" s="2">
        <v>12</v>
      </c>
      <c r="AJ2517" s="2">
        <f t="shared" si="358"/>
        <v>0</v>
      </c>
      <c r="AK2517" s="2">
        <f t="shared" si="359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57"/>
        <v>0</v>
      </c>
      <c r="AG2518" s="2">
        <v>3.7357999999999998</v>
      </c>
      <c r="AH2518" s="2">
        <v>9</v>
      </c>
      <c r="AJ2518" s="2">
        <f t="shared" si="358"/>
        <v>0</v>
      </c>
      <c r="AK2518" s="2">
        <f t="shared" si="359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57"/>
        <v>0</v>
      </c>
      <c r="AJ2519" s="2">
        <f t="shared" si="358"/>
        <v>0</v>
      </c>
      <c r="AK2519" s="2">
        <f t="shared" si="359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57"/>
        <v>0</v>
      </c>
      <c r="AJ2520" s="2">
        <f t="shared" si="358"/>
        <v>0</v>
      </c>
      <c r="AK2520" s="2">
        <f t="shared" si="359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57"/>
        <v>0</v>
      </c>
      <c r="AG2521" s="2">
        <v>9.14</v>
      </c>
      <c r="AH2521" s="2">
        <v>16</v>
      </c>
      <c r="AJ2521" s="2">
        <f t="shared" si="358"/>
        <v>0</v>
      </c>
      <c r="AK2521" s="2">
        <f t="shared" si="359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57"/>
        <v>0</v>
      </c>
      <c r="AG2522" s="2">
        <v>8.1999999999999993</v>
      </c>
      <c r="AH2522" s="2">
        <v>13</v>
      </c>
      <c r="AJ2522" s="2">
        <f t="shared" si="358"/>
        <v>0</v>
      </c>
      <c r="AK2522" s="2">
        <f t="shared" si="359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57"/>
        <v>0</v>
      </c>
      <c r="AJ2523" s="2">
        <f t="shared" si="358"/>
        <v>0</v>
      </c>
      <c r="AK2523" s="2">
        <f t="shared" si="359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57"/>
        <v>0</v>
      </c>
      <c r="AG2524" s="2">
        <v>15.020300000000001</v>
      </c>
      <c r="AH2524" s="2">
        <v>27.6</v>
      </c>
      <c r="AJ2524" s="2">
        <f t="shared" si="358"/>
        <v>0</v>
      </c>
      <c r="AK2524" s="2">
        <f t="shared" si="359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57"/>
        <v>0</v>
      </c>
      <c r="AJ2525" s="2">
        <f t="shared" si="358"/>
        <v>0</v>
      </c>
      <c r="AK2525" s="2">
        <f t="shared" si="359"/>
        <v>0</v>
      </c>
      <c r="AL2525" s="5" t="e">
        <f t="shared" ref="AL2525:AL2588" si="360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3226</v>
      </c>
      <c r="AA2526" s="2" t="s">
        <v>87</v>
      </c>
      <c r="AB2526" s="2" t="s">
        <v>60</v>
      </c>
      <c r="AC2526" s="2" t="s">
        <v>84</v>
      </c>
      <c r="AF2526" s="2">
        <f t="shared" si="357"/>
        <v>0</v>
      </c>
      <c r="AJ2526" s="2">
        <f t="shared" si="358"/>
        <v>0</v>
      </c>
      <c r="AK2526" s="2">
        <f t="shared" si="359"/>
        <v>0</v>
      </c>
      <c r="AL2526" s="5" t="e">
        <f t="shared" si="360"/>
        <v>#DIV/0!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57"/>
        <v>0</v>
      </c>
      <c r="AJ2527" s="2">
        <f t="shared" si="358"/>
        <v>0</v>
      </c>
      <c r="AK2527" s="2">
        <f t="shared" si="359"/>
        <v>0</v>
      </c>
      <c r="AL2527" s="5" t="e">
        <f t="shared" si="360"/>
        <v>#DIV/0!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61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57"/>
        <v>0</v>
      </c>
      <c r="AJ2528" s="2">
        <f t="shared" si="358"/>
        <v>0</v>
      </c>
      <c r="AK2528" s="2">
        <f t="shared" si="359"/>
        <v>9.5599999999999987</v>
      </c>
      <c r="AL2528" s="5">
        <f t="shared" si="360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61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57"/>
        <v>0</v>
      </c>
      <c r="AG2529" s="2">
        <v>10.6</v>
      </c>
      <c r="AH2529" s="2">
        <v>18</v>
      </c>
      <c r="AJ2529" s="2">
        <f t="shared" si="358"/>
        <v>0</v>
      </c>
      <c r="AK2529" s="2">
        <f t="shared" si="359"/>
        <v>27</v>
      </c>
      <c r="AL2529" s="5">
        <f t="shared" si="360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61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57"/>
        <v>0</v>
      </c>
      <c r="AG2530" s="2">
        <v>15.020300000000001</v>
      </c>
      <c r="AH2530" s="2">
        <v>27.6</v>
      </c>
      <c r="AJ2530" s="2">
        <f t="shared" si="358"/>
        <v>0</v>
      </c>
      <c r="AK2530" s="2">
        <f t="shared" si="359"/>
        <v>9.9796999999999993</v>
      </c>
      <c r="AL2530" s="5">
        <f t="shared" si="360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61"/>
        <v>-0.2</v>
      </c>
      <c r="Z2531" s="2" t="s">
        <v>169</v>
      </c>
      <c r="AA2531" s="2" t="s">
        <v>169</v>
      </c>
      <c r="AF2531" s="2">
        <f t="shared" si="357"/>
        <v>0</v>
      </c>
      <c r="AJ2531" s="2">
        <f t="shared" si="358"/>
        <v>0</v>
      </c>
      <c r="AK2531" s="2">
        <f t="shared" si="359"/>
        <v>-1</v>
      </c>
      <c r="AL2531" s="5">
        <f t="shared" si="360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61"/>
        <v>0.88333333333333341</v>
      </c>
      <c r="Z2532" s="2" t="s">
        <v>3226</v>
      </c>
      <c r="AA2532" s="2" t="s">
        <v>155</v>
      </c>
      <c r="AB2532" s="2" t="s">
        <v>3402</v>
      </c>
      <c r="AC2532" s="2" t="s">
        <v>1327</v>
      </c>
      <c r="AF2532" s="2">
        <f t="shared" si="357"/>
        <v>0</v>
      </c>
      <c r="AJ2532" s="2">
        <f t="shared" si="358"/>
        <v>0</v>
      </c>
      <c r="AK2532" s="2">
        <f t="shared" si="359"/>
        <v>47.7</v>
      </c>
      <c r="AL2532" s="5">
        <f t="shared" si="360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61"/>
        <v>0.30000000000000004</v>
      </c>
      <c r="Z2533" s="2" t="s">
        <v>3226</v>
      </c>
      <c r="AA2533" s="2" t="s">
        <v>155</v>
      </c>
      <c r="AB2533" s="2" t="s">
        <v>3402</v>
      </c>
      <c r="AC2533" s="2" t="s">
        <v>1327</v>
      </c>
      <c r="AF2533" s="2">
        <f t="shared" si="357"/>
        <v>0</v>
      </c>
      <c r="AJ2533" s="2">
        <f t="shared" si="358"/>
        <v>0</v>
      </c>
      <c r="AK2533" s="2">
        <f t="shared" si="359"/>
        <v>9.6000000000000014</v>
      </c>
      <c r="AL2533" s="5">
        <f t="shared" si="360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61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57"/>
        <v>0</v>
      </c>
      <c r="AG2534" s="2">
        <v>124.4</v>
      </c>
      <c r="AH2534" s="2">
        <v>200</v>
      </c>
      <c r="AJ2534" s="2">
        <f t="shared" si="358"/>
        <v>0</v>
      </c>
      <c r="AK2534" s="2">
        <f t="shared" si="359"/>
        <v>89</v>
      </c>
      <c r="AL2534" s="5">
        <f t="shared" si="360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61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57"/>
        <v>0</v>
      </c>
      <c r="AJ2535" s="2">
        <f t="shared" si="358"/>
        <v>0</v>
      </c>
      <c r="AK2535" s="2">
        <f t="shared" si="359"/>
        <v>93.00500000000001</v>
      </c>
      <c r="AL2535" s="5">
        <f t="shared" si="360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61"/>
        <v>0.23333333333333334</v>
      </c>
      <c r="Z2536" s="2" t="s">
        <v>169</v>
      </c>
      <c r="AA2536" s="2" t="s">
        <v>169</v>
      </c>
      <c r="AF2536" s="2">
        <f t="shared" si="357"/>
        <v>0</v>
      </c>
      <c r="AJ2536" s="2">
        <f t="shared" si="358"/>
        <v>0</v>
      </c>
      <c r="AK2536" s="2">
        <f t="shared" si="359"/>
        <v>7</v>
      </c>
      <c r="AL2536" s="5">
        <f t="shared" si="360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61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57"/>
        <v>0</v>
      </c>
      <c r="AJ2537" s="2">
        <f t="shared" si="358"/>
        <v>0</v>
      </c>
      <c r="AK2537" s="2">
        <f t="shared" si="359"/>
        <v>0</v>
      </c>
      <c r="AL2537" s="5">
        <f t="shared" si="360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61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57"/>
        <v>0</v>
      </c>
      <c r="AJ2538" s="2">
        <f t="shared" si="358"/>
        <v>0</v>
      </c>
      <c r="AK2538" s="2">
        <f t="shared" si="359"/>
        <v>18.45</v>
      </c>
      <c r="AL2538" s="5">
        <f t="shared" si="360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61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57"/>
        <v>0</v>
      </c>
      <c r="AG2539" s="2">
        <v>10.6</v>
      </c>
      <c r="AH2539" s="2">
        <v>18</v>
      </c>
      <c r="AJ2539" s="2">
        <f t="shared" si="358"/>
        <v>0</v>
      </c>
      <c r="AK2539" s="2">
        <f t="shared" si="359"/>
        <v>34</v>
      </c>
      <c r="AL2539" s="5">
        <f t="shared" si="360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61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57"/>
        <v>0</v>
      </c>
      <c r="AG2540" s="2">
        <v>9.14</v>
      </c>
      <c r="AH2540" s="2">
        <v>16</v>
      </c>
      <c r="AJ2540" s="2">
        <f t="shared" si="358"/>
        <v>0</v>
      </c>
      <c r="AK2540" s="2">
        <f t="shared" si="359"/>
        <v>11.580000000000002</v>
      </c>
      <c r="AL2540" s="5">
        <f t="shared" si="360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61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57"/>
        <v>0</v>
      </c>
      <c r="AG2541" s="2">
        <v>8.1999999999999993</v>
      </c>
      <c r="AH2541" s="2">
        <v>13</v>
      </c>
      <c r="AJ2541" s="2">
        <f t="shared" si="358"/>
        <v>0</v>
      </c>
      <c r="AK2541" s="2">
        <f t="shared" si="359"/>
        <v>14.399999999999999</v>
      </c>
      <c r="AL2541" s="5">
        <f t="shared" si="360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61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57"/>
        <v>0</v>
      </c>
      <c r="AJ2542" s="2">
        <f t="shared" si="358"/>
        <v>0</v>
      </c>
      <c r="AK2542" s="2">
        <f t="shared" si="359"/>
        <v>370.85</v>
      </c>
      <c r="AL2542" s="5">
        <f t="shared" si="360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61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57"/>
        <v>0</v>
      </c>
      <c r="AJ2543" s="2">
        <f t="shared" si="358"/>
        <v>0</v>
      </c>
      <c r="AK2543" s="2">
        <f t="shared" si="359"/>
        <v>80.400000000000006</v>
      </c>
      <c r="AL2543" s="5">
        <f t="shared" si="360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61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57"/>
        <v>0</v>
      </c>
      <c r="AJ2544" s="2">
        <f t="shared" si="358"/>
        <v>0</v>
      </c>
      <c r="AK2544" s="2">
        <f t="shared" si="359"/>
        <v>50</v>
      </c>
      <c r="AL2544" s="5">
        <f t="shared" si="360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361"/>
        <v>1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57"/>
        <v>0</v>
      </c>
      <c r="AJ2545" s="2">
        <f t="shared" si="358"/>
        <v>0</v>
      </c>
      <c r="AK2545" s="2">
        <f t="shared" si="359"/>
        <v>1165.2</v>
      </c>
      <c r="AL2545" s="5">
        <f t="shared" si="360"/>
        <v>1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61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57"/>
        <v>0</v>
      </c>
      <c r="AJ2546" s="2">
        <f t="shared" si="358"/>
        <v>0</v>
      </c>
      <c r="AK2546" s="2">
        <f t="shared" si="359"/>
        <v>30</v>
      </c>
      <c r="AL2546" s="5">
        <f t="shared" si="360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61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57"/>
        <v>0</v>
      </c>
      <c r="AJ2547" s="2">
        <f t="shared" si="358"/>
        <v>0</v>
      </c>
      <c r="AK2547" s="2">
        <f t="shared" si="359"/>
        <v>50</v>
      </c>
      <c r="AL2547" s="5">
        <f t="shared" si="360"/>
        <v>0.5</v>
      </c>
    </row>
    <row r="2548" spans="1:38" x14ac:dyDescent="0.2">
      <c r="A2548" s="2">
        <v>2025</v>
      </c>
      <c r="B2548" s="2">
        <v>12</v>
      </c>
      <c r="C2548" s="2" t="s">
        <v>3442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361"/>
        <v>1</v>
      </c>
      <c r="Z2548" s="2" t="s">
        <v>119</v>
      </c>
      <c r="AA2548" s="2" t="s">
        <v>3466</v>
      </c>
      <c r="AB2548" s="2" t="s">
        <v>3467</v>
      </c>
      <c r="AC2548" s="2" t="s">
        <v>698</v>
      </c>
      <c r="AF2548" s="2">
        <f t="shared" si="357"/>
        <v>0</v>
      </c>
      <c r="AJ2548" s="2">
        <f t="shared" si="358"/>
        <v>0</v>
      </c>
      <c r="AK2548" s="2">
        <f t="shared" si="359"/>
        <v>166.25</v>
      </c>
      <c r="AL2548" s="5">
        <f t="shared" si="360"/>
        <v>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61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57"/>
        <v>0</v>
      </c>
      <c r="AJ2549" s="2">
        <f t="shared" si="358"/>
        <v>0</v>
      </c>
      <c r="AK2549" s="2">
        <f t="shared" si="359"/>
        <v>27.650000000000006</v>
      </c>
      <c r="AL2549" s="5">
        <f t="shared" si="360"/>
        <v>0.35000000000000009</v>
      </c>
    </row>
    <row r="2550" spans="1:38" x14ac:dyDescent="0.2">
      <c r="A2550" s="2">
        <v>2025</v>
      </c>
      <c r="B2550" s="2">
        <v>12</v>
      </c>
      <c r="C2550" s="2" t="s">
        <v>3325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57"/>
        <v>0</v>
      </c>
      <c r="AJ2550" s="2">
        <f t="shared" si="358"/>
        <v>0</v>
      </c>
      <c r="AK2550" s="2">
        <f t="shared" si="359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3325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62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57"/>
        <v>0</v>
      </c>
      <c r="AJ2551" s="2">
        <f t="shared" si="358"/>
        <v>0</v>
      </c>
      <c r="AK2551" s="2">
        <f t="shared" si="359"/>
        <v>5400.1200000000008</v>
      </c>
      <c r="AL2551" s="5">
        <f t="shared" si="360"/>
        <v>0.36024816544362914</v>
      </c>
    </row>
    <row r="2552" spans="1:38" x14ac:dyDescent="0.2">
      <c r="A2552" s="2">
        <v>2025</v>
      </c>
      <c r="B2552" s="2">
        <v>12</v>
      </c>
      <c r="C2552" s="2" t="s">
        <v>3325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62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57"/>
        <v>0</v>
      </c>
      <c r="AJ2552" s="2">
        <f t="shared" si="358"/>
        <v>0</v>
      </c>
      <c r="AK2552" s="2">
        <f t="shared" si="359"/>
        <v>1447.2773</v>
      </c>
      <c r="AL2552" s="5">
        <f t="shared" si="360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62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57"/>
        <v>0</v>
      </c>
      <c r="AG2553" s="2">
        <v>0.85609999999999997</v>
      </c>
      <c r="AH2553" s="2">
        <v>1.8</v>
      </c>
      <c r="AJ2553" s="2">
        <f t="shared" si="358"/>
        <v>0</v>
      </c>
      <c r="AK2553" s="2">
        <f t="shared" si="359"/>
        <v>18.878</v>
      </c>
      <c r="AL2553" s="5">
        <f t="shared" si="360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62"/>
        <v>0.25</v>
      </c>
      <c r="Z2554" s="2" t="s">
        <v>169</v>
      </c>
      <c r="AA2554" s="2" t="s">
        <v>169</v>
      </c>
      <c r="AF2554" s="2">
        <f t="shared" si="357"/>
        <v>0</v>
      </c>
      <c r="AJ2554" s="2">
        <f t="shared" si="358"/>
        <v>0</v>
      </c>
      <c r="AK2554" s="2">
        <f t="shared" si="359"/>
        <v>2</v>
      </c>
      <c r="AL2554" s="5">
        <f t="shared" si="360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62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57"/>
        <v>0</v>
      </c>
      <c r="AG2555" s="2">
        <v>7.2733999999999996</v>
      </c>
      <c r="AJ2555" s="2">
        <f t="shared" si="358"/>
        <v>0</v>
      </c>
      <c r="AK2555" s="2">
        <f t="shared" si="359"/>
        <v>8.6066000000000003</v>
      </c>
      <c r="AL2555" s="5">
        <f t="shared" si="360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62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57"/>
        <v>0</v>
      </c>
      <c r="AG2556" s="2">
        <v>10.6</v>
      </c>
      <c r="AH2556" s="2">
        <v>18</v>
      </c>
      <c r="AJ2556" s="2">
        <f t="shared" si="358"/>
        <v>0</v>
      </c>
      <c r="AK2556" s="2">
        <f t="shared" si="359"/>
        <v>14.8</v>
      </c>
      <c r="AL2556" s="5">
        <f t="shared" si="360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62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57"/>
        <v>0</v>
      </c>
      <c r="AG2557" s="2">
        <v>25.79</v>
      </c>
      <c r="AJ2557" s="2">
        <f t="shared" si="358"/>
        <v>0</v>
      </c>
      <c r="AK2557" s="2">
        <f t="shared" si="359"/>
        <v>34.904200000000003</v>
      </c>
      <c r="AL2557" s="5">
        <f t="shared" si="360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62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57"/>
        <v>0</v>
      </c>
      <c r="AG2558" s="2">
        <v>9.14</v>
      </c>
      <c r="AH2558" s="2">
        <v>16</v>
      </c>
      <c r="AJ2558" s="2">
        <f t="shared" si="358"/>
        <v>0</v>
      </c>
      <c r="AK2558" s="2">
        <f t="shared" si="359"/>
        <v>4.8600000000000012</v>
      </c>
      <c r="AL2558" s="5">
        <f t="shared" si="360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62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57"/>
        <v>0</v>
      </c>
      <c r="AG2559" s="2">
        <v>8.1999999999999993</v>
      </c>
      <c r="AH2559" s="2">
        <v>13</v>
      </c>
      <c r="AJ2559" s="2">
        <f t="shared" si="358"/>
        <v>0</v>
      </c>
      <c r="AK2559" s="2">
        <f t="shared" si="359"/>
        <v>9.5999999999999979</v>
      </c>
      <c r="AL2559" s="5">
        <f t="shared" si="360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62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57"/>
        <v>0</v>
      </c>
      <c r="AJ2560" s="2">
        <f t="shared" si="358"/>
        <v>0</v>
      </c>
      <c r="AK2560" s="2">
        <f t="shared" si="359"/>
        <v>4.8600000000000012</v>
      </c>
      <c r="AL2560" s="5">
        <f t="shared" si="360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62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57"/>
        <v>0</v>
      </c>
      <c r="AG2561" s="2">
        <v>1.8320000000000001</v>
      </c>
      <c r="AH2561" s="2">
        <v>2.4</v>
      </c>
      <c r="AJ2561" s="2">
        <f t="shared" si="358"/>
        <v>0</v>
      </c>
      <c r="AK2561" s="2">
        <f t="shared" si="359"/>
        <v>3.871999999999999</v>
      </c>
      <c r="AL2561" s="5">
        <f t="shared" si="360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62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63">AJ2562</f>
        <v>0</v>
      </c>
      <c r="AJ2562" s="2">
        <f t="shared" ref="AJ2562:AJ2625" si="364">AI2562*T2562</f>
        <v>0</v>
      </c>
      <c r="AK2562" s="2">
        <f t="shared" si="359"/>
        <v>254.19659999999999</v>
      </c>
      <c r="AL2562" s="5">
        <f t="shared" si="360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62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63"/>
        <v>0</v>
      </c>
      <c r="AJ2563" s="2">
        <f t="shared" si="364"/>
        <v>0</v>
      </c>
      <c r="AK2563" s="2">
        <f t="shared" si="359"/>
        <v>156.6</v>
      </c>
      <c r="AL2563" s="5">
        <f t="shared" si="360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62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63"/>
        <v>0</v>
      </c>
      <c r="AJ2564" s="2">
        <f t="shared" si="364"/>
        <v>0</v>
      </c>
      <c r="AK2564" s="2">
        <f t="shared" si="359"/>
        <v>75</v>
      </c>
      <c r="AL2564" s="5">
        <f t="shared" si="360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62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63"/>
        <v>0</v>
      </c>
      <c r="AJ2565" s="2">
        <f t="shared" si="364"/>
        <v>0</v>
      </c>
      <c r="AK2565" s="2">
        <f t="shared" si="359"/>
        <v>106.66</v>
      </c>
      <c r="AL2565" s="5">
        <f t="shared" si="360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62"/>
        <v>0.25</v>
      </c>
      <c r="Z2566" s="2" t="s">
        <v>169</v>
      </c>
      <c r="AA2566" s="2" t="s">
        <v>169</v>
      </c>
      <c r="AF2566" s="2">
        <f t="shared" si="363"/>
        <v>0</v>
      </c>
      <c r="AJ2566" s="2">
        <f t="shared" si="364"/>
        <v>0</v>
      </c>
      <c r="AK2566" s="2">
        <f t="shared" si="359"/>
        <v>10</v>
      </c>
      <c r="AL2566" s="5">
        <f t="shared" si="360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62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63"/>
        <v>0</v>
      </c>
      <c r="AJ2567" s="2">
        <f t="shared" si="364"/>
        <v>0</v>
      </c>
      <c r="AK2567" s="2">
        <f t="shared" si="359"/>
        <v>0</v>
      </c>
      <c r="AL2567" s="5">
        <f t="shared" si="360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62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63"/>
        <v>0</v>
      </c>
      <c r="AG2568" s="2">
        <v>10.6</v>
      </c>
      <c r="AH2568" s="2">
        <v>18</v>
      </c>
      <c r="AJ2568" s="2">
        <f t="shared" si="364"/>
        <v>0</v>
      </c>
      <c r="AK2568" s="2">
        <f t="shared" si="359"/>
        <v>34</v>
      </c>
      <c r="AL2568" s="5">
        <f t="shared" si="360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62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63"/>
        <v>0</v>
      </c>
      <c r="AG2569" s="2">
        <v>9.14</v>
      </c>
      <c r="AH2569" s="2">
        <v>16</v>
      </c>
      <c r="AJ2569" s="2">
        <f t="shared" si="364"/>
        <v>0</v>
      </c>
      <c r="AK2569" s="2">
        <f t="shared" si="359"/>
        <v>19.300000000000004</v>
      </c>
      <c r="AL2569" s="5">
        <f t="shared" si="360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62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63"/>
        <v>0</v>
      </c>
      <c r="AG2570" s="2">
        <v>8.1999999999999993</v>
      </c>
      <c r="AH2570" s="2">
        <v>13</v>
      </c>
      <c r="AJ2570" s="2">
        <f t="shared" si="364"/>
        <v>0</v>
      </c>
      <c r="AK2570" s="2">
        <f t="shared" si="359"/>
        <v>46</v>
      </c>
      <c r="AL2570" s="5">
        <f t="shared" si="360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62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63"/>
        <v>0</v>
      </c>
      <c r="AG2571" s="2">
        <v>7.9611999999999998</v>
      </c>
      <c r="AH2571" s="2">
        <v>14.4</v>
      </c>
      <c r="AJ2571" s="2">
        <f t="shared" si="364"/>
        <v>0</v>
      </c>
      <c r="AK2571" s="2">
        <f t="shared" si="359"/>
        <v>14.0388</v>
      </c>
      <c r="AL2571" s="5">
        <f t="shared" si="360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62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63"/>
        <v>0</v>
      </c>
      <c r="AG2572" s="2">
        <v>15.020300000000001</v>
      </c>
      <c r="AH2572" s="2">
        <v>27.6</v>
      </c>
      <c r="AJ2572" s="2">
        <f t="shared" si="364"/>
        <v>0</v>
      </c>
      <c r="AK2572" s="2">
        <f t="shared" si="359"/>
        <v>6.9796999999999993</v>
      </c>
      <c r="AL2572" s="5">
        <f t="shared" si="360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62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63"/>
        <v>0</v>
      </c>
      <c r="AG2573" s="2">
        <v>101.30500000000001</v>
      </c>
      <c r="AH2573" s="2">
        <v>190</v>
      </c>
      <c r="AJ2573" s="2">
        <f t="shared" si="364"/>
        <v>0</v>
      </c>
      <c r="AK2573" s="2">
        <f t="shared" si="359"/>
        <v>99.13000000000001</v>
      </c>
      <c r="AL2573" s="5">
        <f t="shared" si="360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62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63"/>
        <v>0</v>
      </c>
      <c r="AJ2574" s="2">
        <f t="shared" si="364"/>
        <v>0</v>
      </c>
      <c r="AK2574" s="2">
        <f t="shared" si="359"/>
        <v>82.580000000000013</v>
      </c>
      <c r="AL2574" s="5">
        <f t="shared" si="360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62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63"/>
        <v>0</v>
      </c>
      <c r="AJ2575" s="2">
        <f t="shared" si="364"/>
        <v>0</v>
      </c>
      <c r="AK2575" s="2">
        <f t="shared" si="359"/>
        <v>0</v>
      </c>
      <c r="AL2575" s="5">
        <f t="shared" si="360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62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63"/>
        <v>0</v>
      </c>
      <c r="AG2576" s="2">
        <v>7.915</v>
      </c>
      <c r="AJ2576" s="2">
        <f t="shared" si="364"/>
        <v>0</v>
      </c>
      <c r="AK2576" s="2">
        <f t="shared" si="359"/>
        <v>5.8850000000000007</v>
      </c>
      <c r="AL2576" s="5">
        <f t="shared" si="360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62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63"/>
        <v>0</v>
      </c>
      <c r="AG2577" s="2">
        <v>10.035</v>
      </c>
      <c r="AJ2577" s="2">
        <f t="shared" si="364"/>
        <v>0</v>
      </c>
      <c r="AK2577" s="2">
        <f t="shared" si="359"/>
        <v>7.3649999999999984</v>
      </c>
      <c r="AL2577" s="5">
        <f t="shared" si="360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62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63"/>
        <v>0</v>
      </c>
      <c r="AG2578" s="2">
        <v>12.4434</v>
      </c>
      <c r="AJ2578" s="2">
        <f t="shared" si="364"/>
        <v>0</v>
      </c>
      <c r="AK2578" s="2">
        <f t="shared" si="359"/>
        <v>8.5565999999999995</v>
      </c>
      <c r="AL2578" s="5">
        <f t="shared" si="360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62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63"/>
        <v>0</v>
      </c>
      <c r="AG2579" s="2">
        <v>11.087999999999999</v>
      </c>
      <c r="AJ2579" s="2">
        <f t="shared" si="364"/>
        <v>0</v>
      </c>
      <c r="AK2579" s="2">
        <f t="shared" si="359"/>
        <v>8.7550000000000008</v>
      </c>
      <c r="AL2579" s="5">
        <f t="shared" si="360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T2580*75%</f>
        <v>2625</v>
      </c>
      <c r="X2580" s="5">
        <f t="shared" si="362"/>
        <v>0.25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63"/>
        <v>0</v>
      </c>
      <c r="AJ2580" s="2">
        <f t="shared" si="364"/>
        <v>0</v>
      </c>
      <c r="AK2580" s="2">
        <f t="shared" ref="AK2580:AK2643" si="365">T2580-W2580</f>
        <v>875</v>
      </c>
      <c r="AL2580" s="5">
        <f t="shared" si="360"/>
        <v>0.25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62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63"/>
        <v>0</v>
      </c>
      <c r="AG2581" s="2">
        <v>8.1999999999999993</v>
      </c>
      <c r="AH2581" s="2">
        <v>13</v>
      </c>
      <c r="AJ2581" s="2">
        <f t="shared" si="364"/>
        <v>0</v>
      </c>
      <c r="AK2581" s="2">
        <f t="shared" si="365"/>
        <v>23</v>
      </c>
      <c r="AL2581" s="5">
        <f t="shared" si="360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62"/>
        <v>0.25</v>
      </c>
      <c r="Z2582" s="2" t="s">
        <v>169</v>
      </c>
      <c r="AA2582" s="2" t="s">
        <v>169</v>
      </c>
      <c r="AF2582" s="2">
        <f t="shared" si="363"/>
        <v>0</v>
      </c>
      <c r="AJ2582" s="2">
        <f t="shared" si="364"/>
        <v>0</v>
      </c>
      <c r="AK2582" s="2">
        <f t="shared" si="365"/>
        <v>2</v>
      </c>
      <c r="AL2582" s="5">
        <f t="shared" si="360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66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63"/>
        <v>0</v>
      </c>
      <c r="AJ2583" s="2">
        <f t="shared" si="364"/>
        <v>0</v>
      </c>
      <c r="AK2583" s="2">
        <f t="shared" si="365"/>
        <v>22.5</v>
      </c>
      <c r="AL2583" s="5">
        <f t="shared" si="360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66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63"/>
        <v>0</v>
      </c>
      <c r="AJ2584" s="2">
        <f t="shared" si="364"/>
        <v>0</v>
      </c>
      <c r="AK2584" s="2">
        <f t="shared" si="365"/>
        <v>45</v>
      </c>
      <c r="AL2584" s="5">
        <f t="shared" si="360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66"/>
        <v>0.3</v>
      </c>
      <c r="Z2585" s="2" t="s">
        <v>119</v>
      </c>
      <c r="AA2585" s="2" t="s">
        <v>3379</v>
      </c>
      <c r="AF2585" s="2">
        <f t="shared" si="363"/>
        <v>0</v>
      </c>
      <c r="AJ2585" s="2">
        <f t="shared" si="364"/>
        <v>0</v>
      </c>
      <c r="AK2585" s="2">
        <f t="shared" si="365"/>
        <v>76.5</v>
      </c>
      <c r="AL2585" s="5">
        <f t="shared" si="360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66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63"/>
        <v>0</v>
      </c>
      <c r="AG2586" s="2">
        <f>144.14+15.4</f>
        <v>159.54</v>
      </c>
      <c r="AH2586" s="2">
        <v>280</v>
      </c>
      <c r="AJ2586" s="2">
        <f t="shared" si="364"/>
        <v>0</v>
      </c>
      <c r="AK2586" s="2">
        <f t="shared" si="365"/>
        <v>110.46000000000001</v>
      </c>
      <c r="AL2586" s="5">
        <f t="shared" si="360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66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63"/>
        <v>0</v>
      </c>
      <c r="AJ2587" s="2">
        <f t="shared" si="364"/>
        <v>0</v>
      </c>
      <c r="AK2587" s="2">
        <f t="shared" si="365"/>
        <v>0</v>
      </c>
      <c r="AL2587" s="5">
        <f t="shared" si="360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66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63"/>
        <v>0</v>
      </c>
      <c r="AJ2588" s="2">
        <f t="shared" si="364"/>
        <v>0</v>
      </c>
      <c r="AK2588" s="2">
        <f t="shared" si="365"/>
        <v>17.91</v>
      </c>
      <c r="AL2588" s="5">
        <f t="shared" si="360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66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63"/>
        <v>0</v>
      </c>
      <c r="AJ2589" s="2">
        <f t="shared" si="364"/>
        <v>0</v>
      </c>
      <c r="AK2589" s="2">
        <f t="shared" si="365"/>
        <v>36</v>
      </c>
      <c r="AL2589" s="5">
        <f t="shared" ref="AL2589:AL2652" si="367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66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63"/>
        <v>0</v>
      </c>
      <c r="AJ2590" s="2">
        <f t="shared" si="364"/>
        <v>0</v>
      </c>
      <c r="AK2590" s="2">
        <f t="shared" si="365"/>
        <v>25</v>
      </c>
      <c r="AL2590" s="5">
        <f t="shared" si="367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366"/>
        <v>1</v>
      </c>
      <c r="Z2591" s="2" t="s">
        <v>119</v>
      </c>
      <c r="AA2591" s="2" t="s">
        <v>3379</v>
      </c>
      <c r="AF2591" s="2">
        <f t="shared" si="363"/>
        <v>0</v>
      </c>
      <c r="AJ2591" s="2">
        <f t="shared" si="364"/>
        <v>0</v>
      </c>
      <c r="AK2591" s="2">
        <f t="shared" si="365"/>
        <v>99.75</v>
      </c>
      <c r="AL2591" s="5">
        <f t="shared" si="367"/>
        <v>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66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63"/>
        <v>0</v>
      </c>
      <c r="AJ2592" s="2">
        <f t="shared" si="364"/>
        <v>0</v>
      </c>
      <c r="AK2592" s="2">
        <f t="shared" si="365"/>
        <v>36</v>
      </c>
      <c r="AL2592" s="5">
        <f t="shared" si="367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66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63"/>
        <v>0</v>
      </c>
      <c r="AJ2593" s="2">
        <f t="shared" si="364"/>
        <v>0</v>
      </c>
      <c r="AK2593" s="2">
        <f t="shared" si="365"/>
        <v>37.5</v>
      </c>
      <c r="AL2593" s="5">
        <f t="shared" si="367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66"/>
        <v>0.30000000000000004</v>
      </c>
      <c r="Z2594" s="2" t="s">
        <v>119</v>
      </c>
      <c r="AA2594" s="2" t="s">
        <v>3379</v>
      </c>
      <c r="AF2594" s="2">
        <f t="shared" si="363"/>
        <v>0</v>
      </c>
      <c r="AJ2594" s="2">
        <f t="shared" si="364"/>
        <v>0</v>
      </c>
      <c r="AK2594" s="2">
        <f t="shared" si="365"/>
        <v>20.091000000000001</v>
      </c>
      <c r="AL2594" s="5">
        <f t="shared" si="367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66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63"/>
        <v>0</v>
      </c>
      <c r="AG2595" s="2">
        <v>110.68</v>
      </c>
      <c r="AH2595" s="2">
        <v>210</v>
      </c>
      <c r="AJ2595" s="2">
        <f t="shared" si="364"/>
        <v>0</v>
      </c>
      <c r="AK2595" s="2">
        <f t="shared" si="365"/>
        <v>99.32</v>
      </c>
      <c r="AL2595" s="5">
        <f t="shared" si="367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66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63"/>
        <v>0</v>
      </c>
      <c r="AJ2596" s="2">
        <f t="shared" si="364"/>
        <v>0</v>
      </c>
      <c r="AK2596" s="2">
        <f t="shared" si="365"/>
        <v>0</v>
      </c>
      <c r="AL2596" s="5">
        <f t="shared" si="367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66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63"/>
        <v>0</v>
      </c>
      <c r="AG2597" s="2">
        <v>78.570099999999996</v>
      </c>
      <c r="AJ2597" s="2">
        <f t="shared" si="364"/>
        <v>0</v>
      </c>
      <c r="AK2597" s="2">
        <f t="shared" si="365"/>
        <v>52.5899</v>
      </c>
      <c r="AL2597" s="5">
        <f t="shared" si="367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66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63"/>
        <v>0</v>
      </c>
      <c r="AG2598" s="2">
        <v>0.85609999999999997</v>
      </c>
      <c r="AH2598" s="2">
        <v>1.8</v>
      </c>
      <c r="AJ2598" s="2">
        <f t="shared" si="364"/>
        <v>0</v>
      </c>
      <c r="AK2598" s="2">
        <f t="shared" si="365"/>
        <v>18.878</v>
      </c>
      <c r="AL2598" s="5">
        <f t="shared" si="367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66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63"/>
        <v>0</v>
      </c>
      <c r="AG2599" s="2">
        <v>1.1122000000000001</v>
      </c>
      <c r="AH2599" s="2">
        <v>3</v>
      </c>
      <c r="AJ2599" s="2">
        <f t="shared" si="364"/>
        <v>0</v>
      </c>
      <c r="AK2599" s="2">
        <f t="shared" si="365"/>
        <v>18.878</v>
      </c>
      <c r="AL2599" s="5">
        <f t="shared" si="367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66"/>
        <v>0.25</v>
      </c>
      <c r="Z2600" s="2" t="s">
        <v>169</v>
      </c>
      <c r="AA2600" s="2" t="s">
        <v>169</v>
      </c>
      <c r="AF2600" s="2">
        <f t="shared" si="363"/>
        <v>0</v>
      </c>
      <c r="AJ2600" s="2">
        <f t="shared" si="364"/>
        <v>0</v>
      </c>
      <c r="AK2600" s="2">
        <f t="shared" si="365"/>
        <v>2</v>
      </c>
      <c r="AL2600" s="5">
        <f t="shared" si="367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66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63"/>
        <v>0</v>
      </c>
      <c r="AJ2601" s="2">
        <f t="shared" si="364"/>
        <v>0</v>
      </c>
      <c r="AK2601" s="2">
        <f t="shared" si="365"/>
        <v>100.57</v>
      </c>
      <c r="AL2601" s="5">
        <f t="shared" si="367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66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63"/>
        <v>0</v>
      </c>
      <c r="AJ2602" s="2">
        <f t="shared" si="364"/>
        <v>0</v>
      </c>
      <c r="AK2602" s="2">
        <f t="shared" si="365"/>
        <v>0</v>
      </c>
      <c r="AL2602" s="5">
        <f t="shared" si="367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366"/>
        <v>1</v>
      </c>
      <c r="Z2603" s="2" t="s">
        <v>119</v>
      </c>
      <c r="AA2603" s="2" t="s">
        <v>3379</v>
      </c>
      <c r="AF2603" s="2">
        <f t="shared" si="363"/>
        <v>0</v>
      </c>
      <c r="AJ2603" s="2">
        <f t="shared" si="364"/>
        <v>0</v>
      </c>
      <c r="AK2603" s="2">
        <f t="shared" si="365"/>
        <v>99.75</v>
      </c>
      <c r="AL2603" s="5">
        <f t="shared" si="367"/>
        <v>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66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63"/>
        <v>0</v>
      </c>
      <c r="AG2604" s="2">
        <v>6.6266999999999996</v>
      </c>
      <c r="AH2604" s="2">
        <v>12</v>
      </c>
      <c r="AJ2604" s="2">
        <f t="shared" si="364"/>
        <v>0</v>
      </c>
      <c r="AK2604" s="2">
        <f t="shared" si="365"/>
        <v>12.746600000000001</v>
      </c>
      <c r="AL2604" s="5">
        <f t="shared" si="367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66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63"/>
        <v>0</v>
      </c>
      <c r="AG2605" s="2">
        <v>10.6</v>
      </c>
      <c r="AH2605" s="2">
        <v>18</v>
      </c>
      <c r="AJ2605" s="2">
        <f t="shared" si="364"/>
        <v>0</v>
      </c>
      <c r="AK2605" s="2">
        <f t="shared" si="365"/>
        <v>14.8</v>
      </c>
      <c r="AL2605" s="5">
        <f t="shared" si="367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66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63"/>
        <v>0</v>
      </c>
      <c r="AJ2606" s="2">
        <f t="shared" si="364"/>
        <v>0</v>
      </c>
      <c r="AK2606" s="2">
        <f t="shared" si="365"/>
        <v>58.988399999999999</v>
      </c>
      <c r="AL2606" s="5">
        <f t="shared" si="367"/>
        <v>0.44878575776019475</v>
      </c>
    </row>
    <row r="2607" spans="1:38" x14ac:dyDescent="0.2">
      <c r="A2607" s="2">
        <v>2025</v>
      </c>
      <c r="B2607" s="2">
        <v>9</v>
      </c>
      <c r="C2607" s="2" t="s">
        <v>3486</v>
      </c>
      <c r="D2607" s="2" t="s">
        <v>3485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66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63"/>
        <v>0</v>
      </c>
      <c r="AJ2607" s="2">
        <f t="shared" si="364"/>
        <v>0</v>
      </c>
      <c r="AK2607" s="2">
        <f t="shared" si="365"/>
        <v>1615.7700000000004</v>
      </c>
      <c r="AL2607" s="5">
        <f t="shared" si="367"/>
        <v>0.24188173652694617</v>
      </c>
    </row>
    <row r="2608" spans="1:38" x14ac:dyDescent="0.2">
      <c r="A2608" s="2">
        <v>2025</v>
      </c>
      <c r="B2608" s="2">
        <v>9</v>
      </c>
      <c r="C2608" s="2" t="s">
        <v>3486</v>
      </c>
      <c r="D2608" s="2" t="s">
        <v>3485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63"/>
        <v>0</v>
      </c>
      <c r="AJ2608" s="2">
        <f t="shared" si="364"/>
        <v>0</v>
      </c>
      <c r="AK2608" s="2">
        <f t="shared" si="365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366"/>
        <v>1</v>
      </c>
      <c r="Z2609" s="2" t="s">
        <v>119</v>
      </c>
      <c r="AA2609" s="2" t="s">
        <v>3379</v>
      </c>
      <c r="AF2609" s="2">
        <f t="shared" si="363"/>
        <v>0</v>
      </c>
      <c r="AJ2609" s="2">
        <f t="shared" si="364"/>
        <v>0</v>
      </c>
      <c r="AK2609" s="2">
        <f t="shared" si="365"/>
        <v>1520</v>
      </c>
      <c r="AL2609" s="5">
        <f t="shared" si="367"/>
        <v>1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66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63"/>
        <v>0</v>
      </c>
      <c r="AJ2610" s="2">
        <f t="shared" si="364"/>
        <v>0</v>
      </c>
      <c r="AK2610" s="2">
        <f t="shared" si="365"/>
        <v>21.106599999999997</v>
      </c>
      <c r="AL2610" s="5">
        <f t="shared" si="367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66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63"/>
        <v>0</v>
      </c>
      <c r="AJ2611" s="2">
        <f t="shared" si="364"/>
        <v>0</v>
      </c>
      <c r="AK2611" s="2">
        <f t="shared" si="365"/>
        <v>18.917999999999999</v>
      </c>
      <c r="AL2611" s="5">
        <f t="shared" si="367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66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63"/>
        <v>0</v>
      </c>
      <c r="AJ2612" s="2">
        <f t="shared" si="364"/>
        <v>0</v>
      </c>
      <c r="AK2612" s="2">
        <f t="shared" si="365"/>
        <v>250.9734</v>
      </c>
      <c r="AL2612" s="5">
        <f t="shared" si="367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66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63"/>
        <v>0</v>
      </c>
      <c r="AG2613" s="2">
        <v>5.2972999999999999</v>
      </c>
      <c r="AH2613" s="2">
        <v>10.8</v>
      </c>
      <c r="AJ2613" s="2">
        <f t="shared" si="364"/>
        <v>0</v>
      </c>
      <c r="AK2613" s="2">
        <f t="shared" si="365"/>
        <v>8.6053999999999995</v>
      </c>
      <c r="AL2613" s="5">
        <f t="shared" si="367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66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63"/>
        <v>0</v>
      </c>
      <c r="AJ2614" s="2">
        <f t="shared" si="364"/>
        <v>0</v>
      </c>
      <c r="AK2614" s="2">
        <f t="shared" si="365"/>
        <v>47.4</v>
      </c>
      <c r="AL2614" s="5">
        <f t="shared" si="367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68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63"/>
        <v>0</v>
      </c>
      <c r="AJ2615" s="2">
        <f t="shared" si="364"/>
        <v>0</v>
      </c>
      <c r="AK2615" s="2">
        <f t="shared" si="365"/>
        <v>25</v>
      </c>
      <c r="AL2615" s="5">
        <f t="shared" si="367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68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63"/>
        <v>0</v>
      </c>
      <c r="AJ2616" s="2">
        <f t="shared" si="364"/>
        <v>0</v>
      </c>
      <c r="AK2616" s="2">
        <f t="shared" si="365"/>
        <v>98.02</v>
      </c>
      <c r="AL2616" s="5">
        <f t="shared" si="367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68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63"/>
        <v>0</v>
      </c>
      <c r="AJ2617" s="2">
        <f t="shared" si="364"/>
        <v>0</v>
      </c>
      <c r="AK2617" s="2">
        <f t="shared" si="365"/>
        <v>0</v>
      </c>
      <c r="AL2617" s="5">
        <f t="shared" si="367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68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63"/>
        <v>0</v>
      </c>
      <c r="AJ2618" s="2">
        <f t="shared" si="364"/>
        <v>0</v>
      </c>
      <c r="AK2618" s="2">
        <f t="shared" si="365"/>
        <v>85.024799999999999</v>
      </c>
      <c r="AL2618" s="5">
        <f t="shared" si="367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68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63"/>
        <v>0</v>
      </c>
      <c r="AJ2619" s="2">
        <f t="shared" si="364"/>
        <v>0</v>
      </c>
      <c r="AK2619" s="2">
        <f t="shared" si="365"/>
        <v>90.592199999999991</v>
      </c>
      <c r="AL2619" s="5">
        <f t="shared" si="367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68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63"/>
        <v>0</v>
      </c>
      <c r="AG2620" s="2">
        <v>117.453</v>
      </c>
      <c r="AH2620" s="2">
        <v>220</v>
      </c>
      <c r="AJ2620" s="2">
        <f t="shared" si="364"/>
        <v>0</v>
      </c>
      <c r="AK2620" s="2">
        <f t="shared" si="365"/>
        <v>205.09399999999999</v>
      </c>
      <c r="AL2620" s="5">
        <f t="shared" si="367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68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63"/>
        <v>0</v>
      </c>
      <c r="AJ2621" s="2">
        <f t="shared" si="364"/>
        <v>0</v>
      </c>
      <c r="AK2621" s="2">
        <f t="shared" si="365"/>
        <v>0</v>
      </c>
      <c r="AL2621" s="5">
        <f t="shared" si="367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368"/>
        <v>1</v>
      </c>
      <c r="AF2622" s="2">
        <f t="shared" si="363"/>
        <v>0</v>
      </c>
      <c r="AJ2622" s="2">
        <f t="shared" si="364"/>
        <v>0</v>
      </c>
      <c r="AK2622" s="2">
        <f t="shared" si="365"/>
        <v>430</v>
      </c>
      <c r="AL2622" s="5">
        <f t="shared" si="367"/>
        <v>1</v>
      </c>
    </row>
    <row r="2623" spans="1:38" x14ac:dyDescent="0.2">
      <c r="A2623" s="2">
        <v>2025</v>
      </c>
      <c r="B2623" s="2">
        <v>9</v>
      </c>
      <c r="D2623" s="2" t="s">
        <v>2221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368"/>
        <v>1</v>
      </c>
      <c r="AF2623" s="2">
        <f t="shared" si="363"/>
        <v>0</v>
      </c>
      <c r="AJ2623" s="2">
        <f t="shared" si="364"/>
        <v>0</v>
      </c>
      <c r="AK2623" s="2">
        <f t="shared" si="365"/>
        <v>725.58</v>
      </c>
      <c r="AL2623" s="5">
        <f t="shared" si="367"/>
        <v>1</v>
      </c>
    </row>
    <row r="2624" spans="1:38" x14ac:dyDescent="0.2">
      <c r="A2624" s="2">
        <v>2025</v>
      </c>
      <c r="B2624" s="2">
        <v>9</v>
      </c>
      <c r="C2624" s="2" t="s">
        <v>3410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68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63"/>
        <v>0</v>
      </c>
      <c r="AJ2624" s="2">
        <f t="shared" si="364"/>
        <v>0</v>
      </c>
      <c r="AK2624" s="2">
        <f t="shared" si="365"/>
        <v>375.03</v>
      </c>
      <c r="AL2624" s="5">
        <f t="shared" si="367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68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63"/>
        <v>0</v>
      </c>
      <c r="AJ2625" s="2">
        <f t="shared" si="364"/>
        <v>0</v>
      </c>
      <c r="AK2625" s="2">
        <f t="shared" si="365"/>
        <v>10.593299999999999</v>
      </c>
      <c r="AL2625" s="5">
        <f t="shared" si="367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68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69">AJ2626</f>
        <v>0</v>
      </c>
      <c r="AG2626" s="2">
        <v>9.14</v>
      </c>
      <c r="AH2626" s="2">
        <v>16</v>
      </c>
      <c r="AJ2626" s="2">
        <f t="shared" ref="AJ2626:AJ2689" si="370">AI2626*T2626</f>
        <v>0</v>
      </c>
      <c r="AK2626" s="2">
        <f t="shared" si="365"/>
        <v>19.300000000000004</v>
      </c>
      <c r="AL2626" s="5">
        <f t="shared" si="367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68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69"/>
        <v>0</v>
      </c>
      <c r="AG2627" s="2">
        <v>15.020300000000001</v>
      </c>
      <c r="AH2627" s="2">
        <v>27.6</v>
      </c>
      <c r="AJ2627" s="2">
        <f t="shared" si="370"/>
        <v>0</v>
      </c>
      <c r="AK2627" s="2">
        <f t="shared" si="365"/>
        <v>27.918799999999997</v>
      </c>
      <c r="AL2627" s="5">
        <f t="shared" si="367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68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69"/>
        <v>0</v>
      </c>
      <c r="AG2628" s="2">
        <v>8.3145000000000007</v>
      </c>
      <c r="AH2628" s="2">
        <v>15</v>
      </c>
      <c r="AJ2628" s="2">
        <f t="shared" si="370"/>
        <v>0</v>
      </c>
      <c r="AK2628" s="2">
        <f t="shared" si="365"/>
        <v>9.3709999999999987</v>
      </c>
      <c r="AL2628" s="5">
        <f t="shared" si="367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68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69"/>
        <v>0</v>
      </c>
      <c r="AJ2629" s="2">
        <f t="shared" si="370"/>
        <v>0</v>
      </c>
      <c r="AK2629" s="2">
        <f t="shared" si="365"/>
        <v>29</v>
      </c>
      <c r="AL2629" s="5">
        <f t="shared" si="367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68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69"/>
        <v>0</v>
      </c>
      <c r="AG2630" s="2">
        <v>9.14</v>
      </c>
      <c r="AH2630" s="2">
        <v>16</v>
      </c>
      <c r="AJ2630" s="2">
        <f t="shared" si="370"/>
        <v>0</v>
      </c>
      <c r="AK2630" s="2">
        <f t="shared" si="365"/>
        <v>4.8600000000000012</v>
      </c>
      <c r="AL2630" s="5">
        <f t="shared" si="367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68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69"/>
        <v>0</v>
      </c>
      <c r="AG2631" s="2">
        <v>8.1999999999999993</v>
      </c>
      <c r="AH2631" s="2">
        <v>13</v>
      </c>
      <c r="AJ2631" s="2">
        <f t="shared" si="370"/>
        <v>0</v>
      </c>
      <c r="AK2631" s="2">
        <f t="shared" si="365"/>
        <v>4.7999999999999989</v>
      </c>
      <c r="AL2631" s="5">
        <f t="shared" si="367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68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69"/>
        <v>0</v>
      </c>
      <c r="AJ2632" s="2">
        <f t="shared" si="370"/>
        <v>0</v>
      </c>
      <c r="AK2632" s="2">
        <f t="shared" si="365"/>
        <v>5.8600000000000012</v>
      </c>
      <c r="AL2632" s="5">
        <f t="shared" si="367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68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69"/>
        <v>0</v>
      </c>
      <c r="AJ2633" s="2">
        <f t="shared" si="370"/>
        <v>0</v>
      </c>
      <c r="AK2633" s="2">
        <f t="shared" si="365"/>
        <v>100.53999999999999</v>
      </c>
      <c r="AL2633" s="5">
        <f t="shared" si="367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68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69"/>
        <v>0</v>
      </c>
      <c r="AG2634" s="2">
        <v>1.1399999999999999</v>
      </c>
      <c r="AH2634" s="2">
        <v>1.1399999999999999</v>
      </c>
      <c r="AJ2634" s="2">
        <f t="shared" si="370"/>
        <v>0</v>
      </c>
      <c r="AK2634" s="2">
        <f t="shared" si="365"/>
        <v>0</v>
      </c>
      <c r="AL2634" s="5">
        <f t="shared" si="367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68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69"/>
        <v>0</v>
      </c>
      <c r="AG2635" s="2">
        <v>5.35</v>
      </c>
      <c r="AJ2635" s="2">
        <f t="shared" si="370"/>
        <v>0</v>
      </c>
      <c r="AK2635" s="2">
        <f t="shared" si="365"/>
        <v>5.9</v>
      </c>
      <c r="AL2635" s="5">
        <f t="shared" si="367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368"/>
        <v>1</v>
      </c>
      <c r="AF2636" s="2">
        <f t="shared" si="369"/>
        <v>0</v>
      </c>
      <c r="AJ2636" s="2">
        <f t="shared" si="370"/>
        <v>0</v>
      </c>
      <c r="AK2636" s="2">
        <f t="shared" si="365"/>
        <v>145.26</v>
      </c>
      <c r="AL2636" s="5">
        <f t="shared" si="367"/>
        <v>1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368"/>
        <v>1</v>
      </c>
      <c r="AF2637" s="2">
        <f t="shared" si="369"/>
        <v>0</v>
      </c>
      <c r="AJ2637" s="2">
        <f t="shared" si="370"/>
        <v>0</v>
      </c>
      <c r="AK2637" s="2">
        <f t="shared" si="365"/>
        <v>9.82</v>
      </c>
      <c r="AL2637" s="5">
        <f t="shared" si="367"/>
        <v>1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68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69"/>
        <v>0</v>
      </c>
      <c r="AJ2638" s="2">
        <f t="shared" si="370"/>
        <v>0</v>
      </c>
      <c r="AK2638" s="2">
        <f t="shared" si="365"/>
        <v>30</v>
      </c>
      <c r="AL2638" s="5">
        <f t="shared" si="367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68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69"/>
        <v>0</v>
      </c>
      <c r="AJ2639" s="2">
        <f t="shared" si="370"/>
        <v>0</v>
      </c>
      <c r="AK2639" s="2">
        <f t="shared" si="365"/>
        <v>50</v>
      </c>
      <c r="AL2639" s="5">
        <f t="shared" si="367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368"/>
        <v>1</v>
      </c>
      <c r="Z2640" s="2" t="s">
        <v>119</v>
      </c>
      <c r="AA2640" s="2" t="s">
        <v>3379</v>
      </c>
      <c r="AF2640" s="2">
        <f t="shared" si="369"/>
        <v>0</v>
      </c>
      <c r="AJ2640" s="2">
        <f t="shared" si="370"/>
        <v>0</v>
      </c>
      <c r="AK2640" s="2">
        <f t="shared" si="365"/>
        <v>278.01</v>
      </c>
      <c r="AL2640" s="5">
        <f t="shared" si="367"/>
        <v>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68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69"/>
        <v>0</v>
      </c>
      <c r="AG2641" s="2">
        <f>144.14+15.4</f>
        <v>159.54</v>
      </c>
      <c r="AH2641" s="2">
        <v>280</v>
      </c>
      <c r="AJ2641" s="2">
        <f t="shared" si="370"/>
        <v>0</v>
      </c>
      <c r="AK2641" s="2">
        <f t="shared" si="365"/>
        <v>110.46000000000001</v>
      </c>
      <c r="AL2641" s="5">
        <f t="shared" si="367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68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69"/>
        <v>0</v>
      </c>
      <c r="AJ2642" s="2">
        <f t="shared" si="370"/>
        <v>0</v>
      </c>
      <c r="AK2642" s="2">
        <f t="shared" si="365"/>
        <v>0</v>
      </c>
      <c r="AL2642" s="5">
        <f t="shared" si="367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68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69"/>
        <v>0</v>
      </c>
      <c r="AG2643" s="2">
        <v>10.6</v>
      </c>
      <c r="AH2643" s="2">
        <v>18</v>
      </c>
      <c r="AJ2643" s="2">
        <f t="shared" si="370"/>
        <v>0</v>
      </c>
      <c r="AK2643" s="2">
        <f t="shared" si="365"/>
        <v>34</v>
      </c>
      <c r="AL2643" s="5">
        <f t="shared" si="367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368"/>
        <v>1</v>
      </c>
      <c r="AF2644" s="2">
        <f t="shared" si="369"/>
        <v>0</v>
      </c>
      <c r="AJ2644" s="2">
        <f t="shared" si="370"/>
        <v>0</v>
      </c>
      <c r="AK2644" s="2">
        <f t="shared" ref="AK2644:AK2707" si="371">T2644-W2644</f>
        <v>900</v>
      </c>
      <c r="AL2644" s="5">
        <f t="shared" si="367"/>
        <v>1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368"/>
        <v>1</v>
      </c>
      <c r="Z2645" s="2" t="s">
        <v>119</v>
      </c>
      <c r="AA2645" s="2" t="s">
        <v>3379</v>
      </c>
      <c r="AF2645" s="2">
        <f t="shared" si="369"/>
        <v>0</v>
      </c>
      <c r="AJ2645" s="2">
        <f t="shared" si="370"/>
        <v>0</v>
      </c>
      <c r="AK2645" s="2">
        <f t="shared" si="371"/>
        <v>100.94</v>
      </c>
      <c r="AL2645" s="5">
        <f t="shared" si="367"/>
        <v>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68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69"/>
        <v>0</v>
      </c>
      <c r="AJ2646" s="2">
        <f t="shared" si="370"/>
        <v>0</v>
      </c>
      <c r="AK2646" s="2">
        <f t="shared" si="371"/>
        <v>84.844999999999999</v>
      </c>
      <c r="AL2646" s="5">
        <f t="shared" si="367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372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69"/>
        <v>0</v>
      </c>
      <c r="AJ2647" s="2">
        <f t="shared" si="370"/>
        <v>0</v>
      </c>
      <c r="AK2647" s="2">
        <f t="shared" si="371"/>
        <v>0</v>
      </c>
      <c r="AL2647" s="5">
        <f t="shared" si="367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372"/>
        <v>1</v>
      </c>
      <c r="Z2648" s="2" t="s">
        <v>104</v>
      </c>
      <c r="AF2648" s="2">
        <f t="shared" si="369"/>
        <v>0</v>
      </c>
      <c r="AJ2648" s="2">
        <f t="shared" si="370"/>
        <v>0</v>
      </c>
      <c r="AK2648" s="2">
        <f t="shared" si="371"/>
        <v>2840</v>
      </c>
      <c r="AL2648" s="5">
        <f t="shared" si="367"/>
        <v>1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372"/>
        <v>1</v>
      </c>
      <c r="Z2649" s="2" t="s">
        <v>117</v>
      </c>
      <c r="AA2649" s="2" t="s">
        <v>317</v>
      </c>
      <c r="AF2649" s="2">
        <f t="shared" si="369"/>
        <v>0</v>
      </c>
      <c r="AJ2649" s="2">
        <f t="shared" si="370"/>
        <v>0</v>
      </c>
      <c r="AK2649" s="2">
        <f t="shared" si="371"/>
        <v>975</v>
      </c>
      <c r="AL2649" s="5">
        <f t="shared" si="367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372"/>
        <v>#DIV/0!</v>
      </c>
      <c r="Z2650" s="2" t="s">
        <v>117</v>
      </c>
      <c r="AA2650" s="2" t="s">
        <v>317</v>
      </c>
      <c r="AF2650" s="2">
        <f t="shared" si="369"/>
        <v>0</v>
      </c>
      <c r="AJ2650" s="2">
        <f t="shared" si="370"/>
        <v>0</v>
      </c>
      <c r="AK2650" s="2">
        <f t="shared" si="371"/>
        <v>0</v>
      </c>
      <c r="AL2650" s="5" t="e">
        <f t="shared" si="367"/>
        <v>#DIV/0!</v>
      </c>
    </row>
    <row r="2651" spans="1:38" x14ac:dyDescent="0.2">
      <c r="A2651" s="2">
        <v>2025</v>
      </c>
      <c r="B2651" s="2">
        <v>9</v>
      </c>
      <c r="D2651" s="2" t="s">
        <v>1788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369"/>
        <v>0</v>
      </c>
      <c r="AJ2651" s="2">
        <f t="shared" si="370"/>
        <v>0</v>
      </c>
      <c r="AK2651" s="2">
        <f t="shared" si="371"/>
        <v>0</v>
      </c>
      <c r="AL2651" s="5" t="e">
        <f t="shared" si="367"/>
        <v>#DIV/0!</v>
      </c>
    </row>
    <row r="2652" spans="1:38" x14ac:dyDescent="0.2">
      <c r="A2652" s="2">
        <v>2025</v>
      </c>
      <c r="B2652" s="2">
        <v>9</v>
      </c>
      <c r="D2652" s="2" t="s">
        <v>1788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ref="X2652:X2683" si="373">(T2652-W2652)/T2652</f>
        <v>1</v>
      </c>
      <c r="Z2652" s="2" t="s">
        <v>104</v>
      </c>
      <c r="AF2652" s="2">
        <f t="shared" si="369"/>
        <v>0</v>
      </c>
      <c r="AJ2652" s="2">
        <f t="shared" si="370"/>
        <v>0</v>
      </c>
      <c r="AK2652" s="2">
        <f t="shared" si="371"/>
        <v>15990</v>
      </c>
      <c r="AL2652" s="5">
        <f t="shared" si="367"/>
        <v>1</v>
      </c>
    </row>
    <row r="2653" spans="1:38" x14ac:dyDescent="0.2">
      <c r="A2653" s="2">
        <v>2025</v>
      </c>
      <c r="B2653" s="2">
        <v>9</v>
      </c>
      <c r="D2653" s="2" t="s">
        <v>1788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si="373"/>
        <v>1.6672545340838025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69"/>
        <v>0</v>
      </c>
      <c r="AJ2653" s="2">
        <f t="shared" si="370"/>
        <v>0</v>
      </c>
      <c r="AK2653" s="2">
        <f t="shared" si="371"/>
        <v>-26659.4</v>
      </c>
      <c r="AL2653" s="5">
        <f t="shared" ref="AL2653:AL2716" si="374">(T2653-W2653)/T2653</f>
        <v>1.6672545340838025</v>
      </c>
    </row>
    <row r="2654" spans="1:38" x14ac:dyDescent="0.2">
      <c r="A2654" s="2">
        <v>2025</v>
      </c>
      <c r="B2654" s="2">
        <v>9</v>
      </c>
      <c r="C2654" s="2" t="s">
        <v>3440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373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69"/>
        <v>0</v>
      </c>
      <c r="AG2654" s="2">
        <v>1.1122000000000001</v>
      </c>
      <c r="AH2654" s="2">
        <v>3</v>
      </c>
      <c r="AJ2654" s="2">
        <f t="shared" si="370"/>
        <v>0</v>
      </c>
      <c r="AK2654" s="2">
        <f t="shared" si="371"/>
        <v>15.102399999999999</v>
      </c>
      <c r="AL2654" s="5">
        <f t="shared" si="374"/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373"/>
        <v>0.4</v>
      </c>
      <c r="Z2655" s="2" t="s">
        <v>3226</v>
      </c>
      <c r="AA2655" s="2" t="s">
        <v>46</v>
      </c>
      <c r="AB2655" s="2" t="s">
        <v>60</v>
      </c>
      <c r="AC2655" s="2" t="s">
        <v>3331</v>
      </c>
      <c r="AF2655" s="2">
        <f t="shared" si="369"/>
        <v>0</v>
      </c>
      <c r="AJ2655" s="2">
        <f t="shared" si="370"/>
        <v>0</v>
      </c>
      <c r="AK2655" s="2">
        <f t="shared" si="371"/>
        <v>116</v>
      </c>
      <c r="AL2655" s="5">
        <f t="shared" si="37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373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3331</v>
      </c>
      <c r="AF2656" s="2">
        <f t="shared" si="369"/>
        <v>0</v>
      </c>
      <c r="AJ2656" s="2">
        <f t="shared" si="370"/>
        <v>0</v>
      </c>
      <c r="AK2656" s="2">
        <f t="shared" si="371"/>
        <v>127.60000000000002</v>
      </c>
      <c r="AL2656" s="5">
        <f t="shared" si="37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373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69"/>
        <v>0</v>
      </c>
      <c r="AG2657" s="2">
        <f>132.55+8.31</f>
        <v>140.86000000000001</v>
      </c>
      <c r="AH2657" s="2">
        <v>250</v>
      </c>
      <c r="AJ2657" s="2">
        <f t="shared" si="370"/>
        <v>0</v>
      </c>
      <c r="AK2657" s="2">
        <f t="shared" si="371"/>
        <v>129.13999999999999</v>
      </c>
      <c r="AL2657" s="5">
        <f t="shared" si="37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373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69"/>
        <v>0</v>
      </c>
      <c r="AJ2658" s="2">
        <f t="shared" si="370"/>
        <v>0</v>
      </c>
      <c r="AK2658" s="2">
        <f t="shared" si="371"/>
        <v>0</v>
      </c>
      <c r="AL2658" s="5">
        <f t="shared" si="37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373"/>
        <v>1</v>
      </c>
      <c r="Z2659" s="2" t="s">
        <v>117</v>
      </c>
      <c r="AA2659" s="2" t="s">
        <v>317</v>
      </c>
      <c r="AF2659" s="2">
        <f t="shared" si="369"/>
        <v>0</v>
      </c>
      <c r="AJ2659" s="2">
        <f t="shared" si="370"/>
        <v>0</v>
      </c>
      <c r="AK2659" s="2">
        <f t="shared" si="371"/>
        <v>-975</v>
      </c>
      <c r="AL2659" s="5">
        <f t="shared" si="374"/>
        <v>1</v>
      </c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373"/>
        <v>#DIV/0!</v>
      </c>
      <c r="Z2660" s="2" t="s">
        <v>117</v>
      </c>
      <c r="AA2660" s="2" t="s">
        <v>317</v>
      </c>
      <c r="AF2660" s="2">
        <f t="shared" si="369"/>
        <v>0</v>
      </c>
      <c r="AJ2660" s="2">
        <f t="shared" si="370"/>
        <v>0</v>
      </c>
      <c r="AK2660" s="2">
        <f t="shared" si="371"/>
        <v>0</v>
      </c>
      <c r="AL2660" s="5" t="e">
        <f t="shared" si="374"/>
        <v>#DIV/0!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373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69"/>
        <v>0</v>
      </c>
      <c r="AG2661" s="2">
        <v>5.35</v>
      </c>
      <c r="AJ2661" s="2">
        <f t="shared" si="370"/>
        <v>0</v>
      </c>
      <c r="AK2661" s="2">
        <f t="shared" si="371"/>
        <v>4.2900000000000009</v>
      </c>
      <c r="AL2661" s="5">
        <f t="shared" si="37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373"/>
        <v>0.25</v>
      </c>
      <c r="Z2662" s="2" t="s">
        <v>169</v>
      </c>
      <c r="AA2662" s="2" t="s">
        <v>169</v>
      </c>
      <c r="AF2662" s="2">
        <f t="shared" si="369"/>
        <v>0</v>
      </c>
      <c r="AJ2662" s="2">
        <f t="shared" si="370"/>
        <v>0</v>
      </c>
      <c r="AK2662" s="2">
        <f t="shared" si="371"/>
        <v>2</v>
      </c>
      <c r="AL2662" s="5">
        <f t="shared" si="37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373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69"/>
        <v>0</v>
      </c>
      <c r="AJ2663" s="2">
        <f t="shared" si="370"/>
        <v>0</v>
      </c>
      <c r="AK2663" s="2">
        <f t="shared" si="371"/>
        <v>10.14</v>
      </c>
      <c r="AL2663" s="5">
        <f t="shared" si="37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373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69"/>
        <v>0</v>
      </c>
      <c r="AG2664" s="2">
        <v>3.7357999999999998</v>
      </c>
      <c r="AH2664" s="2">
        <v>9</v>
      </c>
      <c r="AJ2664" s="2">
        <f t="shared" si="370"/>
        <v>0</v>
      </c>
      <c r="AK2664" s="2">
        <f t="shared" si="371"/>
        <v>16.256799999999998</v>
      </c>
      <c r="AL2664" s="5">
        <f t="shared" si="37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373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69"/>
        <v>0</v>
      </c>
      <c r="AJ2665" s="2">
        <f t="shared" si="370"/>
        <v>0</v>
      </c>
      <c r="AK2665" s="2">
        <f t="shared" si="371"/>
        <v>144.2466</v>
      </c>
      <c r="AL2665" s="5">
        <f t="shared" si="37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373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69"/>
        <v>0</v>
      </c>
      <c r="AJ2666" s="2">
        <f t="shared" si="370"/>
        <v>0</v>
      </c>
      <c r="AK2666" s="2">
        <f t="shared" si="371"/>
        <v>0</v>
      </c>
      <c r="AL2666" s="5">
        <f t="shared" si="37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373"/>
        <v>1.5760888888888889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69"/>
        <v>0</v>
      </c>
      <c r="AJ2667" s="2">
        <f t="shared" si="370"/>
        <v>0</v>
      </c>
      <c r="AK2667" s="2">
        <f t="shared" si="371"/>
        <v>-2836.96</v>
      </c>
      <c r="AL2667" s="5">
        <f t="shared" si="374"/>
        <v>1.5760888888888889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373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69"/>
        <v>0</v>
      </c>
      <c r="AJ2668" s="2">
        <f t="shared" si="370"/>
        <v>0</v>
      </c>
      <c r="AK2668" s="2">
        <f t="shared" si="371"/>
        <v>763.04</v>
      </c>
      <c r="AL2668" s="5">
        <f t="shared" si="374"/>
        <v>0.42391111111111107</v>
      </c>
    </row>
    <row r="2669" spans="1:38" x14ac:dyDescent="0.2">
      <c r="A2669" s="2">
        <v>2025</v>
      </c>
      <c r="B2669" s="2">
        <v>9</v>
      </c>
      <c r="D2669" s="2" t="s">
        <v>816</v>
      </c>
      <c r="E2669" s="2" t="s">
        <v>38</v>
      </c>
      <c r="F2669" s="2" t="s">
        <v>39</v>
      </c>
      <c r="L2669" s="2" t="s">
        <v>480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373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69"/>
        <v>0</v>
      </c>
      <c r="AG2669" s="2">
        <v>121.46</v>
      </c>
      <c r="AH2669" s="2">
        <v>210</v>
      </c>
      <c r="AJ2669" s="2">
        <f t="shared" si="370"/>
        <v>0</v>
      </c>
      <c r="AK2669" s="2">
        <f t="shared" si="371"/>
        <v>88.54</v>
      </c>
      <c r="AL2669" s="5">
        <f t="shared" si="374"/>
        <v>0.42161904761904767</v>
      </c>
    </row>
    <row r="2670" spans="1:38" x14ac:dyDescent="0.2">
      <c r="A2670" s="2">
        <v>2025</v>
      </c>
      <c r="B2670" s="2">
        <v>9</v>
      </c>
      <c r="D2670" s="2" t="s">
        <v>816</v>
      </c>
      <c r="E2670" s="2" t="s">
        <v>38</v>
      </c>
      <c r="F2670" s="2" t="s">
        <v>39</v>
      </c>
      <c r="L2670" s="2" t="s">
        <v>480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373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69"/>
        <v>0</v>
      </c>
      <c r="AJ2670" s="2">
        <f t="shared" si="370"/>
        <v>0</v>
      </c>
      <c r="AK2670" s="2">
        <f t="shared" si="371"/>
        <v>0</v>
      </c>
      <c r="AL2670" s="5">
        <f t="shared" si="37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373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69"/>
        <v>0</v>
      </c>
      <c r="AG2671" s="2">
        <v>131.93</v>
      </c>
      <c r="AH2671" s="2">
        <v>220</v>
      </c>
      <c r="AJ2671" s="2">
        <f t="shared" si="370"/>
        <v>0</v>
      </c>
      <c r="AK2671" s="2">
        <f t="shared" si="371"/>
        <v>88.07</v>
      </c>
      <c r="AL2671" s="5">
        <f t="shared" si="37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373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69"/>
        <v>0</v>
      </c>
      <c r="AJ2672" s="2">
        <f t="shared" si="370"/>
        <v>0</v>
      </c>
      <c r="AK2672" s="2">
        <f t="shared" si="371"/>
        <v>0</v>
      </c>
      <c r="AL2672" s="5">
        <f t="shared" si="37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373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69"/>
        <v>0</v>
      </c>
      <c r="AG2673" s="2">
        <v>117.453</v>
      </c>
      <c r="AH2673" s="2">
        <v>220</v>
      </c>
      <c r="AJ2673" s="2">
        <f t="shared" si="370"/>
        <v>0</v>
      </c>
      <c r="AK2673" s="2">
        <f t="shared" si="371"/>
        <v>92.546999999999997</v>
      </c>
      <c r="AL2673" s="5">
        <f t="shared" si="37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373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69"/>
        <v>0</v>
      </c>
      <c r="AJ2674" s="2">
        <f t="shared" si="370"/>
        <v>0</v>
      </c>
      <c r="AK2674" s="2">
        <f t="shared" si="371"/>
        <v>0</v>
      </c>
      <c r="AL2674" s="5">
        <f t="shared" si="37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373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69"/>
        <v>0</v>
      </c>
      <c r="AJ2675" s="2">
        <f t="shared" si="370"/>
        <v>0</v>
      </c>
      <c r="AK2675" s="2">
        <f t="shared" si="371"/>
        <v>118.18399999999997</v>
      </c>
      <c r="AL2675" s="5">
        <f t="shared" si="37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373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69"/>
        <v>0</v>
      </c>
      <c r="AG2676" s="2">
        <v>2242.31</v>
      </c>
      <c r="AJ2676" s="2">
        <f t="shared" si="370"/>
        <v>0</v>
      </c>
      <c r="AK2676" s="2">
        <f t="shared" si="371"/>
        <v>407.69000000000005</v>
      </c>
      <c r="AL2676" s="5">
        <f t="shared" si="37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373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69"/>
        <v>0</v>
      </c>
      <c r="AJ2677" s="2">
        <f t="shared" si="370"/>
        <v>0</v>
      </c>
      <c r="AK2677" s="2">
        <f t="shared" si="371"/>
        <v>132.75</v>
      </c>
      <c r="AL2677" s="5">
        <f t="shared" si="37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373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69"/>
        <v>0</v>
      </c>
      <c r="AJ2678" s="2">
        <f t="shared" si="370"/>
        <v>0</v>
      </c>
      <c r="AK2678" s="2">
        <f t="shared" si="371"/>
        <v>101.25</v>
      </c>
      <c r="AL2678" s="5">
        <f t="shared" si="37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373"/>
        <v>1</v>
      </c>
      <c r="Z2679" s="2" t="s">
        <v>119</v>
      </c>
      <c r="AA2679" s="2" t="s">
        <v>3379</v>
      </c>
      <c r="AF2679" s="2">
        <f t="shared" si="369"/>
        <v>0</v>
      </c>
      <c r="AJ2679" s="2">
        <f t="shared" si="370"/>
        <v>0</v>
      </c>
      <c r="AK2679" s="2">
        <f t="shared" si="371"/>
        <v>75</v>
      </c>
      <c r="AL2679" s="5">
        <f t="shared" si="374"/>
        <v>1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373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69"/>
        <v>0</v>
      </c>
      <c r="AJ2680" s="2">
        <f t="shared" si="370"/>
        <v>0</v>
      </c>
      <c r="AK2680" s="2">
        <f t="shared" si="371"/>
        <v>25</v>
      </c>
      <c r="AL2680" s="5">
        <f t="shared" si="37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373"/>
        <v>1</v>
      </c>
      <c r="Z2681" s="2" t="s">
        <v>119</v>
      </c>
      <c r="AA2681" s="2" t="s">
        <v>3379</v>
      </c>
      <c r="AF2681" s="2">
        <f t="shared" si="369"/>
        <v>0</v>
      </c>
      <c r="AJ2681" s="2">
        <f t="shared" si="370"/>
        <v>0</v>
      </c>
      <c r="AK2681" s="2">
        <f t="shared" si="371"/>
        <v>178.91</v>
      </c>
      <c r="AL2681" s="5">
        <f t="shared" si="374"/>
        <v>1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373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69"/>
        <v>0</v>
      </c>
      <c r="AJ2682" s="2">
        <f t="shared" si="370"/>
        <v>0</v>
      </c>
      <c r="AK2682" s="2">
        <f t="shared" si="371"/>
        <v>278</v>
      </c>
      <c r="AL2682" s="5">
        <f t="shared" si="37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373"/>
        <v>1</v>
      </c>
      <c r="AF2683" s="2">
        <f t="shared" si="369"/>
        <v>0</v>
      </c>
      <c r="AJ2683" s="2">
        <f t="shared" si="370"/>
        <v>0</v>
      </c>
      <c r="AK2683" s="2">
        <f t="shared" si="371"/>
        <v>65.510000000000005</v>
      </c>
      <c r="AL2683" s="5">
        <f t="shared" si="37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375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69"/>
        <v>0</v>
      </c>
      <c r="AJ2684" s="2">
        <f t="shared" si="370"/>
        <v>0</v>
      </c>
      <c r="AK2684" s="2">
        <f t="shared" si="371"/>
        <v>42.599999999999994</v>
      </c>
      <c r="AL2684" s="5">
        <f t="shared" si="37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375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69"/>
        <v>0</v>
      </c>
      <c r="AJ2685" s="2">
        <f t="shared" si="370"/>
        <v>0</v>
      </c>
      <c r="AK2685" s="2">
        <f t="shared" si="371"/>
        <v>25</v>
      </c>
      <c r="AL2685" s="5">
        <f t="shared" si="37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375"/>
        <v>1</v>
      </c>
      <c r="Z2686" s="2" t="s">
        <v>119</v>
      </c>
      <c r="AA2686" s="2" t="s">
        <v>3379</v>
      </c>
      <c r="AF2686" s="2">
        <f t="shared" si="369"/>
        <v>0</v>
      </c>
      <c r="AJ2686" s="2">
        <f t="shared" si="370"/>
        <v>0</v>
      </c>
      <c r="AK2686" s="2">
        <f t="shared" si="371"/>
        <v>99.75</v>
      </c>
      <c r="AL2686" s="5">
        <f t="shared" si="374"/>
        <v>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375"/>
        <v>1</v>
      </c>
      <c r="AF2687" s="2">
        <f t="shared" si="369"/>
        <v>0</v>
      </c>
      <c r="AJ2687" s="2">
        <f t="shared" si="370"/>
        <v>0</v>
      </c>
      <c r="AK2687" s="2">
        <f t="shared" si="371"/>
        <v>234.11</v>
      </c>
      <c r="AL2687" s="5">
        <f t="shared" si="37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375"/>
        <v>0.4</v>
      </c>
      <c r="Z2688" s="2" t="s">
        <v>3226</v>
      </c>
      <c r="AA2688" s="2" t="s">
        <v>46</v>
      </c>
      <c r="AB2688" s="2" t="s">
        <v>60</v>
      </c>
      <c r="AC2688" s="2" t="s">
        <v>3331</v>
      </c>
      <c r="AF2688" s="2">
        <f t="shared" si="369"/>
        <v>0</v>
      </c>
      <c r="AJ2688" s="2">
        <f t="shared" si="370"/>
        <v>0</v>
      </c>
      <c r="AK2688" s="2">
        <f t="shared" si="371"/>
        <v>92.800000000000011</v>
      </c>
      <c r="AL2688" s="5">
        <f t="shared" si="374"/>
        <v>0.4</v>
      </c>
    </row>
    <row r="2689" spans="1:38" x14ac:dyDescent="0.2">
      <c r="A2689" s="2">
        <v>2025</v>
      </c>
      <c r="B2689" s="2">
        <v>9</v>
      </c>
      <c r="C2689" s="2" t="s">
        <v>3474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375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69"/>
        <v>0</v>
      </c>
      <c r="AJ2689" s="2">
        <f t="shared" si="370"/>
        <v>0</v>
      </c>
      <c r="AK2689" s="2">
        <f t="shared" si="371"/>
        <v>17.755000000000003</v>
      </c>
      <c r="AL2689" s="5">
        <f t="shared" si="374"/>
        <v>0.61649305555555567</v>
      </c>
    </row>
    <row r="2690" spans="1:38" x14ac:dyDescent="0.2">
      <c r="A2690" s="2">
        <v>2025</v>
      </c>
      <c r="B2690" s="2">
        <v>9</v>
      </c>
      <c r="C2690" s="2" t="s">
        <v>3474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375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376">AJ2690</f>
        <v>0</v>
      </c>
      <c r="AJ2690" s="2">
        <f t="shared" ref="AJ2690:AJ2753" si="377">AI2690*T2690</f>
        <v>0</v>
      </c>
      <c r="AK2690" s="2">
        <f t="shared" si="371"/>
        <v>10.593299999999999</v>
      </c>
      <c r="AL2690" s="5">
        <f t="shared" si="374"/>
        <v>0.44138749999999999</v>
      </c>
    </row>
    <row r="2691" spans="1:38" x14ac:dyDescent="0.2">
      <c r="A2691" s="2">
        <v>2025</v>
      </c>
      <c r="B2691" s="2">
        <v>9</v>
      </c>
      <c r="C2691" s="2" t="s">
        <v>3474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375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376"/>
        <v>0</v>
      </c>
      <c r="AJ2691" s="2">
        <f t="shared" si="377"/>
        <v>0</v>
      </c>
      <c r="AK2691" s="2">
        <f t="shared" si="371"/>
        <v>7.5654000000000003</v>
      </c>
      <c r="AL2691" s="5">
        <f t="shared" si="374"/>
        <v>0.45032142857142859</v>
      </c>
    </row>
    <row r="2692" spans="1:38" x14ac:dyDescent="0.2">
      <c r="A2692" s="2">
        <v>2025</v>
      </c>
      <c r="B2692" s="2">
        <v>9</v>
      </c>
      <c r="C2692" s="2" t="s">
        <v>3474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375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376"/>
        <v>0</v>
      </c>
      <c r="AG2692" s="2">
        <v>8.1999999999999993</v>
      </c>
      <c r="AH2692" s="2">
        <v>13</v>
      </c>
      <c r="AJ2692" s="2">
        <f t="shared" si="377"/>
        <v>0</v>
      </c>
      <c r="AK2692" s="2">
        <f t="shared" si="371"/>
        <v>28</v>
      </c>
      <c r="AL2692" s="5">
        <f t="shared" si="374"/>
        <v>0.25454545454545452</v>
      </c>
    </row>
    <row r="2693" spans="1:38" x14ac:dyDescent="0.2">
      <c r="A2693" s="2">
        <v>2025</v>
      </c>
      <c r="B2693" s="2">
        <v>9</v>
      </c>
      <c r="C2693" s="2" t="s">
        <v>3474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375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376"/>
        <v>0</v>
      </c>
      <c r="AJ2693" s="2">
        <f t="shared" si="377"/>
        <v>0</v>
      </c>
      <c r="AK2693" s="2">
        <f t="shared" si="371"/>
        <v>8.41</v>
      </c>
      <c r="AL2693" s="5">
        <f t="shared" si="37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375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376"/>
        <v>0</v>
      </c>
      <c r="AJ2694" s="2">
        <f t="shared" si="377"/>
        <v>0</v>
      </c>
      <c r="AK2694" s="2">
        <f t="shared" si="371"/>
        <v>160</v>
      </c>
      <c r="AL2694" s="5">
        <f t="shared" si="374"/>
        <v>1</v>
      </c>
    </row>
    <row r="2695" spans="1:38" x14ac:dyDescent="0.2">
      <c r="A2695" s="2">
        <v>2025</v>
      </c>
      <c r="B2695" s="2">
        <v>9</v>
      </c>
      <c r="C2695" s="2" t="s">
        <v>3440</v>
      </c>
      <c r="D2695" s="2" t="s">
        <v>3302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375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376"/>
        <v>0</v>
      </c>
      <c r="AJ2695" s="2">
        <f t="shared" si="377"/>
        <v>0</v>
      </c>
      <c r="AK2695" s="2">
        <f t="shared" si="371"/>
        <v>4330.6000000000004</v>
      </c>
      <c r="AL2695" s="5">
        <f t="shared" si="374"/>
        <v>0.28870666666666667</v>
      </c>
    </row>
    <row r="2696" spans="1:38" x14ac:dyDescent="0.2">
      <c r="A2696" s="2">
        <v>2025</v>
      </c>
      <c r="B2696" s="2">
        <v>9</v>
      </c>
      <c r="C2696" s="2" t="s">
        <v>3410</v>
      </c>
      <c r="D2696" s="2" t="s">
        <v>3458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375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376"/>
        <v>0</v>
      </c>
      <c r="AJ2696" s="2">
        <f t="shared" si="377"/>
        <v>0</v>
      </c>
      <c r="AK2696" s="2">
        <f t="shared" si="371"/>
        <v>2400</v>
      </c>
      <c r="AL2696" s="5">
        <f t="shared" si="37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375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376"/>
        <v>0</v>
      </c>
      <c r="AJ2697" s="2">
        <f t="shared" si="377"/>
        <v>0</v>
      </c>
      <c r="AK2697" s="2">
        <f t="shared" si="371"/>
        <v>35.83</v>
      </c>
      <c r="AL2697" s="5">
        <f t="shared" si="37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375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376"/>
        <v>0</v>
      </c>
      <c r="AJ2698" s="2">
        <f t="shared" si="377"/>
        <v>0</v>
      </c>
      <c r="AK2698" s="2">
        <f t="shared" si="371"/>
        <v>100.74</v>
      </c>
      <c r="AL2698" s="5">
        <f t="shared" si="37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375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376"/>
        <v>0</v>
      </c>
      <c r="AJ2699" s="2">
        <f t="shared" si="377"/>
        <v>0</v>
      </c>
      <c r="AK2699" s="2">
        <f t="shared" si="371"/>
        <v>0</v>
      </c>
      <c r="AL2699" s="5">
        <f t="shared" si="37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375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376"/>
        <v>0</v>
      </c>
      <c r="AG2700" s="2">
        <v>150.37</v>
      </c>
      <c r="AJ2700" s="2">
        <f t="shared" si="377"/>
        <v>0</v>
      </c>
      <c r="AK2700" s="2">
        <f t="shared" si="371"/>
        <v>52.879999999999995</v>
      </c>
      <c r="AL2700" s="5">
        <f t="shared" si="37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375"/>
        <v>0.23333333333333334</v>
      </c>
      <c r="Z2701" s="2" t="s">
        <v>169</v>
      </c>
      <c r="AA2701" s="2" t="s">
        <v>169</v>
      </c>
      <c r="AF2701" s="2">
        <f t="shared" si="376"/>
        <v>0</v>
      </c>
      <c r="AJ2701" s="2">
        <f t="shared" si="377"/>
        <v>0</v>
      </c>
      <c r="AK2701" s="2">
        <f t="shared" si="371"/>
        <v>7</v>
      </c>
      <c r="AL2701" s="5">
        <f t="shared" si="37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375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376"/>
        <v>0</v>
      </c>
      <c r="AG2702" s="2">
        <v>119.33</v>
      </c>
      <c r="AH2702" s="2">
        <v>220</v>
      </c>
      <c r="AJ2702" s="2">
        <f t="shared" si="377"/>
        <v>0</v>
      </c>
      <c r="AK2702" s="2">
        <f t="shared" si="371"/>
        <v>100.67</v>
      </c>
      <c r="AL2702" s="5">
        <f t="shared" si="37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375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376"/>
        <v>0</v>
      </c>
      <c r="AJ2703" s="2">
        <f t="shared" si="377"/>
        <v>0</v>
      </c>
      <c r="AK2703" s="2">
        <f t="shared" si="371"/>
        <v>0</v>
      </c>
      <c r="AL2703" s="5">
        <f t="shared" si="374"/>
        <v>0</v>
      </c>
    </row>
    <row r="2704" spans="1:38" x14ac:dyDescent="0.2">
      <c r="A2704" s="2">
        <v>2025</v>
      </c>
      <c r="B2704" s="2">
        <v>9</v>
      </c>
      <c r="D2704" s="2" t="s">
        <v>1255</v>
      </c>
      <c r="G2704" s="2">
        <v>513777377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375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376"/>
        <v>0</v>
      </c>
      <c r="AJ2704" s="2">
        <f t="shared" si="377"/>
        <v>0</v>
      </c>
      <c r="AK2704" s="2">
        <f t="shared" si="371"/>
        <v>443.61</v>
      </c>
      <c r="AL2704" s="5">
        <f t="shared" si="37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375"/>
        <v>1</v>
      </c>
      <c r="Z2705" s="2" t="s">
        <v>119</v>
      </c>
      <c r="AA2705" s="2" t="s">
        <v>492</v>
      </c>
      <c r="AF2705" s="2">
        <f t="shared" si="376"/>
        <v>0</v>
      </c>
      <c r="AJ2705" s="2">
        <f t="shared" si="377"/>
        <v>0</v>
      </c>
      <c r="AK2705" s="2">
        <f t="shared" si="371"/>
        <v>664.04</v>
      </c>
      <c r="AL2705" s="5">
        <f t="shared" si="37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375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376"/>
        <v>0</v>
      </c>
      <c r="AG2706" s="2">
        <v>6.6266999999999996</v>
      </c>
      <c r="AH2706" s="2">
        <v>12</v>
      </c>
      <c r="AJ2706" s="2">
        <f t="shared" si="377"/>
        <v>0</v>
      </c>
      <c r="AK2706" s="2">
        <f t="shared" si="371"/>
        <v>5.3733000000000004</v>
      </c>
      <c r="AL2706" s="5">
        <f t="shared" si="37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375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376"/>
        <v>0</v>
      </c>
      <c r="AG2707" s="2">
        <v>3.7357999999999998</v>
      </c>
      <c r="AH2707" s="2">
        <v>9</v>
      </c>
      <c r="AJ2707" s="2">
        <f t="shared" si="377"/>
        <v>0</v>
      </c>
      <c r="AK2707" s="2">
        <f t="shared" si="371"/>
        <v>4.0641999999999996</v>
      </c>
      <c r="AL2707" s="5">
        <f t="shared" si="37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375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376"/>
        <v>0</v>
      </c>
      <c r="AJ2708" s="2">
        <f t="shared" si="377"/>
        <v>0</v>
      </c>
      <c r="AK2708" s="2">
        <f t="shared" ref="AK2708:AK2771" si="378">T2708-W2708</f>
        <v>29.494199999999999</v>
      </c>
      <c r="AL2708" s="5">
        <f t="shared" si="37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375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376"/>
        <v>0</v>
      </c>
      <c r="AJ2709" s="2">
        <f t="shared" si="377"/>
        <v>0</v>
      </c>
      <c r="AK2709" s="2">
        <f t="shared" si="378"/>
        <v>22.5</v>
      </c>
      <c r="AL2709" s="5">
        <f t="shared" si="37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375"/>
        <v>1</v>
      </c>
      <c r="Z2710" s="2" t="s">
        <v>119</v>
      </c>
      <c r="AA2710" s="2" t="s">
        <v>3379</v>
      </c>
      <c r="AF2710" s="2">
        <f t="shared" si="376"/>
        <v>0</v>
      </c>
      <c r="AJ2710" s="2">
        <f t="shared" si="377"/>
        <v>0</v>
      </c>
      <c r="AK2710" s="2">
        <f t="shared" si="378"/>
        <v>418.99</v>
      </c>
      <c r="AL2710" s="5">
        <f t="shared" si="374"/>
        <v>1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375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376"/>
        <v>0</v>
      </c>
      <c r="AG2711" s="2">
        <v>10.6</v>
      </c>
      <c r="AH2711" s="2">
        <v>18</v>
      </c>
      <c r="AJ2711" s="2">
        <f t="shared" si="377"/>
        <v>0</v>
      </c>
      <c r="AK2711" s="2">
        <f t="shared" si="378"/>
        <v>22.200000000000003</v>
      </c>
      <c r="AL2711" s="5">
        <f t="shared" si="37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375"/>
        <v>0.29411764705882354</v>
      </c>
      <c r="Z2712" s="2" t="s">
        <v>169</v>
      </c>
      <c r="AA2712" s="2" t="s">
        <v>169</v>
      </c>
      <c r="AF2712" s="2">
        <f t="shared" si="376"/>
        <v>0</v>
      </c>
      <c r="AJ2712" s="2">
        <f t="shared" si="377"/>
        <v>0</v>
      </c>
      <c r="AK2712" s="2">
        <f t="shared" si="378"/>
        <v>2.5</v>
      </c>
      <c r="AL2712" s="5">
        <f t="shared" si="374"/>
        <v>0.29411764705882354</v>
      </c>
    </row>
    <row r="2713" spans="1:38" x14ac:dyDescent="0.2">
      <c r="A2713" s="2">
        <v>2025</v>
      </c>
      <c r="B2713" s="2">
        <v>9</v>
      </c>
      <c r="D2713" s="2" t="s">
        <v>850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375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376"/>
        <v>0</v>
      </c>
      <c r="AJ2713" s="2">
        <f t="shared" si="377"/>
        <v>0</v>
      </c>
      <c r="AK2713" s="2">
        <f t="shared" si="378"/>
        <v>122.71000000000001</v>
      </c>
      <c r="AL2713" s="5">
        <f t="shared" si="374"/>
        <v>0.45448148148148149</v>
      </c>
    </row>
    <row r="2714" spans="1:38" x14ac:dyDescent="0.2">
      <c r="A2714" s="2">
        <v>2025</v>
      </c>
      <c r="B2714" s="2">
        <v>9</v>
      </c>
      <c r="D2714" s="2" t="s">
        <v>850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375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376"/>
        <v>0</v>
      </c>
      <c r="AJ2714" s="2">
        <f t="shared" si="377"/>
        <v>0</v>
      </c>
      <c r="AK2714" s="2">
        <f t="shared" si="378"/>
        <v>0</v>
      </c>
      <c r="AL2714" s="5">
        <f t="shared" si="37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375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376"/>
        <v>0</v>
      </c>
      <c r="AG2715" s="2">
        <v>5.93</v>
      </c>
      <c r="AJ2715" s="2">
        <f t="shared" si="377"/>
        <v>0</v>
      </c>
      <c r="AK2715" s="2">
        <f t="shared" si="378"/>
        <v>3.0700000000000003</v>
      </c>
      <c r="AL2715" s="5">
        <f t="shared" si="37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379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376"/>
        <v>0</v>
      </c>
      <c r="AJ2716" s="2">
        <f t="shared" si="377"/>
        <v>0</v>
      </c>
      <c r="AK2716" s="2">
        <f t="shared" si="378"/>
        <v>9.865000000000002</v>
      </c>
      <c r="AL2716" s="5">
        <f t="shared" si="37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379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376"/>
        <v>0</v>
      </c>
      <c r="AG2717" s="2">
        <v>6.6266999999999996</v>
      </c>
      <c r="AH2717" s="2">
        <v>12</v>
      </c>
      <c r="AJ2717" s="2">
        <f t="shared" si="377"/>
        <v>0</v>
      </c>
      <c r="AK2717" s="2">
        <f t="shared" si="378"/>
        <v>10.746600000000001</v>
      </c>
      <c r="AL2717" s="5">
        <f t="shared" ref="AL2717:AL2773" si="380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379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376"/>
        <v>0</v>
      </c>
      <c r="AG2718" s="2">
        <v>10.2346</v>
      </c>
      <c r="AH2718" s="2">
        <v>18</v>
      </c>
      <c r="AJ2718" s="2">
        <f t="shared" si="377"/>
        <v>0</v>
      </c>
      <c r="AK2718" s="2">
        <f t="shared" si="378"/>
        <v>4.7999999999999989</v>
      </c>
      <c r="AL2718" s="5">
        <f t="shared" si="380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79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376"/>
        <v>0</v>
      </c>
      <c r="AG2719" s="2">
        <v>133.91669999999999</v>
      </c>
      <c r="AJ2719" s="2">
        <f t="shared" si="377"/>
        <v>0</v>
      </c>
      <c r="AK2719" s="2">
        <f t="shared" si="378"/>
        <v>106.08330000000001</v>
      </c>
      <c r="AL2719" s="5">
        <f t="shared" si="380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79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376"/>
        <v>0</v>
      </c>
      <c r="AG2720" s="2">
        <v>108.12</v>
      </c>
      <c r="AJ2720" s="2">
        <f t="shared" si="377"/>
        <v>0</v>
      </c>
      <c r="AK2720" s="2">
        <f t="shared" si="378"/>
        <v>101.88</v>
      </c>
      <c r="AL2720" s="5">
        <f t="shared" si="380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79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376"/>
        <v>0</v>
      </c>
      <c r="AJ2721" s="2">
        <f t="shared" si="377"/>
        <v>0</v>
      </c>
      <c r="AK2721" s="2">
        <f t="shared" si="378"/>
        <v>0</v>
      </c>
      <c r="AL2721" s="5">
        <f t="shared" si="380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379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376"/>
        <v>0</v>
      </c>
      <c r="AJ2722" s="2">
        <f t="shared" si="377"/>
        <v>0</v>
      </c>
      <c r="AK2722" s="2">
        <f t="shared" si="378"/>
        <v>545.75549999999998</v>
      </c>
      <c r="AL2722" s="5">
        <f t="shared" si="380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79"/>
        <v>1</v>
      </c>
      <c r="Z2723" s="2" t="s">
        <v>3226</v>
      </c>
      <c r="AF2723" s="2">
        <f t="shared" si="376"/>
        <v>0</v>
      </c>
      <c r="AJ2723" s="2">
        <f t="shared" si="377"/>
        <v>0</v>
      </c>
      <c r="AK2723" s="2">
        <f t="shared" si="378"/>
        <v>119</v>
      </c>
      <c r="AL2723" s="5">
        <f t="shared" si="380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79"/>
        <v>1</v>
      </c>
      <c r="Z2724" s="2" t="s">
        <v>3226</v>
      </c>
      <c r="AF2724" s="2">
        <f t="shared" si="376"/>
        <v>0</v>
      </c>
      <c r="AJ2724" s="2">
        <f t="shared" si="377"/>
        <v>0</v>
      </c>
      <c r="AK2724" s="2">
        <f t="shared" si="378"/>
        <v>12.39</v>
      </c>
      <c r="AL2724" s="5">
        <f t="shared" si="380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79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376"/>
        <v>0</v>
      </c>
      <c r="AG2725" s="2">
        <v>10</v>
      </c>
      <c r="AH2725" s="2">
        <v>21</v>
      </c>
      <c r="AJ2725" s="2">
        <f t="shared" si="377"/>
        <v>0</v>
      </c>
      <c r="AK2725" s="2">
        <f t="shared" si="378"/>
        <v>8.6000000000000014</v>
      </c>
      <c r="AL2725" s="5">
        <f t="shared" si="380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79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376"/>
        <v>0</v>
      </c>
      <c r="AG2726" s="2">
        <v>10.67</v>
      </c>
      <c r="AH2726" s="2">
        <v>21</v>
      </c>
      <c r="AJ2726" s="2">
        <f t="shared" si="377"/>
        <v>0</v>
      </c>
      <c r="AK2726" s="2">
        <f t="shared" si="378"/>
        <v>7.9300000000000015</v>
      </c>
      <c r="AL2726" s="5">
        <f t="shared" si="380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79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376"/>
        <v>0</v>
      </c>
      <c r="AG2727" s="2">
        <v>6.6266999999999996</v>
      </c>
      <c r="AH2727" s="2">
        <v>12</v>
      </c>
      <c r="AJ2727" s="2">
        <f t="shared" si="377"/>
        <v>0</v>
      </c>
      <c r="AK2727" s="2">
        <f t="shared" si="378"/>
        <v>6.3733000000000004</v>
      </c>
      <c r="AL2727" s="5">
        <f t="shared" si="380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79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376"/>
        <v>0</v>
      </c>
      <c r="AG2728" s="2">
        <v>10.6</v>
      </c>
      <c r="AH2728" s="2">
        <v>18</v>
      </c>
      <c r="AJ2728" s="2">
        <f t="shared" si="377"/>
        <v>0</v>
      </c>
      <c r="AK2728" s="2">
        <f t="shared" si="378"/>
        <v>7.4</v>
      </c>
      <c r="AL2728" s="5">
        <f t="shared" si="380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79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376"/>
        <v>0</v>
      </c>
      <c r="AG2729" s="2">
        <v>8.1999999999999993</v>
      </c>
      <c r="AH2729" s="2">
        <v>13</v>
      </c>
      <c r="AJ2729" s="2">
        <f t="shared" si="377"/>
        <v>0</v>
      </c>
      <c r="AK2729" s="2">
        <f t="shared" si="378"/>
        <v>4.7999999999999989</v>
      </c>
      <c r="AL2729" s="5">
        <f t="shared" si="380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379"/>
        <v>0.29992072480181192</v>
      </c>
      <c r="Z2730" s="2" t="s">
        <v>3226</v>
      </c>
      <c r="AA2730" s="2" t="s">
        <v>155</v>
      </c>
      <c r="AB2730" s="2" t="s">
        <v>3402</v>
      </c>
      <c r="AC2730" s="2" t="s">
        <v>1327</v>
      </c>
      <c r="AF2730" s="2">
        <f t="shared" si="376"/>
        <v>0</v>
      </c>
      <c r="AJ2730" s="2">
        <f t="shared" si="377"/>
        <v>0</v>
      </c>
      <c r="AK2730" s="2">
        <f t="shared" si="378"/>
        <v>15.889799999999994</v>
      </c>
      <c r="AL2730" s="5">
        <f t="shared" si="380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379"/>
        <v>0.30000000000000004</v>
      </c>
      <c r="Z2731" s="2" t="s">
        <v>3226</v>
      </c>
      <c r="AA2731" s="2" t="s">
        <v>155</v>
      </c>
      <c r="AB2731" s="2" t="s">
        <v>3402</v>
      </c>
      <c r="AC2731" s="2" t="s">
        <v>1327</v>
      </c>
      <c r="AF2731" s="2">
        <f t="shared" si="376"/>
        <v>0</v>
      </c>
      <c r="AJ2731" s="2">
        <f t="shared" si="377"/>
        <v>0</v>
      </c>
      <c r="AK2731" s="2">
        <f t="shared" si="378"/>
        <v>12.600000000000001</v>
      </c>
      <c r="AL2731" s="5">
        <f t="shared" si="380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79"/>
        <v>1</v>
      </c>
      <c r="Z2732" s="2" t="s">
        <v>3226</v>
      </c>
      <c r="AF2732" s="2">
        <f t="shared" si="376"/>
        <v>0</v>
      </c>
      <c r="AJ2732" s="2">
        <f t="shared" si="377"/>
        <v>0</v>
      </c>
      <c r="AK2732" s="2">
        <f t="shared" si="378"/>
        <v>59.95</v>
      </c>
      <c r="AL2732" s="5">
        <f t="shared" si="380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79"/>
        <v>1</v>
      </c>
      <c r="Z2733" s="2" t="s">
        <v>3226</v>
      </c>
      <c r="AF2733" s="2">
        <f t="shared" si="376"/>
        <v>0</v>
      </c>
      <c r="AJ2733" s="2">
        <f t="shared" si="377"/>
        <v>0</v>
      </c>
      <c r="AK2733" s="2">
        <f t="shared" si="378"/>
        <v>59.95</v>
      </c>
      <c r="AL2733" s="5">
        <f t="shared" si="380"/>
        <v>1</v>
      </c>
    </row>
    <row r="2734" spans="1:38" x14ac:dyDescent="0.2">
      <c r="A2734" s="2">
        <v>2025</v>
      </c>
      <c r="B2734" s="2">
        <v>9</v>
      </c>
      <c r="C2734" s="2" t="s">
        <v>3474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79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376"/>
        <v>0</v>
      </c>
      <c r="AJ2734" s="2">
        <f t="shared" si="377"/>
        <v>0</v>
      </c>
      <c r="AK2734" s="2">
        <f t="shared" si="378"/>
        <v>68.400000000000006</v>
      </c>
      <c r="AL2734" s="5">
        <f t="shared" si="380"/>
        <v>0.60000000000000009</v>
      </c>
    </row>
    <row r="2735" spans="1:38" x14ac:dyDescent="0.2">
      <c r="A2735" s="2">
        <v>2025</v>
      </c>
      <c r="B2735" s="2">
        <v>9</v>
      </c>
      <c r="C2735" s="2" t="s">
        <v>3474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79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376"/>
        <v>0</v>
      </c>
      <c r="AJ2735" s="2">
        <f t="shared" si="377"/>
        <v>0</v>
      </c>
      <c r="AK2735" s="2">
        <f t="shared" si="378"/>
        <v>100</v>
      </c>
      <c r="AL2735" s="5">
        <f t="shared" si="380"/>
        <v>0.5</v>
      </c>
    </row>
    <row r="2736" spans="1:38" x14ac:dyDescent="0.2">
      <c r="A2736" s="2">
        <v>2025</v>
      </c>
      <c r="B2736" s="2">
        <v>9</v>
      </c>
      <c r="C2736" s="2" t="s">
        <v>3474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79"/>
        <v>1</v>
      </c>
      <c r="Z2736" s="2" t="s">
        <v>119</v>
      </c>
      <c r="AA2736" s="2" t="s">
        <v>3379</v>
      </c>
      <c r="AF2736" s="2">
        <f t="shared" si="376"/>
        <v>0</v>
      </c>
      <c r="AJ2736" s="2">
        <f t="shared" si="377"/>
        <v>0</v>
      </c>
      <c r="AK2736" s="2">
        <f t="shared" si="378"/>
        <v>220.11</v>
      </c>
      <c r="AL2736" s="5">
        <f t="shared" si="380"/>
        <v>1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79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376"/>
        <v>0</v>
      </c>
      <c r="AG2737" s="2">
        <v>117.453</v>
      </c>
      <c r="AH2737" s="2">
        <v>220</v>
      </c>
      <c r="AJ2737" s="2">
        <f t="shared" si="377"/>
        <v>0</v>
      </c>
      <c r="AK2737" s="2">
        <f t="shared" si="378"/>
        <v>92.537000000000006</v>
      </c>
      <c r="AL2737" s="5">
        <f t="shared" si="380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79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376"/>
        <v>0</v>
      </c>
      <c r="AJ2738" s="2">
        <f t="shared" si="377"/>
        <v>0</v>
      </c>
      <c r="AK2738" s="2">
        <f t="shared" si="378"/>
        <v>0</v>
      </c>
      <c r="AL2738" s="5">
        <f t="shared" si="380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379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376"/>
        <v>0</v>
      </c>
      <c r="AG2739" s="2">
        <v>5.33</v>
      </c>
      <c r="AJ2739" s="2">
        <f t="shared" si="377"/>
        <v>0</v>
      </c>
      <c r="AK2739" s="2">
        <f t="shared" si="378"/>
        <v>13.829999999999998</v>
      </c>
      <c r="AL2739" s="5">
        <f t="shared" si="380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79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376"/>
        <v>0</v>
      </c>
      <c r="AG2740" s="2">
        <v>119.33</v>
      </c>
      <c r="AH2740" s="2">
        <v>220</v>
      </c>
      <c r="AJ2740" s="2">
        <f t="shared" si="377"/>
        <v>0</v>
      </c>
      <c r="AK2740" s="2">
        <f t="shared" si="378"/>
        <v>100.67</v>
      </c>
      <c r="AL2740" s="5">
        <f t="shared" si="380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79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376"/>
        <v>0</v>
      </c>
      <c r="AG2741" s="2">
        <v>1.1399999999999999</v>
      </c>
      <c r="AH2741" s="2">
        <v>1.1399999999999999</v>
      </c>
      <c r="AJ2741" s="2">
        <f t="shared" si="377"/>
        <v>0</v>
      </c>
      <c r="AK2741" s="2">
        <f t="shared" si="378"/>
        <v>0</v>
      </c>
      <c r="AL2741" s="5">
        <f t="shared" si="380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379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376"/>
        <v>0</v>
      </c>
      <c r="AJ2742" s="2">
        <f t="shared" si="377"/>
        <v>0</v>
      </c>
      <c r="AK2742" s="2">
        <f t="shared" si="378"/>
        <v>23.734599999999997</v>
      </c>
      <c r="AL2742" s="5">
        <f t="shared" si="380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79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376"/>
        <v>0</v>
      </c>
      <c r="AJ2743" s="2">
        <f t="shared" si="377"/>
        <v>0</v>
      </c>
      <c r="AK2743" s="2">
        <f t="shared" si="378"/>
        <v>64.199999999999989</v>
      </c>
      <c r="AL2743" s="5">
        <f t="shared" si="380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79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376"/>
        <v>0</v>
      </c>
      <c r="AJ2744" s="2">
        <f t="shared" si="377"/>
        <v>0</v>
      </c>
      <c r="AK2744" s="2">
        <f t="shared" si="378"/>
        <v>25</v>
      </c>
      <c r="AL2744" s="5">
        <f t="shared" si="380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79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376"/>
        <v>0</v>
      </c>
      <c r="AJ2745" s="2">
        <f t="shared" si="377"/>
        <v>0</v>
      </c>
      <c r="AK2745" s="2">
        <f t="shared" si="378"/>
        <v>123.57</v>
      </c>
      <c r="AL2745" s="5">
        <f t="shared" si="380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376"/>
        <v>0</v>
      </c>
      <c r="AJ2746" s="2">
        <f t="shared" si="377"/>
        <v>0</v>
      </c>
      <c r="AK2746" s="2">
        <f t="shared" si="378"/>
        <v>0</v>
      </c>
      <c r="AL2746" s="5" t="e">
        <f t="shared" si="380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381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376"/>
        <v>0</v>
      </c>
      <c r="AJ2747" s="2">
        <f t="shared" si="377"/>
        <v>0</v>
      </c>
      <c r="AK2747" s="2">
        <f t="shared" si="378"/>
        <v>199.5</v>
      </c>
      <c r="AL2747" s="5">
        <f t="shared" si="380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81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376"/>
        <v>0</v>
      </c>
      <c r="AJ2748" s="2">
        <f t="shared" si="377"/>
        <v>0</v>
      </c>
      <c r="AK2748" s="2">
        <f t="shared" si="378"/>
        <v>61.199999999999996</v>
      </c>
      <c r="AL2748" s="5">
        <f t="shared" si="380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81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376"/>
        <v>0</v>
      </c>
      <c r="AJ2749" s="2">
        <f t="shared" si="377"/>
        <v>0</v>
      </c>
      <c r="AK2749" s="2">
        <f t="shared" si="378"/>
        <v>22.5</v>
      </c>
      <c r="AL2749" s="5">
        <f t="shared" si="380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81"/>
        <v>1</v>
      </c>
      <c r="Z2750" s="2" t="s">
        <v>119</v>
      </c>
      <c r="AA2750" s="2" t="s">
        <v>3379</v>
      </c>
      <c r="AF2750" s="2">
        <f t="shared" si="376"/>
        <v>0</v>
      </c>
      <c r="AJ2750" s="2">
        <f t="shared" si="377"/>
        <v>0</v>
      </c>
      <c r="AK2750" s="2">
        <f t="shared" si="378"/>
        <v>99.75</v>
      </c>
      <c r="AL2750" s="5">
        <f t="shared" si="380"/>
        <v>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81"/>
        <v>1</v>
      </c>
      <c r="AF2751" s="2">
        <f t="shared" si="376"/>
        <v>0</v>
      </c>
      <c r="AJ2751" s="2">
        <f t="shared" si="377"/>
        <v>0</v>
      </c>
      <c r="AK2751" s="2">
        <f t="shared" si="378"/>
        <v>23.62</v>
      </c>
      <c r="AL2751" s="5">
        <f t="shared" si="380"/>
        <v>1</v>
      </c>
    </row>
    <row r="2752" spans="1:38" x14ac:dyDescent="0.2">
      <c r="A2752" s="2">
        <v>2025</v>
      </c>
      <c r="B2752" s="2">
        <v>9</v>
      </c>
      <c r="D2752" s="2" t="s">
        <v>1290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81"/>
        <v>1</v>
      </c>
      <c r="AF2752" s="2">
        <f t="shared" si="376"/>
        <v>0</v>
      </c>
      <c r="AJ2752" s="2">
        <f t="shared" si="377"/>
        <v>0</v>
      </c>
      <c r="AK2752" s="2">
        <f t="shared" si="378"/>
        <v>63.16</v>
      </c>
      <c r="AL2752" s="5">
        <f t="shared" si="380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81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376"/>
        <v>0</v>
      </c>
      <c r="AG2753" s="2">
        <v>117.453</v>
      </c>
      <c r="AH2753" s="2">
        <v>220</v>
      </c>
      <c r="AJ2753" s="2">
        <f t="shared" si="377"/>
        <v>0</v>
      </c>
      <c r="AK2753" s="2">
        <f t="shared" si="378"/>
        <v>85.86699999999999</v>
      </c>
      <c r="AL2753" s="5">
        <f t="shared" si="380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382">AJ2754</f>
        <v>0</v>
      </c>
      <c r="AJ2754" s="2">
        <f t="shared" ref="AJ2754:AJ2817" si="383">AI2754*T2754</f>
        <v>0</v>
      </c>
      <c r="AK2754" s="2">
        <f t="shared" si="378"/>
        <v>0</v>
      </c>
      <c r="AL2754" s="5" t="e">
        <f t="shared" si="380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384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382"/>
        <v>0</v>
      </c>
      <c r="AJ2755" s="2">
        <f t="shared" si="383"/>
        <v>0</v>
      </c>
      <c r="AK2755" s="2">
        <f t="shared" si="378"/>
        <v>22.5</v>
      </c>
      <c r="AL2755" s="5">
        <f t="shared" si="380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84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382"/>
        <v>0</v>
      </c>
      <c r="AJ2756" s="2">
        <f t="shared" si="383"/>
        <v>0</v>
      </c>
      <c r="AK2756" s="2">
        <f t="shared" si="378"/>
        <v>0</v>
      </c>
      <c r="AL2756" s="5">
        <f t="shared" si="380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84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382"/>
        <v>0</v>
      </c>
      <c r="AG2757" s="2">
        <v>8.1999999999999993</v>
      </c>
      <c r="AH2757" s="2">
        <v>13</v>
      </c>
      <c r="AJ2757" s="2">
        <f t="shared" si="383"/>
        <v>0</v>
      </c>
      <c r="AK2757" s="2">
        <f t="shared" si="378"/>
        <v>4.7999999999999989</v>
      </c>
      <c r="AL2757" s="5">
        <f t="shared" si="380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384"/>
        <v>0.25</v>
      </c>
      <c r="Z2758" s="2" t="s">
        <v>169</v>
      </c>
      <c r="AA2758" s="2" t="s">
        <v>169</v>
      </c>
      <c r="AF2758" s="2">
        <f t="shared" si="382"/>
        <v>0</v>
      </c>
      <c r="AJ2758" s="2">
        <f t="shared" si="383"/>
        <v>0</v>
      </c>
      <c r="AK2758" s="2">
        <f t="shared" si="378"/>
        <v>2</v>
      </c>
      <c r="AL2758" s="5">
        <f t="shared" si="380"/>
        <v>0.25</v>
      </c>
    </row>
    <row r="2759" spans="1:38" x14ac:dyDescent="0.2">
      <c r="A2759" s="2">
        <v>2025</v>
      </c>
      <c r="B2759" s="2">
        <v>9</v>
      </c>
      <c r="D2759" s="2" t="s">
        <v>1943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84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382"/>
        <v>0</v>
      </c>
      <c r="AJ2759" s="2">
        <f t="shared" si="383"/>
        <v>0</v>
      </c>
      <c r="AK2759" s="2">
        <f t="shared" si="378"/>
        <v>5320.6</v>
      </c>
      <c r="AL2759" s="5">
        <f t="shared" si="380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84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382"/>
        <v>0</v>
      </c>
      <c r="AG2760" s="2">
        <v>10.6</v>
      </c>
      <c r="AH2760" s="2">
        <v>18</v>
      </c>
      <c r="AJ2760" s="2">
        <f t="shared" si="383"/>
        <v>0</v>
      </c>
      <c r="AK2760" s="2">
        <f t="shared" si="378"/>
        <v>34</v>
      </c>
      <c r="AL2760" s="5">
        <f t="shared" si="380"/>
        <v>0.24285714285714285</v>
      </c>
    </row>
    <row r="2761" spans="1:38" x14ac:dyDescent="0.2">
      <c r="A2761" s="2">
        <v>2025</v>
      </c>
      <c r="B2761" s="2">
        <v>9</v>
      </c>
      <c r="D2761" s="2" t="s">
        <v>2276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84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382"/>
        <v>0</v>
      </c>
      <c r="AJ2761" s="2">
        <f t="shared" si="383"/>
        <v>0</v>
      </c>
      <c r="AK2761" s="2">
        <f t="shared" si="378"/>
        <v>4330.6000000000004</v>
      </c>
      <c r="AL2761" s="5">
        <f t="shared" si="380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84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382"/>
        <v>0</v>
      </c>
      <c r="AG2762" s="2">
        <v>10.67</v>
      </c>
      <c r="AH2762" s="2">
        <v>21</v>
      </c>
      <c r="AJ2762" s="2">
        <f t="shared" si="383"/>
        <v>0</v>
      </c>
      <c r="AK2762" s="2">
        <f t="shared" si="378"/>
        <v>7.9300000000000015</v>
      </c>
      <c r="AL2762" s="5">
        <f t="shared" si="380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384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382"/>
        <v>0</v>
      </c>
      <c r="AJ2763" s="2">
        <f t="shared" si="383"/>
        <v>0</v>
      </c>
      <c r="AK2763" s="2">
        <f t="shared" si="378"/>
        <v>18.704999999999998</v>
      </c>
      <c r="AL2763" s="5">
        <f t="shared" si="380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84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382"/>
        <v>0</v>
      </c>
      <c r="AG2764" s="2">
        <v>8.1999999999999993</v>
      </c>
      <c r="AH2764" s="2">
        <v>13</v>
      </c>
      <c r="AJ2764" s="2">
        <f t="shared" si="383"/>
        <v>0</v>
      </c>
      <c r="AK2764" s="2">
        <f t="shared" si="378"/>
        <v>23</v>
      </c>
      <c r="AL2764" s="5">
        <f t="shared" si="380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84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382"/>
        <v>0</v>
      </c>
      <c r="AJ2765" s="2">
        <f t="shared" si="383"/>
        <v>0</v>
      </c>
      <c r="AK2765" s="2">
        <f t="shared" si="378"/>
        <v>4416.41</v>
      </c>
      <c r="AL2765" s="5">
        <f t="shared" si="380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84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382"/>
        <v>0</v>
      </c>
      <c r="AJ2766" s="2">
        <f t="shared" si="383"/>
        <v>0</v>
      </c>
      <c r="AK2766" s="2">
        <f t="shared" si="378"/>
        <v>102.15</v>
      </c>
      <c r="AL2766" s="5">
        <f t="shared" si="380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84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382"/>
        <v>0</v>
      </c>
      <c r="AJ2767" s="2">
        <f t="shared" si="383"/>
        <v>0</v>
      </c>
      <c r="AK2767" s="2">
        <f t="shared" si="378"/>
        <v>0</v>
      </c>
      <c r="AL2767" s="5">
        <f t="shared" si="380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84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382"/>
        <v>0</v>
      </c>
      <c r="AG2768" s="2">
        <v>6.6266999999999996</v>
      </c>
      <c r="AH2768" s="2">
        <v>12</v>
      </c>
      <c r="AJ2768" s="2">
        <f t="shared" si="383"/>
        <v>0</v>
      </c>
      <c r="AK2768" s="2">
        <f t="shared" si="378"/>
        <v>16.119900000000001</v>
      </c>
      <c r="AL2768" s="5">
        <f t="shared" si="380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384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382"/>
        <v>0</v>
      </c>
      <c r="AJ2769" s="2">
        <f t="shared" si="383"/>
        <v>0</v>
      </c>
      <c r="AK2769" s="2">
        <f t="shared" si="378"/>
        <v>18.704999999999998</v>
      </c>
      <c r="AL2769" s="5">
        <f t="shared" si="380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84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382"/>
        <v>0</v>
      </c>
      <c r="AG2770" s="2">
        <v>5.2972999999999999</v>
      </c>
      <c r="AH2770" s="2">
        <v>10.8</v>
      </c>
      <c r="AJ2770" s="2">
        <f t="shared" si="383"/>
        <v>0</v>
      </c>
      <c r="AK2770" s="2">
        <f t="shared" si="378"/>
        <v>4.3026999999999997</v>
      </c>
      <c r="AL2770" s="5">
        <f t="shared" si="380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84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382"/>
        <v>0</v>
      </c>
      <c r="AJ2771" s="2">
        <f t="shared" si="383"/>
        <v>0</v>
      </c>
      <c r="AK2771" s="2">
        <f t="shared" si="378"/>
        <v>6.52</v>
      </c>
      <c r="AL2771" s="5">
        <f t="shared" si="380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384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382"/>
        <v>0</v>
      </c>
      <c r="AJ2772" s="2">
        <f t="shared" si="383"/>
        <v>0</v>
      </c>
      <c r="AK2772" s="2">
        <f t="shared" ref="AK2772:AK2835" si="385">T2772-W2772</f>
        <v>-0.39999999999999991</v>
      </c>
      <c r="AL2772" s="18">
        <f t="shared" si="380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84"/>
        <v>1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382"/>
        <v>0</v>
      </c>
      <c r="AJ2773" s="2">
        <f t="shared" si="383"/>
        <v>0</v>
      </c>
      <c r="AK2773" s="2">
        <f t="shared" si="385"/>
        <v>8.4</v>
      </c>
      <c r="AL2773" s="5">
        <f t="shared" si="380"/>
        <v>1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382"/>
        <v>0</v>
      </c>
      <c r="AJ2774" s="2">
        <f t="shared" si="383"/>
        <v>0</v>
      </c>
      <c r="AK2774" s="2">
        <f t="shared" si="385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382"/>
        <v>0</v>
      </c>
      <c r="AJ2775" s="2">
        <f t="shared" si="383"/>
        <v>0</v>
      </c>
      <c r="AK2775" s="2">
        <f t="shared" si="385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382"/>
        <v>0</v>
      </c>
      <c r="AJ2776" s="2">
        <f t="shared" si="383"/>
        <v>0</v>
      </c>
      <c r="AK2776" s="2">
        <f t="shared" si="385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382"/>
        <v>0</v>
      </c>
      <c r="AG2777" s="2">
        <v>5.9066999999999998</v>
      </c>
      <c r="AH2777" s="2">
        <v>12.6</v>
      </c>
      <c r="AJ2777" s="2">
        <f t="shared" si="383"/>
        <v>0</v>
      </c>
      <c r="AK2777" s="2">
        <f t="shared" si="385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382"/>
        <v>0</v>
      </c>
      <c r="AJ2778" s="2">
        <f t="shared" si="383"/>
        <v>0</v>
      </c>
      <c r="AK2778" s="2">
        <f t="shared" si="385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386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382"/>
        <v>0</v>
      </c>
      <c r="AJ2779" s="2">
        <f t="shared" si="383"/>
        <v>0</v>
      </c>
      <c r="AK2779" s="2">
        <f t="shared" si="385"/>
        <v>-16.224900000000002</v>
      </c>
      <c r="AL2779" s="18">
        <f t="shared" ref="AL2779:AL2784" si="387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86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382"/>
        <v>0</v>
      </c>
      <c r="AG2780" s="2">
        <v>29.27</v>
      </c>
      <c r="AH2780" s="2">
        <v>60</v>
      </c>
      <c r="AJ2780" s="2">
        <f t="shared" si="383"/>
        <v>0</v>
      </c>
      <c r="AK2780" s="2">
        <f t="shared" si="385"/>
        <v>0</v>
      </c>
      <c r="AL2780" s="5">
        <f t="shared" si="387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386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382"/>
        <v>0</v>
      </c>
      <c r="AG2781" s="2">
        <v>8.1999999999999993</v>
      </c>
      <c r="AH2781" s="2">
        <v>13</v>
      </c>
      <c r="AJ2781" s="2">
        <f t="shared" si="383"/>
        <v>0</v>
      </c>
      <c r="AK2781" s="2">
        <f t="shared" si="385"/>
        <v>-8.2000000000000011</v>
      </c>
      <c r="AL2781" s="18">
        <f t="shared" si="387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386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382"/>
        <v>0</v>
      </c>
      <c r="AJ2782" s="2">
        <f t="shared" si="383"/>
        <v>0</v>
      </c>
      <c r="AK2782" s="2">
        <f t="shared" si="385"/>
        <v>-9.1399999999999988</v>
      </c>
      <c r="AL2782" s="18">
        <f t="shared" si="387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386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382"/>
        <v>0</v>
      </c>
      <c r="AG2783" s="2">
        <v>15.020300000000001</v>
      </c>
      <c r="AH2783" s="2">
        <v>27.6</v>
      </c>
      <c r="AJ2783" s="2">
        <f t="shared" si="383"/>
        <v>0</v>
      </c>
      <c r="AK2783" s="2">
        <f t="shared" si="385"/>
        <v>-45.060900000000004</v>
      </c>
      <c r="AL2783" s="18">
        <f t="shared" si="387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386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382"/>
        <v>0</v>
      </c>
      <c r="AJ2784" s="2">
        <f t="shared" si="383"/>
        <v>0</v>
      </c>
      <c r="AK2784" s="2">
        <f t="shared" si="385"/>
        <v>-4.3890000000000002</v>
      </c>
      <c r="AL2784" s="18">
        <f t="shared" si="387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88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382"/>
        <v>0</v>
      </c>
      <c r="AJ2785" s="2">
        <f t="shared" si="383"/>
        <v>0</v>
      </c>
      <c r="AK2785" s="2">
        <f t="shared" si="385"/>
        <v>79.180000000000007</v>
      </c>
      <c r="AL2785" s="5">
        <f t="shared" ref="AL2785:AL2828" si="389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88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382"/>
        <v>0</v>
      </c>
      <c r="AJ2786" s="2">
        <f t="shared" si="383"/>
        <v>0</v>
      </c>
      <c r="AK2786" s="2">
        <f t="shared" si="385"/>
        <v>0</v>
      </c>
      <c r="AL2786" s="5">
        <f t="shared" si="389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88"/>
        <v>1</v>
      </c>
      <c r="AF2787" s="2">
        <f t="shared" si="382"/>
        <v>0</v>
      </c>
      <c r="AJ2787" s="2">
        <f t="shared" si="383"/>
        <v>0</v>
      </c>
      <c r="AK2787" s="2">
        <f t="shared" si="385"/>
        <v>234.52</v>
      </c>
      <c r="AL2787" s="5">
        <f t="shared" si="389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88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382"/>
        <v>0</v>
      </c>
      <c r="AJ2788" s="2">
        <f t="shared" si="383"/>
        <v>0</v>
      </c>
      <c r="AK2788" s="2">
        <f t="shared" si="385"/>
        <v>99.75</v>
      </c>
      <c r="AL2788" s="5">
        <f t="shared" si="389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88"/>
        <v>0.4</v>
      </c>
      <c r="Z2789" s="2" t="s">
        <v>3226</v>
      </c>
      <c r="AA2789" s="2" t="s">
        <v>46</v>
      </c>
      <c r="AB2789" s="2" t="s">
        <v>60</v>
      </c>
      <c r="AC2789" s="2" t="s">
        <v>3331</v>
      </c>
      <c r="AF2789" s="2">
        <f t="shared" si="382"/>
        <v>0</v>
      </c>
      <c r="AJ2789" s="2">
        <f t="shared" si="383"/>
        <v>0</v>
      </c>
      <c r="AK2789" s="2">
        <f t="shared" si="385"/>
        <v>23.200000000000003</v>
      </c>
      <c r="AL2789" s="5">
        <f t="shared" si="389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388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382"/>
        <v>0</v>
      </c>
      <c r="AJ2790" s="2">
        <f t="shared" si="383"/>
        <v>0</v>
      </c>
      <c r="AK2790" s="2">
        <f t="shared" si="385"/>
        <v>55.349999999999994</v>
      </c>
      <c r="AL2790" s="5">
        <f t="shared" si="389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388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382"/>
        <v>0</v>
      </c>
      <c r="AJ2791" s="2">
        <f t="shared" si="383"/>
        <v>0</v>
      </c>
      <c r="AK2791" s="2">
        <f t="shared" si="385"/>
        <v>56.115000000000002</v>
      </c>
      <c r="AL2791" s="5">
        <f t="shared" si="389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388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382"/>
        <v>0</v>
      </c>
      <c r="AJ2792" s="2">
        <f t="shared" si="383"/>
        <v>0</v>
      </c>
      <c r="AK2792" s="2">
        <f t="shared" si="385"/>
        <v>8.7550000000000008</v>
      </c>
      <c r="AL2792" s="5">
        <f t="shared" si="389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388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382"/>
        <v>0</v>
      </c>
      <c r="AJ2793" s="2">
        <f t="shared" si="383"/>
        <v>0</v>
      </c>
      <c r="AK2793" s="2">
        <f t="shared" si="385"/>
        <v>10.593299999999999</v>
      </c>
      <c r="AL2793" s="5">
        <f t="shared" si="389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388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382"/>
        <v>0</v>
      </c>
      <c r="AJ2794" s="2">
        <f t="shared" si="383"/>
        <v>0</v>
      </c>
      <c r="AK2794" s="2">
        <f t="shared" si="385"/>
        <v>12.575099999999999</v>
      </c>
      <c r="AL2794" s="5">
        <f t="shared" si="389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388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382"/>
        <v>0</v>
      </c>
      <c r="AJ2795" s="2">
        <f t="shared" si="383"/>
        <v>0</v>
      </c>
      <c r="AK2795" s="2">
        <f t="shared" si="385"/>
        <v>7.5654000000000003</v>
      </c>
      <c r="AL2795" s="5">
        <f t="shared" si="389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88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382"/>
        <v>0</v>
      </c>
      <c r="AG2796" s="2">
        <v>9.14</v>
      </c>
      <c r="AH2796" s="2">
        <v>16</v>
      </c>
      <c r="AJ2796" s="2">
        <f t="shared" si="383"/>
        <v>0</v>
      </c>
      <c r="AK2796" s="2">
        <f t="shared" si="385"/>
        <v>3.8600000000000012</v>
      </c>
      <c r="AL2796" s="5">
        <f t="shared" si="389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88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382"/>
        <v>0</v>
      </c>
      <c r="AG2797" s="2">
        <v>8.1999999999999993</v>
      </c>
      <c r="AH2797" s="2">
        <v>13</v>
      </c>
      <c r="AJ2797" s="2">
        <f t="shared" si="383"/>
        <v>0</v>
      </c>
      <c r="AK2797" s="2">
        <f t="shared" si="385"/>
        <v>3.7999999999999989</v>
      </c>
      <c r="AL2797" s="5">
        <f t="shared" si="389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88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382"/>
        <v>0</v>
      </c>
      <c r="AG2798" s="2">
        <v>15.020300000000001</v>
      </c>
      <c r="AH2798" s="2">
        <v>27.6</v>
      </c>
      <c r="AJ2798" s="2">
        <f t="shared" si="383"/>
        <v>0</v>
      </c>
      <c r="AK2798" s="2">
        <f t="shared" si="385"/>
        <v>6.9796999999999993</v>
      </c>
      <c r="AL2798" s="5">
        <f t="shared" si="389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388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382"/>
        <v>0</v>
      </c>
      <c r="AJ2799" s="2">
        <f t="shared" si="383"/>
        <v>0</v>
      </c>
      <c r="AK2799" s="2">
        <f t="shared" si="385"/>
        <v>361.48979999999983</v>
      </c>
      <c r="AL2799" s="5">
        <f t="shared" si="389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88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382"/>
        <v>0</v>
      </c>
      <c r="AJ2800" s="2">
        <f t="shared" si="383"/>
        <v>0</v>
      </c>
      <c r="AK2800" s="2">
        <f t="shared" si="385"/>
        <v>25.908000000000001</v>
      </c>
      <c r="AL2800" s="5">
        <f t="shared" si="389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388"/>
        <v>-0.2</v>
      </c>
      <c r="Z2801" s="2" t="s">
        <v>169</v>
      </c>
      <c r="AA2801" s="2" t="s">
        <v>169</v>
      </c>
      <c r="AF2801" s="2">
        <f t="shared" si="382"/>
        <v>0</v>
      </c>
      <c r="AJ2801" s="2">
        <f t="shared" si="383"/>
        <v>0</v>
      </c>
      <c r="AK2801" s="2">
        <f t="shared" si="385"/>
        <v>-1</v>
      </c>
      <c r="AL2801" s="5">
        <f t="shared" si="389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88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382"/>
        <v>0</v>
      </c>
      <c r="AG2802" s="2">
        <v>119.33</v>
      </c>
      <c r="AH2802" s="2">
        <v>220</v>
      </c>
      <c r="AJ2802" s="2">
        <f t="shared" si="383"/>
        <v>0</v>
      </c>
      <c r="AK2802" s="2">
        <f t="shared" si="385"/>
        <v>110.67</v>
      </c>
      <c r="AL2802" s="5">
        <f t="shared" si="389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88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382"/>
        <v>0</v>
      </c>
      <c r="AG2803" s="2">
        <v>1.1399999999999999</v>
      </c>
      <c r="AH2803" s="2">
        <v>1.1399999999999999</v>
      </c>
      <c r="AJ2803" s="2">
        <f t="shared" si="383"/>
        <v>0</v>
      </c>
      <c r="AK2803" s="2">
        <f t="shared" si="385"/>
        <v>0</v>
      </c>
      <c r="AL2803" s="5">
        <f t="shared" si="389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88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382"/>
        <v>0</v>
      </c>
      <c r="AJ2804" s="2">
        <f t="shared" si="383"/>
        <v>0</v>
      </c>
      <c r="AK2804" s="2">
        <f t="shared" si="385"/>
        <v>47.4</v>
      </c>
      <c r="AL2804" s="5">
        <f t="shared" si="389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88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382"/>
        <v>0</v>
      </c>
      <c r="AJ2805" s="2">
        <f t="shared" si="383"/>
        <v>0</v>
      </c>
      <c r="AK2805" s="2">
        <f t="shared" si="385"/>
        <v>25</v>
      </c>
      <c r="AL2805" s="5">
        <f t="shared" si="389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88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382"/>
        <v>0</v>
      </c>
      <c r="AG2806" s="2">
        <v>117.453</v>
      </c>
      <c r="AH2806" s="2">
        <v>220</v>
      </c>
      <c r="AJ2806" s="2">
        <f t="shared" si="383"/>
        <v>0</v>
      </c>
      <c r="AK2806" s="2">
        <f t="shared" si="385"/>
        <v>102.547</v>
      </c>
      <c r="AL2806" s="5">
        <f t="shared" si="389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88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382"/>
        <v>0</v>
      </c>
      <c r="AJ2807" s="2">
        <f t="shared" si="383"/>
        <v>0</v>
      </c>
      <c r="AK2807" s="2">
        <f t="shared" si="385"/>
        <v>0</v>
      </c>
      <c r="AL2807" s="5">
        <f t="shared" si="389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88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382"/>
        <v>0</v>
      </c>
      <c r="AG2808" s="2">
        <v>299.25</v>
      </c>
      <c r="AH2808" s="2">
        <v>399</v>
      </c>
      <c r="AJ2808" s="2">
        <f t="shared" si="383"/>
        <v>0</v>
      </c>
      <c r="AK2808" s="2">
        <f t="shared" si="385"/>
        <v>99.75</v>
      </c>
      <c r="AL2808" s="5">
        <f t="shared" si="389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88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382"/>
        <v>0</v>
      </c>
      <c r="AJ2809" s="2">
        <f t="shared" si="383"/>
        <v>0</v>
      </c>
      <c r="AK2809" s="2">
        <f t="shared" si="385"/>
        <v>31.2</v>
      </c>
      <c r="AL2809" s="5">
        <f t="shared" si="389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88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382"/>
        <v>0</v>
      </c>
      <c r="AJ2810" s="2">
        <f t="shared" si="383"/>
        <v>0</v>
      </c>
      <c r="AK2810" s="2">
        <f t="shared" si="385"/>
        <v>25</v>
      </c>
      <c r="AL2810" s="5">
        <f t="shared" si="389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88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382"/>
        <v>0</v>
      </c>
      <c r="AJ2811" s="2">
        <f t="shared" si="383"/>
        <v>0</v>
      </c>
      <c r="AK2811" s="2">
        <f t="shared" si="385"/>
        <v>83.4</v>
      </c>
      <c r="AL2811" s="5">
        <f t="shared" si="389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88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382"/>
        <v>0</v>
      </c>
      <c r="AJ2812" s="2">
        <f t="shared" si="383"/>
        <v>0</v>
      </c>
      <c r="AK2812" s="2">
        <f t="shared" si="385"/>
        <v>25</v>
      </c>
      <c r="AL2812" s="5">
        <f t="shared" si="389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390">T2813</f>
        <v>26.4</v>
      </c>
      <c r="W2813" s="2">
        <f>7.2217*S2813</f>
        <v>14.4434</v>
      </c>
      <c r="X2813" s="5">
        <f t="shared" si="388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382"/>
        <v>0</v>
      </c>
      <c r="AG2813" s="2">
        <v>7.2217000000000002</v>
      </c>
      <c r="AH2813" s="2">
        <v>14.4</v>
      </c>
      <c r="AJ2813" s="2">
        <f t="shared" si="383"/>
        <v>0</v>
      </c>
      <c r="AK2813" s="2">
        <f t="shared" si="385"/>
        <v>11.956599999999998</v>
      </c>
      <c r="AL2813" s="5">
        <f t="shared" si="389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390"/>
        <v>19.8</v>
      </c>
      <c r="W2814" s="2">
        <f>11.045*S2814</f>
        <v>11.045</v>
      </c>
      <c r="X2814" s="5">
        <f t="shared" si="388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382"/>
        <v>0</v>
      </c>
      <c r="AJ2814" s="2">
        <f t="shared" si="383"/>
        <v>0</v>
      </c>
      <c r="AK2814" s="2">
        <f t="shared" si="385"/>
        <v>8.7550000000000008</v>
      </c>
      <c r="AL2814" s="5">
        <f t="shared" si="389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390"/>
        <v>24</v>
      </c>
      <c r="W2815" s="2">
        <f>13.4067*S2815</f>
        <v>13.406700000000001</v>
      </c>
      <c r="X2815" s="5">
        <f t="shared" si="388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382"/>
        <v>0</v>
      </c>
      <c r="AJ2815" s="2">
        <f t="shared" si="383"/>
        <v>0</v>
      </c>
      <c r="AK2815" s="2">
        <f t="shared" si="385"/>
        <v>10.593299999999999</v>
      </c>
      <c r="AL2815" s="5">
        <f t="shared" si="389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390"/>
        <v>210</v>
      </c>
      <c r="W2816" s="2">
        <f>0.082*S2816</f>
        <v>164</v>
      </c>
      <c r="X2816" s="5">
        <f t="shared" si="388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382"/>
        <v>0</v>
      </c>
      <c r="AG2816" s="2">
        <v>8.1999999999999993</v>
      </c>
      <c r="AH2816" s="2">
        <v>13</v>
      </c>
      <c r="AJ2816" s="2">
        <f t="shared" si="383"/>
        <v>0</v>
      </c>
      <c r="AK2816" s="2">
        <f t="shared" si="385"/>
        <v>46</v>
      </c>
      <c r="AL2816" s="5">
        <f t="shared" si="389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390"/>
        <v>57.5</v>
      </c>
      <c r="W2817" s="2">
        <f>0.0914*S2817</f>
        <v>45.699999999999996</v>
      </c>
      <c r="X2817" s="5">
        <f t="shared" si="388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382"/>
        <v>0</v>
      </c>
      <c r="AJ2817" s="2">
        <f t="shared" si="383"/>
        <v>0</v>
      </c>
      <c r="AK2817" s="2">
        <f t="shared" si="385"/>
        <v>11.800000000000004</v>
      </c>
      <c r="AL2817" s="5">
        <f t="shared" si="389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390"/>
        <v>44</v>
      </c>
      <c r="W2818" s="2">
        <f>15.0203*S2818</f>
        <v>30.040600000000001</v>
      </c>
      <c r="X2818" s="5">
        <f t="shared" si="388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1" si="391">AJ2818</f>
        <v>0</v>
      </c>
      <c r="AG2818" s="2">
        <v>15.020300000000001</v>
      </c>
      <c r="AH2818" s="2">
        <v>27.6</v>
      </c>
      <c r="AJ2818" s="2">
        <f t="shared" ref="AJ2818:AJ2881" si="392">AI2818*T2818</f>
        <v>0</v>
      </c>
      <c r="AK2818" s="2">
        <f t="shared" si="385"/>
        <v>13.959399999999999</v>
      </c>
      <c r="AL2818" s="5">
        <f t="shared" si="389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88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391"/>
        <v>0</v>
      </c>
      <c r="AJ2819" s="2">
        <f t="shared" si="392"/>
        <v>0</v>
      </c>
      <c r="AK2819" s="2">
        <f t="shared" si="385"/>
        <v>30</v>
      </c>
      <c r="AL2819" s="5">
        <f t="shared" si="389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88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391"/>
        <v>0</v>
      </c>
      <c r="AG2820" s="2">
        <f>W2820</f>
        <v>25</v>
      </c>
      <c r="AJ2820" s="2">
        <f t="shared" si="392"/>
        <v>0</v>
      </c>
      <c r="AK2820" s="2">
        <f t="shared" si="385"/>
        <v>25</v>
      </c>
      <c r="AL2820" s="5">
        <f t="shared" si="389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88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391"/>
        <v>0</v>
      </c>
      <c r="AJ2821" s="2">
        <f t="shared" si="392"/>
        <v>0</v>
      </c>
      <c r="AK2821" s="2">
        <f t="shared" si="385"/>
        <v>242.39999999999998</v>
      </c>
      <c r="AL2821" s="5">
        <f t="shared" si="389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88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391"/>
        <v>0</v>
      </c>
      <c r="AG2822" s="2">
        <f>W2822</f>
        <v>165</v>
      </c>
      <c r="AJ2822" s="2">
        <f t="shared" si="392"/>
        <v>0</v>
      </c>
      <c r="AK2822" s="2">
        <f t="shared" si="385"/>
        <v>165</v>
      </c>
      <c r="AL2822" s="5">
        <f t="shared" si="389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88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391"/>
        <v>0</v>
      </c>
      <c r="AG2823" s="2">
        <v>136.38999999999999</v>
      </c>
      <c r="AH2823" s="2">
        <v>282.11399999999998</v>
      </c>
      <c r="AJ2823" s="2">
        <f t="shared" si="392"/>
        <v>0</v>
      </c>
      <c r="AK2823" s="2">
        <f t="shared" si="385"/>
        <v>60.320000000000022</v>
      </c>
      <c r="AL2823" s="5">
        <f t="shared" si="389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88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391"/>
        <v>0</v>
      </c>
      <c r="AG2824" s="2">
        <v>27.86</v>
      </c>
      <c r="AJ2824" s="2">
        <f t="shared" si="392"/>
        <v>0</v>
      </c>
      <c r="AK2824" s="2">
        <f t="shared" si="385"/>
        <v>30.880000000000003</v>
      </c>
      <c r="AL2824" s="5">
        <f t="shared" si="389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88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391"/>
        <v>0</v>
      </c>
      <c r="AG2825" s="2">
        <v>28.372499999999999</v>
      </c>
      <c r="AJ2825" s="2">
        <f t="shared" si="392"/>
        <v>0</v>
      </c>
      <c r="AK2825" s="2">
        <f t="shared" si="385"/>
        <v>30.37</v>
      </c>
      <c r="AL2825" s="5">
        <f t="shared" si="389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88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391"/>
        <v>0</v>
      </c>
      <c r="AG2826" s="2">
        <v>12.938599999999999</v>
      </c>
      <c r="AJ2826" s="2">
        <f t="shared" si="392"/>
        <v>0</v>
      </c>
      <c r="AK2826" s="2">
        <f t="shared" si="385"/>
        <v>13.8514</v>
      </c>
      <c r="AL2826" s="5">
        <f t="shared" si="389"/>
        <v>0.51703620754012691</v>
      </c>
    </row>
    <row r="2827" spans="1:38" x14ac:dyDescent="0.2">
      <c r="A2827" s="2">
        <v>2026</v>
      </c>
      <c r="B2827" s="2">
        <v>1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88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391"/>
        <v>0</v>
      </c>
      <c r="AG2827" s="2">
        <v>11.246700000000001</v>
      </c>
      <c r="AJ2827" s="2">
        <f t="shared" si="392"/>
        <v>0</v>
      </c>
      <c r="AK2827" s="2">
        <f t="shared" si="385"/>
        <v>12.543299999999999</v>
      </c>
      <c r="AL2827" s="5">
        <f t="shared" si="389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88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391"/>
        <v>0</v>
      </c>
      <c r="AG2828" s="2">
        <v>386</v>
      </c>
      <c r="AJ2828" s="2">
        <f t="shared" si="392"/>
        <v>0</v>
      </c>
      <c r="AK2828" s="2">
        <f t="shared" si="385"/>
        <v>759.15000000000009</v>
      </c>
      <c r="AL2828" s="5">
        <f t="shared" si="389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391"/>
        <v>0</v>
      </c>
      <c r="AG2829" s="2">
        <v>11.182499999999999</v>
      </c>
      <c r="AJ2829" s="2">
        <f t="shared" si="392"/>
        <v>0</v>
      </c>
      <c r="AK2829" s="2">
        <f t="shared" si="385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391"/>
        <v>0</v>
      </c>
      <c r="AJ2830" s="2">
        <f t="shared" si="392"/>
        <v>0</v>
      </c>
      <c r="AK2830" s="2">
        <f t="shared" si="385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93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391"/>
        <v>0</v>
      </c>
      <c r="AG2831" s="2">
        <v>6.2991999999999999</v>
      </c>
      <c r="AJ2831" s="2">
        <f t="shared" si="392"/>
        <v>0</v>
      </c>
      <c r="AK2831" s="2">
        <f t="shared" si="385"/>
        <v>14.0816</v>
      </c>
      <c r="AL2831" s="5">
        <f t="shared" ref="AL2831:AL2849" si="394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93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391"/>
        <v>0</v>
      </c>
      <c r="AG2832" s="2">
        <v>6.3601999999999999</v>
      </c>
      <c r="AJ2832" s="2">
        <f t="shared" si="392"/>
        <v>0</v>
      </c>
      <c r="AK2832" s="2">
        <f t="shared" si="385"/>
        <v>7.1597999999999997</v>
      </c>
      <c r="AL2832" s="5">
        <f t="shared" si="394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395">36.2258*S2833</f>
        <v>72.451599999999999</v>
      </c>
      <c r="X2833" s="5">
        <f t="shared" si="393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391"/>
        <v>0</v>
      </c>
      <c r="AG2833" s="2">
        <v>35.931699999999999</v>
      </c>
      <c r="AJ2833" s="2">
        <f t="shared" si="392"/>
        <v>0</v>
      </c>
      <c r="AK2833" s="2">
        <f t="shared" si="385"/>
        <v>80.888400000000004</v>
      </c>
      <c r="AL2833" s="5">
        <f t="shared" si="394"/>
        <v>0.52751010825616285</v>
      </c>
    </row>
    <row r="2834" spans="1:38" x14ac:dyDescent="0.2">
      <c r="A2834" s="2">
        <v>2026</v>
      </c>
      <c r="B2834" s="2">
        <v>1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395"/>
        <v>36.2258</v>
      </c>
      <c r="X2834" s="5">
        <f t="shared" si="393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391"/>
        <v>0</v>
      </c>
      <c r="AG2834" s="2">
        <v>35.931699999999999</v>
      </c>
      <c r="AJ2834" s="2">
        <f t="shared" si="392"/>
        <v>0</v>
      </c>
      <c r="AK2834" s="2">
        <f t="shared" si="385"/>
        <v>40.444200000000002</v>
      </c>
      <c r="AL2834" s="5">
        <f t="shared" si="394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93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391"/>
        <v>0</v>
      </c>
      <c r="AG2835" s="2">
        <v>34.743400000000001</v>
      </c>
      <c r="AJ2835" s="2">
        <f t="shared" si="392"/>
        <v>0</v>
      </c>
      <c r="AK2835" s="2">
        <f t="shared" si="385"/>
        <v>38.686600000000006</v>
      </c>
      <c r="AL2835" s="5">
        <f t="shared" si="394"/>
        <v>0.5268500612828545</v>
      </c>
    </row>
    <row r="2836" spans="1:38" x14ac:dyDescent="0.2">
      <c r="A2836" s="2">
        <v>2026</v>
      </c>
      <c r="B2836" s="2">
        <v>1</v>
      </c>
      <c r="D2836" s="2" t="s">
        <v>2319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393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391"/>
        <v>0</v>
      </c>
      <c r="AG2836" s="2">
        <v>22.2</v>
      </c>
      <c r="AJ2836" s="2">
        <f t="shared" si="392"/>
        <v>0</v>
      </c>
      <c r="AK2836" s="2">
        <f t="shared" ref="AK2836:AK2849" si="396">T2836-W2836</f>
        <v>51.816000000000003</v>
      </c>
      <c r="AL2836" s="5">
        <f t="shared" si="394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393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391"/>
        <v>0</v>
      </c>
      <c r="AG2837" s="2">
        <v>22.2</v>
      </c>
      <c r="AJ2837" s="2">
        <f t="shared" si="392"/>
        <v>0</v>
      </c>
      <c r="AK2837" s="2">
        <f t="shared" si="396"/>
        <v>51.816000000000003</v>
      </c>
      <c r="AL2837" s="5">
        <f t="shared" si="394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93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391"/>
        <v>0</v>
      </c>
      <c r="AG2838" s="2">
        <v>102.39</v>
      </c>
      <c r="AJ2838" s="2">
        <f t="shared" si="392"/>
        <v>0</v>
      </c>
      <c r="AK2838" s="2">
        <f t="shared" si="396"/>
        <v>113.55</v>
      </c>
      <c r="AL2838" s="5">
        <f t="shared" si="394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393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391"/>
        <v>0</v>
      </c>
      <c r="AG2839" s="2">
        <v>30.22</v>
      </c>
      <c r="AJ2839" s="2">
        <f t="shared" si="392"/>
        <v>0</v>
      </c>
      <c r="AK2839" s="2">
        <f t="shared" si="396"/>
        <v>32.85</v>
      </c>
      <c r="AL2839" s="5">
        <f t="shared" si="394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93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391"/>
        <v>0</v>
      </c>
      <c r="AG2840" s="2">
        <v>342.22</v>
      </c>
      <c r="AJ2840" s="2">
        <f t="shared" si="392"/>
        <v>0</v>
      </c>
      <c r="AK2840" s="2">
        <f t="shared" si="396"/>
        <v>354.09659999999997</v>
      </c>
      <c r="AL2840" s="5">
        <f t="shared" si="394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93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391"/>
        <v>0</v>
      </c>
      <c r="AG2841" s="2">
        <v>342.22</v>
      </c>
      <c r="AJ2841" s="2">
        <f t="shared" si="392"/>
        <v>0</v>
      </c>
      <c r="AK2841" s="2">
        <f t="shared" si="396"/>
        <v>354.09659999999997</v>
      </c>
      <c r="AL2841" s="5">
        <f t="shared" si="394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93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391"/>
        <v>0</v>
      </c>
      <c r="AG2842" s="2">
        <v>343.38569999999999</v>
      </c>
      <c r="AJ2842" s="2">
        <f t="shared" si="392"/>
        <v>0</v>
      </c>
      <c r="AK2842" s="2">
        <f t="shared" si="396"/>
        <v>355.72999999999996</v>
      </c>
      <c r="AL2842" s="5">
        <f t="shared" si="394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93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391"/>
        <v>0</v>
      </c>
      <c r="AG2843" s="2">
        <v>21.6</v>
      </c>
      <c r="AJ2843" s="2">
        <f t="shared" si="392"/>
        <v>0</v>
      </c>
      <c r="AK2843" s="2">
        <f t="shared" si="396"/>
        <v>20.36</v>
      </c>
      <c r="AL2843" s="5">
        <f t="shared" si="394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93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391"/>
        <v>0</v>
      </c>
      <c r="AG2844" s="2">
        <v>565.755</v>
      </c>
      <c r="AJ2844" s="2">
        <f t="shared" si="392"/>
        <v>0</v>
      </c>
      <c r="AK2844" s="2">
        <f t="shared" si="396"/>
        <v>2069.8145000000004</v>
      </c>
      <c r="AL2844" s="5">
        <f t="shared" si="394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93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391"/>
        <v>0</v>
      </c>
      <c r="AG2845" s="2">
        <v>255.65</v>
      </c>
      <c r="AJ2845" s="2">
        <f t="shared" si="392"/>
        <v>0</v>
      </c>
      <c r="AK2845" s="2">
        <f t="shared" si="396"/>
        <v>283.52</v>
      </c>
      <c r="AL2845" s="5">
        <f t="shared" si="394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93"/>
        <v>1</v>
      </c>
      <c r="Z2846" s="2" t="s">
        <v>117</v>
      </c>
      <c r="AF2846" s="2">
        <f t="shared" si="391"/>
        <v>0</v>
      </c>
      <c r="AJ2846" s="2">
        <f t="shared" si="392"/>
        <v>0</v>
      </c>
      <c r="AK2846" s="2">
        <f t="shared" si="396"/>
        <v>79.819999999999993</v>
      </c>
      <c r="AL2846" s="5">
        <f t="shared" si="394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93"/>
        <v>1</v>
      </c>
      <c r="Z2847" s="2" t="s">
        <v>117</v>
      </c>
      <c r="AF2847" s="2">
        <f t="shared" si="391"/>
        <v>0</v>
      </c>
      <c r="AJ2847" s="2">
        <f t="shared" si="392"/>
        <v>0</v>
      </c>
      <c r="AK2847" s="2">
        <f t="shared" si="396"/>
        <v>422.5</v>
      </c>
      <c r="AL2847" s="5">
        <f t="shared" si="394"/>
        <v>1</v>
      </c>
    </row>
    <row r="2848" spans="1:38" x14ac:dyDescent="0.2">
      <c r="A2848" s="2">
        <v>2026</v>
      </c>
      <c r="B2848" s="2">
        <v>1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93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391"/>
        <v>0</v>
      </c>
      <c r="AG2848" s="2">
        <v>343.38</v>
      </c>
      <c r="AH2848" s="2">
        <v>986.58</v>
      </c>
      <c r="AJ2848" s="2">
        <f t="shared" si="392"/>
        <v>0</v>
      </c>
      <c r="AK2848" s="2">
        <f t="shared" si="396"/>
        <v>248.57000000000005</v>
      </c>
      <c r="AL2848" s="5">
        <f t="shared" si="394"/>
        <v>0.41991722273840704</v>
      </c>
    </row>
    <row r="2849" spans="1:38" x14ac:dyDescent="0.2">
      <c r="A2849" s="2">
        <v>2026</v>
      </c>
      <c r="B2849" s="2">
        <v>1</v>
      </c>
      <c r="D2849" s="2" t="s">
        <v>2338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93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391"/>
        <v>0</v>
      </c>
      <c r="AG2849" s="2">
        <v>343.38</v>
      </c>
      <c r="AH2849" s="2">
        <v>986.58</v>
      </c>
      <c r="AJ2849" s="2">
        <f t="shared" si="392"/>
        <v>0</v>
      </c>
      <c r="AK2849" s="2">
        <f t="shared" si="396"/>
        <v>347.23</v>
      </c>
      <c r="AL2849" s="5">
        <f t="shared" si="394"/>
        <v>0.50278739085735802</v>
      </c>
    </row>
    <row r="2850" spans="1:38" x14ac:dyDescent="0.2">
      <c r="A2850" s="2">
        <v>2026</v>
      </c>
      <c r="B2850" s="2">
        <v>1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391"/>
        <v>0</v>
      </c>
      <c r="AG2850" s="2">
        <v>343.38</v>
      </c>
      <c r="AH2850" s="2">
        <v>986.58</v>
      </c>
      <c r="AJ2850" s="2">
        <f t="shared" si="392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80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97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391"/>
        <v>0</v>
      </c>
      <c r="AJ2851" s="2">
        <f t="shared" si="392"/>
        <v>0</v>
      </c>
      <c r="AK2851" s="2">
        <f t="shared" ref="AK2851:AK2882" si="398">T2851-W2851</f>
        <v>1601.8500000000001</v>
      </c>
      <c r="AL2851" s="5">
        <f t="shared" ref="AL2851:AL2882" si="399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80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97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391"/>
        <v>0</v>
      </c>
      <c r="AJ2852" s="2">
        <f t="shared" si="392"/>
        <v>0</v>
      </c>
      <c r="AK2852" s="2">
        <f t="shared" si="398"/>
        <v>558.98</v>
      </c>
      <c r="AL2852" s="5">
        <f t="shared" si="399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97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391"/>
        <v>0</v>
      </c>
      <c r="AG2853" s="2">
        <v>7437.5950000000003</v>
      </c>
      <c r="AJ2853" s="2">
        <f t="shared" si="392"/>
        <v>0</v>
      </c>
      <c r="AK2853" s="2">
        <f t="shared" si="398"/>
        <v>692.48499999999967</v>
      </c>
      <c r="AL2853" s="5">
        <f t="shared" si="399"/>
        <v>8.5175668628106938E-2</v>
      </c>
    </row>
    <row r="2854" spans="1:38" x14ac:dyDescent="0.2">
      <c r="A2854" s="2">
        <v>2026</v>
      </c>
      <c r="B2854" s="2">
        <v>1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97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391"/>
        <v>0</v>
      </c>
      <c r="AJ2854" s="2">
        <f t="shared" si="392"/>
        <v>0</v>
      </c>
      <c r="AK2854" s="2">
        <f t="shared" si="398"/>
        <v>4400.1200000000008</v>
      </c>
      <c r="AL2854" s="5">
        <f t="shared" si="399"/>
        <v>0.31451894210150111</v>
      </c>
    </row>
    <row r="2855" spans="1:38" x14ac:dyDescent="0.2">
      <c r="A2855" s="2">
        <v>2026</v>
      </c>
      <c r="B2855" s="2">
        <v>1</v>
      </c>
      <c r="C2855" s="2" t="s">
        <v>3326</v>
      </c>
      <c r="D2855" s="2" t="s">
        <v>3327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97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391"/>
        <v>0</v>
      </c>
      <c r="AG2855" s="2">
        <v>10669.4</v>
      </c>
      <c r="AJ2855" s="2">
        <f t="shared" si="392"/>
        <v>0</v>
      </c>
      <c r="AK2855" s="2">
        <f t="shared" si="398"/>
        <v>3336.2000000000007</v>
      </c>
      <c r="AL2855" s="5">
        <f t="shared" si="399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97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391"/>
        <v>0</v>
      </c>
      <c r="AG2856" s="2">
        <v>6468.73</v>
      </c>
      <c r="AJ2856" s="2">
        <f t="shared" si="392"/>
        <v>0</v>
      </c>
      <c r="AK2856" s="2">
        <f t="shared" si="398"/>
        <v>1531.2700000000004</v>
      </c>
      <c r="AL2856" s="5">
        <f t="shared" si="399"/>
        <v>0.19140875000000004</v>
      </c>
    </row>
    <row r="2857" spans="1:38" x14ac:dyDescent="0.2">
      <c r="A2857" s="2">
        <v>2026</v>
      </c>
      <c r="B2857" s="2">
        <v>1</v>
      </c>
      <c r="D2857" s="2" t="s">
        <v>2319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97"/>
        <v>0.27561814109742444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391"/>
        <v>0</v>
      </c>
      <c r="AG2857" s="2">
        <f>6193.4+275.33</f>
        <v>6468.73</v>
      </c>
      <c r="AJ2857" s="2">
        <f t="shared" si="392"/>
        <v>0</v>
      </c>
      <c r="AK2857" s="2">
        <f t="shared" si="398"/>
        <v>2461.2700000000004</v>
      </c>
      <c r="AL2857" s="5">
        <f t="shared" si="399"/>
        <v>0.27561814109742444</v>
      </c>
    </row>
    <row r="2858" spans="1:38" x14ac:dyDescent="0.2">
      <c r="A2858" s="2">
        <v>2026</v>
      </c>
      <c r="B2858" s="2">
        <v>1</v>
      </c>
      <c r="D2858" s="2" t="s">
        <v>1124</v>
      </c>
      <c r="E2858" s="2" t="s">
        <v>108</v>
      </c>
      <c r="F2858" s="2" t="s">
        <v>39</v>
      </c>
      <c r="G2858" s="2">
        <v>515742279</v>
      </c>
      <c r="H2858" s="2" t="s">
        <v>41</v>
      </c>
      <c r="I2858" s="2" t="s">
        <v>2294</v>
      </c>
      <c r="J2858" s="2" t="s">
        <v>2295</v>
      </c>
      <c r="K2858" s="2">
        <v>965790183</v>
      </c>
      <c r="L2858" s="2" t="s">
        <v>177</v>
      </c>
      <c r="M2858" s="2" t="s">
        <v>41</v>
      </c>
      <c r="O2858" s="2" t="s">
        <v>2345</v>
      </c>
      <c r="P2858" s="2" t="s">
        <v>114</v>
      </c>
      <c r="Q2858" s="2" t="s">
        <v>955</v>
      </c>
      <c r="R2858" s="2" t="s">
        <v>956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97"/>
        <v>0.31908105263157899</v>
      </c>
      <c r="Z2858" s="2" t="s">
        <v>104</v>
      </c>
      <c r="AA2858" s="2" t="s">
        <v>616</v>
      </c>
      <c r="AB2858" s="2" t="s">
        <v>957</v>
      </c>
      <c r="AC2858" s="2" t="s">
        <v>114</v>
      </c>
      <c r="AF2858" s="2">
        <f t="shared" si="391"/>
        <v>0</v>
      </c>
      <c r="AG2858" s="2">
        <f>6193.4+275.33</f>
        <v>6468.73</v>
      </c>
      <c r="AJ2858" s="2">
        <f t="shared" si="392"/>
        <v>0</v>
      </c>
      <c r="AK2858" s="2">
        <f t="shared" si="398"/>
        <v>3031.2700000000004</v>
      </c>
      <c r="AL2858" s="5">
        <f t="shared" si="399"/>
        <v>0.31908105263157899</v>
      </c>
    </row>
    <row r="2859" spans="1:38" x14ac:dyDescent="0.2">
      <c r="A2859" s="2">
        <v>2026</v>
      </c>
      <c r="B2859" s="2">
        <v>1</v>
      </c>
      <c r="D2859" s="2" t="s">
        <v>973</v>
      </c>
      <c r="M2859" s="2" t="s">
        <v>3300</v>
      </c>
      <c r="P2859" s="2" t="s">
        <v>2346</v>
      </c>
      <c r="Q2859" s="2" t="s">
        <v>2347</v>
      </c>
      <c r="R2859" s="2" t="s">
        <v>2348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97"/>
        <v>0.81545454545454543</v>
      </c>
      <c r="Z2859" s="2" t="s">
        <v>117</v>
      </c>
      <c r="AA2859" s="2" t="s">
        <v>578</v>
      </c>
      <c r="AB2859" s="2" t="s">
        <v>119</v>
      </c>
      <c r="AC2859" s="2" t="s">
        <v>2346</v>
      </c>
      <c r="AF2859" s="2">
        <f t="shared" si="391"/>
        <v>0</v>
      </c>
      <c r="AG2859" s="2">
        <v>203</v>
      </c>
      <c r="AJ2859" s="2">
        <f t="shared" si="392"/>
        <v>0</v>
      </c>
      <c r="AK2859" s="2">
        <f t="shared" si="398"/>
        <v>897</v>
      </c>
      <c r="AL2859" s="5">
        <f t="shared" si="399"/>
        <v>0.81545454545454543</v>
      </c>
    </row>
    <row r="2860" spans="1:38" x14ac:dyDescent="0.2">
      <c r="A2860" s="2">
        <v>2026</v>
      </c>
      <c r="B2860" s="2">
        <v>1</v>
      </c>
      <c r="D2860" s="2" t="s">
        <v>1553</v>
      </c>
      <c r="E2860" s="2" t="s">
        <v>108</v>
      </c>
      <c r="F2860" s="2" t="s">
        <v>717</v>
      </c>
      <c r="G2860" s="2">
        <v>500975914</v>
      </c>
      <c r="H2860" s="2" t="s">
        <v>41</v>
      </c>
      <c r="I2860" s="2" t="s">
        <v>1554</v>
      </c>
      <c r="J2860" s="2" t="s">
        <v>1555</v>
      </c>
      <c r="L2860" s="2" t="s">
        <v>99</v>
      </c>
      <c r="M2860" s="2" t="s">
        <v>41</v>
      </c>
      <c r="P2860" s="2" t="s">
        <v>2349</v>
      </c>
      <c r="Q2860" s="2" t="s">
        <v>2350</v>
      </c>
      <c r="R2860" s="2" t="s">
        <v>2351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97"/>
        <v>0.36584745762711868</v>
      </c>
      <c r="Z2860" s="2" t="s">
        <v>104</v>
      </c>
      <c r="AA2860" s="2" t="s">
        <v>71</v>
      </c>
      <c r="AB2860" s="2" t="s">
        <v>2349</v>
      </c>
      <c r="AC2860" s="2" t="s">
        <v>2349</v>
      </c>
      <c r="AF2860" s="2">
        <f t="shared" si="391"/>
        <v>0</v>
      </c>
      <c r="AG2860" s="2">
        <v>374.15</v>
      </c>
      <c r="AH2860" s="2">
        <v>662.51</v>
      </c>
      <c r="AJ2860" s="2">
        <f t="shared" si="392"/>
        <v>0</v>
      </c>
      <c r="AK2860" s="2">
        <f t="shared" si="398"/>
        <v>215.85000000000002</v>
      </c>
      <c r="AL2860" s="5">
        <f t="shared" si="399"/>
        <v>0.36584745762711868</v>
      </c>
    </row>
    <row r="2861" spans="1:38" x14ac:dyDescent="0.2">
      <c r="A2861" s="2">
        <v>2026</v>
      </c>
      <c r="B2861" s="2">
        <v>1</v>
      </c>
      <c r="D2861" s="2" t="s">
        <v>525</v>
      </c>
      <c r="E2861" s="2" t="s">
        <v>108</v>
      </c>
      <c r="F2861" s="2" t="s">
        <v>39</v>
      </c>
      <c r="G2861" s="2">
        <v>509391583</v>
      </c>
      <c r="H2861" s="2" t="s">
        <v>40</v>
      </c>
      <c r="I2861" s="2" t="s">
        <v>526</v>
      </c>
      <c r="J2861" s="2" t="s">
        <v>527</v>
      </c>
      <c r="L2861" s="2" t="s">
        <v>344</v>
      </c>
      <c r="M2861" s="2" t="s">
        <v>80</v>
      </c>
      <c r="O2861" s="2" t="s">
        <v>2352</v>
      </c>
      <c r="P2861" s="2" t="s">
        <v>282</v>
      </c>
      <c r="Q2861" s="2" t="s">
        <v>1510</v>
      </c>
      <c r="R2861" s="2" t="s">
        <v>1511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97"/>
        <v>0.4499999999999999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391"/>
        <v>0</v>
      </c>
      <c r="AG2861" s="2">
        <v>27.445</v>
      </c>
      <c r="AJ2861" s="2">
        <f t="shared" si="392"/>
        <v>0</v>
      </c>
      <c r="AK2861" s="2">
        <f t="shared" si="398"/>
        <v>67.364999999999981</v>
      </c>
      <c r="AL2861" s="5">
        <f t="shared" si="399"/>
        <v>0.4499999999999999</v>
      </c>
    </row>
    <row r="2862" spans="1:38" x14ac:dyDescent="0.2">
      <c r="A2862" s="2">
        <v>2026</v>
      </c>
      <c r="B2862" s="2">
        <v>1</v>
      </c>
      <c r="D2862" s="2" t="s">
        <v>2353</v>
      </c>
      <c r="E2862" s="2" t="s">
        <v>38</v>
      </c>
      <c r="G2862" s="2">
        <v>500888981</v>
      </c>
      <c r="H2862" s="2" t="s">
        <v>40</v>
      </c>
      <c r="I2862" s="2" t="s">
        <v>99</v>
      </c>
      <c r="K2862" s="2">
        <v>918560289</v>
      </c>
      <c r="L2862" s="2" t="s">
        <v>99</v>
      </c>
      <c r="M2862" s="2" t="s">
        <v>80</v>
      </c>
      <c r="O2862" s="2" t="s">
        <v>2354</v>
      </c>
      <c r="P2862" s="2" t="s">
        <v>282</v>
      </c>
      <c r="Q2862" s="2" t="s">
        <v>2355</v>
      </c>
      <c r="R2862" s="2" t="s">
        <v>2356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97"/>
        <v>0.45833333333333331</v>
      </c>
      <c r="Z2862" s="2" t="s">
        <v>3226</v>
      </c>
      <c r="AA2862" s="2" t="s">
        <v>71</v>
      </c>
      <c r="AB2862" s="2" t="s">
        <v>1600</v>
      </c>
      <c r="AC2862" s="2" t="s">
        <v>1600</v>
      </c>
      <c r="AF2862" s="2">
        <f t="shared" si="391"/>
        <v>0</v>
      </c>
      <c r="AG2862" s="2">
        <v>6.5</v>
      </c>
      <c r="AH2862" s="2">
        <v>10</v>
      </c>
      <c r="AJ2862" s="2">
        <f t="shared" si="392"/>
        <v>0</v>
      </c>
      <c r="AK2862" s="2">
        <f t="shared" si="398"/>
        <v>5.5</v>
      </c>
      <c r="AL2862" s="5">
        <f t="shared" si="399"/>
        <v>0.45833333333333331</v>
      </c>
    </row>
    <row r="2863" spans="1:38" x14ac:dyDescent="0.2">
      <c r="A2863" s="2">
        <v>2026</v>
      </c>
      <c r="B2863" s="2">
        <v>1</v>
      </c>
      <c r="D2863" s="2" t="s">
        <v>2357</v>
      </c>
      <c r="E2863" s="2" t="s">
        <v>752</v>
      </c>
      <c r="G2863" s="2">
        <v>191221937</v>
      </c>
      <c r="H2863" s="2" t="s">
        <v>109</v>
      </c>
      <c r="I2863" s="2" t="s">
        <v>2358</v>
      </c>
      <c r="J2863" s="2" t="s">
        <v>2359</v>
      </c>
      <c r="L2863" s="2" t="s">
        <v>133</v>
      </c>
      <c r="M2863" s="2" t="s">
        <v>109</v>
      </c>
      <c r="P2863" s="2" t="s">
        <v>282</v>
      </c>
      <c r="Q2863" s="2" t="s">
        <v>1547</v>
      </c>
      <c r="R2863" s="2" t="s">
        <v>1548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97"/>
        <v>0.50084033613445378</v>
      </c>
      <c r="Z2863" s="2" t="s">
        <v>104</v>
      </c>
      <c r="AA2863" s="2" t="s">
        <v>387</v>
      </c>
      <c r="AB2863" s="2" t="s">
        <v>388</v>
      </c>
      <c r="AC2863" s="2" t="s">
        <v>389</v>
      </c>
      <c r="AF2863" s="2">
        <f t="shared" si="391"/>
        <v>0</v>
      </c>
      <c r="AG2863" s="2">
        <v>297</v>
      </c>
      <c r="AH2863" s="2">
        <v>595</v>
      </c>
      <c r="AJ2863" s="2">
        <f t="shared" si="392"/>
        <v>0</v>
      </c>
      <c r="AK2863" s="2">
        <f t="shared" si="398"/>
        <v>298</v>
      </c>
      <c r="AL2863" s="5">
        <f t="shared" si="399"/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97"/>
        <v>0.274505</v>
      </c>
      <c r="Z2864" s="2" t="s">
        <v>3226</v>
      </c>
      <c r="AA2864" s="2" t="s">
        <v>46</v>
      </c>
      <c r="AB2864" s="2" t="s">
        <v>60</v>
      </c>
      <c r="AC2864" s="2" t="s">
        <v>3331</v>
      </c>
      <c r="AF2864" s="2">
        <f t="shared" si="391"/>
        <v>0</v>
      </c>
      <c r="AJ2864" s="2">
        <f t="shared" si="392"/>
        <v>0</v>
      </c>
      <c r="AK2864" s="2">
        <f t="shared" si="398"/>
        <v>21.9604</v>
      </c>
      <c r="AL2864" s="5">
        <f t="shared" si="399"/>
        <v>0.274505</v>
      </c>
    </row>
    <row r="2865" spans="1:38" x14ac:dyDescent="0.2">
      <c r="A2865" s="2">
        <v>2026</v>
      </c>
      <c r="B2865" s="2">
        <v>1</v>
      </c>
      <c r="D2865" s="2" t="s">
        <v>394</v>
      </c>
      <c r="E2865" s="2" t="s">
        <v>108</v>
      </c>
      <c r="F2865" s="2" t="s">
        <v>395</v>
      </c>
      <c r="G2865" s="2">
        <v>501787160</v>
      </c>
      <c r="H2865" s="2" t="s">
        <v>41</v>
      </c>
      <c r="I2865" s="2" t="s">
        <v>396</v>
      </c>
      <c r="J2865" s="2" t="s">
        <v>397</v>
      </c>
      <c r="L2865" s="2" t="s">
        <v>398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97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3331</v>
      </c>
      <c r="AF2865" s="2">
        <f t="shared" si="391"/>
        <v>0</v>
      </c>
      <c r="AJ2865" s="2">
        <f t="shared" si="392"/>
        <v>0</v>
      </c>
      <c r="AK2865" s="2">
        <f t="shared" si="398"/>
        <v>109.80200000000002</v>
      </c>
      <c r="AL2865" s="5">
        <f t="shared" si="399"/>
        <v>0.27450500000000005</v>
      </c>
    </row>
    <row r="2866" spans="1:38" x14ac:dyDescent="0.2">
      <c r="A2866" s="2">
        <v>2026</v>
      </c>
      <c r="B2866" s="2">
        <v>1</v>
      </c>
      <c r="D2866" s="2" t="s">
        <v>1553</v>
      </c>
      <c r="E2866" s="2" t="s">
        <v>108</v>
      </c>
      <c r="F2866" s="2" t="s">
        <v>717</v>
      </c>
      <c r="G2866" s="2">
        <v>500975914</v>
      </c>
      <c r="H2866" s="2" t="s">
        <v>41</v>
      </c>
      <c r="I2866" s="2" t="s">
        <v>1554</v>
      </c>
      <c r="J2866" s="2" t="s">
        <v>1555</v>
      </c>
      <c r="L2866" s="2" t="s">
        <v>99</v>
      </c>
      <c r="M2866" s="2" t="s">
        <v>41</v>
      </c>
      <c r="P2866" s="2" t="s">
        <v>282</v>
      </c>
      <c r="Q2866" s="2" t="s">
        <v>399</v>
      </c>
      <c r="R2866" s="2" t="s">
        <v>400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97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3331</v>
      </c>
      <c r="AF2866" s="2">
        <f t="shared" si="391"/>
        <v>0</v>
      </c>
      <c r="AJ2866" s="2">
        <f t="shared" si="392"/>
        <v>0</v>
      </c>
      <c r="AK2866" s="2">
        <f t="shared" si="398"/>
        <v>109.80200000000002</v>
      </c>
      <c r="AL2866" s="5">
        <f t="shared" si="399"/>
        <v>0.27450500000000005</v>
      </c>
    </row>
    <row r="2867" spans="1:38" x14ac:dyDescent="0.2">
      <c r="A2867" s="2">
        <v>2026</v>
      </c>
      <c r="B2867" s="2">
        <v>1</v>
      </c>
      <c r="D2867" s="2" t="s">
        <v>394</v>
      </c>
      <c r="E2867" s="2" t="s">
        <v>108</v>
      </c>
      <c r="F2867" s="2" t="s">
        <v>395</v>
      </c>
      <c r="G2867" s="2">
        <v>501787160</v>
      </c>
      <c r="H2867" s="2" t="s">
        <v>41</v>
      </c>
      <c r="I2867" s="2" t="s">
        <v>396</v>
      </c>
      <c r="J2867" s="2" t="s">
        <v>397</v>
      </c>
      <c r="L2867" s="2" t="s">
        <v>398</v>
      </c>
      <c r="M2867" s="2" t="s">
        <v>41</v>
      </c>
      <c r="P2867" s="2" t="s">
        <v>282</v>
      </c>
      <c r="Q2867" s="2" t="s">
        <v>401</v>
      </c>
      <c r="R2867" s="2" t="s">
        <v>402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97"/>
        <v>0.27450500000000005</v>
      </c>
      <c r="Z2867" s="2" t="s">
        <v>3226</v>
      </c>
      <c r="AA2867" s="2" t="s">
        <v>46</v>
      </c>
      <c r="AB2867" s="2" t="s">
        <v>60</v>
      </c>
      <c r="AC2867" s="2" t="s">
        <v>3331</v>
      </c>
      <c r="AF2867" s="2">
        <f t="shared" si="391"/>
        <v>0</v>
      </c>
      <c r="AJ2867" s="2">
        <f t="shared" si="392"/>
        <v>0</v>
      </c>
      <c r="AK2867" s="2">
        <f t="shared" si="398"/>
        <v>109.80200000000002</v>
      </c>
      <c r="AL2867" s="5">
        <f t="shared" si="399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2360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97"/>
        <v>0.42321428571428571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391"/>
        <v>0</v>
      </c>
      <c r="AG2868" s="2">
        <v>14.535</v>
      </c>
      <c r="AH2868" s="2">
        <v>25.2</v>
      </c>
      <c r="AJ2868" s="2">
        <f t="shared" si="392"/>
        <v>0</v>
      </c>
      <c r="AK2868" s="2">
        <f t="shared" si="398"/>
        <v>10.664999999999999</v>
      </c>
      <c r="AL2868" s="5">
        <f t="shared" si="399"/>
        <v>0.42321428571428571</v>
      </c>
    </row>
    <row r="2869" spans="1:38" x14ac:dyDescent="0.2">
      <c r="A2869" s="2">
        <v>2026</v>
      </c>
      <c r="B2869" s="2">
        <v>1</v>
      </c>
      <c r="D2869" s="2" t="s">
        <v>581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1101</v>
      </c>
      <c r="J2869" s="2" t="s">
        <v>1102</v>
      </c>
      <c r="L2869" s="2" t="s">
        <v>177</v>
      </c>
      <c r="M2869" s="2" t="s">
        <v>41</v>
      </c>
      <c r="O2869" s="2" t="s">
        <v>2361</v>
      </c>
      <c r="P2869" s="2" t="s">
        <v>43</v>
      </c>
      <c r="Q2869" s="2" t="s">
        <v>1104</v>
      </c>
      <c r="R2869" s="2" t="s">
        <v>1105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97"/>
        <v>0.4623655913978495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391"/>
        <v>0</v>
      </c>
      <c r="AG2869" s="2">
        <v>10</v>
      </c>
      <c r="AH2869" s="2">
        <v>21</v>
      </c>
      <c r="AJ2869" s="2">
        <f t="shared" si="392"/>
        <v>0</v>
      </c>
      <c r="AK2869" s="2">
        <f t="shared" si="398"/>
        <v>8.6000000000000014</v>
      </c>
      <c r="AL2869" s="5">
        <f t="shared" si="399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2362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97"/>
        <v>-0.32857142857142868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391"/>
        <v>0</v>
      </c>
      <c r="AG2870" s="2">
        <v>9.3000000000000007</v>
      </c>
      <c r="AH2870" s="2">
        <v>21</v>
      </c>
      <c r="AJ2870" s="2">
        <f t="shared" si="392"/>
        <v>0</v>
      </c>
      <c r="AK2870" s="2">
        <f t="shared" si="398"/>
        <v>-2.3000000000000007</v>
      </c>
      <c r="AL2870" s="5">
        <f t="shared" si="399"/>
        <v>-0.32857142857142868</v>
      </c>
    </row>
    <row r="2871" spans="1:38" x14ac:dyDescent="0.2">
      <c r="A2871" s="2">
        <v>2026</v>
      </c>
      <c r="B2871" s="2">
        <v>1</v>
      </c>
      <c r="D2871" s="2" t="s">
        <v>606</v>
      </c>
      <c r="E2871" s="2" t="s">
        <v>108</v>
      </c>
      <c r="F2871" s="2" t="s">
        <v>39</v>
      </c>
      <c r="G2871" s="2">
        <v>504822187</v>
      </c>
      <c r="H2871" s="2" t="s">
        <v>109</v>
      </c>
      <c r="I2871" s="2" t="s">
        <v>607</v>
      </c>
      <c r="J2871" s="2" t="s">
        <v>608</v>
      </c>
      <c r="K2871" s="2">
        <v>966216853</v>
      </c>
      <c r="L2871" s="2" t="s">
        <v>461</v>
      </c>
      <c r="M2871" s="2" t="s">
        <v>41</v>
      </c>
      <c r="O2871" s="2" t="s">
        <v>2363</v>
      </c>
      <c r="P2871" s="2" t="s">
        <v>43</v>
      </c>
      <c r="Q2871" s="2" t="s">
        <v>158</v>
      </c>
      <c r="R2871" s="2" t="s">
        <v>159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97"/>
        <v>0.5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391"/>
        <v>0</v>
      </c>
      <c r="AG2871" s="2">
        <v>9.3000000000000007</v>
      </c>
      <c r="AH2871" s="2">
        <v>21</v>
      </c>
      <c r="AJ2871" s="2">
        <f t="shared" si="392"/>
        <v>0</v>
      </c>
      <c r="AK2871" s="2">
        <f t="shared" si="398"/>
        <v>9.3000000000000007</v>
      </c>
      <c r="AL2871" s="5">
        <f t="shared" si="399"/>
        <v>0.5</v>
      </c>
    </row>
    <row r="2872" spans="1:38" x14ac:dyDescent="0.2">
      <c r="A2872" s="2">
        <v>2026</v>
      </c>
      <c r="B2872" s="2">
        <v>1</v>
      </c>
      <c r="D2872" s="2" t="s">
        <v>425</v>
      </c>
      <c r="E2872" s="2" t="s">
        <v>98</v>
      </c>
      <c r="F2872" s="2" t="s">
        <v>39</v>
      </c>
      <c r="G2872" s="2">
        <v>510613888</v>
      </c>
      <c r="H2872" s="2" t="s">
        <v>40</v>
      </c>
      <c r="I2872" s="2" t="s">
        <v>426</v>
      </c>
      <c r="J2872" s="2" t="s">
        <v>427</v>
      </c>
      <c r="L2872" s="2" t="s">
        <v>99</v>
      </c>
      <c r="M2872" s="2" t="s">
        <v>80</v>
      </c>
      <c r="P2872" s="2" t="s">
        <v>43</v>
      </c>
      <c r="Q2872" s="2" t="s">
        <v>48</v>
      </c>
      <c r="R2872" s="2" t="s">
        <v>49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97"/>
        <v>0.44777500000000003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391"/>
        <v>0</v>
      </c>
      <c r="AG2872" s="2">
        <v>6.6266999999999996</v>
      </c>
      <c r="AH2872" s="2">
        <v>12</v>
      </c>
      <c r="AJ2872" s="2">
        <f t="shared" si="392"/>
        <v>0</v>
      </c>
      <c r="AK2872" s="2">
        <f t="shared" si="398"/>
        <v>5.3733000000000004</v>
      </c>
      <c r="AL2872" s="5">
        <f t="shared" si="399"/>
        <v>0.44777500000000003</v>
      </c>
    </row>
    <row r="2873" spans="1:38" x14ac:dyDescent="0.2">
      <c r="A2873" s="2">
        <v>2026</v>
      </c>
      <c r="B2873" s="2">
        <v>1</v>
      </c>
      <c r="D2873" s="2" t="s">
        <v>588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177</v>
      </c>
      <c r="J2873" s="2" t="s">
        <v>589</v>
      </c>
      <c r="L2873" s="2" t="s">
        <v>177</v>
      </c>
      <c r="M2873" s="2" t="s">
        <v>41</v>
      </c>
      <c r="P2873" s="2" t="s">
        <v>43</v>
      </c>
      <c r="Q2873" s="2" t="s">
        <v>48</v>
      </c>
      <c r="R2873" s="2" t="s">
        <v>49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97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391"/>
        <v>0</v>
      </c>
      <c r="AG2873" s="2">
        <v>6.6266999999999996</v>
      </c>
      <c r="AH2873" s="2">
        <v>12</v>
      </c>
      <c r="AJ2873" s="2">
        <f t="shared" si="392"/>
        <v>0</v>
      </c>
      <c r="AK2873" s="2">
        <f t="shared" si="398"/>
        <v>25.493200000000002</v>
      </c>
      <c r="AL2873" s="5">
        <f t="shared" si="399"/>
        <v>0.49025384615384621</v>
      </c>
    </row>
    <row r="2874" spans="1:38" x14ac:dyDescent="0.2">
      <c r="A2874" s="2">
        <v>2026</v>
      </c>
      <c r="B2874" s="2">
        <v>1</v>
      </c>
      <c r="D2874" s="2" t="s">
        <v>2364</v>
      </c>
      <c r="E2874" s="2" t="s">
        <v>108</v>
      </c>
      <c r="F2874" s="2" t="s">
        <v>39</v>
      </c>
      <c r="G2874" s="2">
        <v>503554952</v>
      </c>
      <c r="H2874" s="2" t="s">
        <v>41</v>
      </c>
      <c r="I2874" s="2" t="s">
        <v>2365</v>
      </c>
      <c r="J2874" s="2" t="s">
        <v>2366</v>
      </c>
      <c r="K2874" s="2">
        <v>963062174</v>
      </c>
      <c r="L2874" s="2" t="s">
        <v>418</v>
      </c>
      <c r="M2874" s="2" t="s">
        <v>41</v>
      </c>
      <c r="O2874" s="2" t="s">
        <v>2367</v>
      </c>
      <c r="P2874" s="2" t="s">
        <v>43</v>
      </c>
      <c r="Q2874" s="2" t="s">
        <v>48</v>
      </c>
      <c r="R2874" s="2" t="s">
        <v>49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97"/>
        <v>0.49025384615384621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391"/>
        <v>0</v>
      </c>
      <c r="AG2874" s="2">
        <v>6.6266999999999996</v>
      </c>
      <c r="AH2874" s="2">
        <v>12</v>
      </c>
      <c r="AJ2874" s="2">
        <f t="shared" si="392"/>
        <v>0</v>
      </c>
      <c r="AK2874" s="2">
        <f t="shared" si="398"/>
        <v>12.746600000000001</v>
      </c>
      <c r="AL2874" s="5">
        <f t="shared" si="399"/>
        <v>0.49025384615384621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1363</v>
      </c>
      <c r="R2875" s="2" t="s">
        <v>1364</v>
      </c>
      <c r="S2875" s="2">
        <v>2</v>
      </c>
      <c r="T2875" s="2">
        <v>56.4</v>
      </c>
      <c r="U2875" s="2">
        <v>12.972</v>
      </c>
      <c r="V2875" s="2">
        <v>69.372</v>
      </c>
      <c r="W2875" s="2">
        <f>9.75*S2875</f>
        <v>19.5</v>
      </c>
      <c r="X2875" s="5">
        <f t="shared" si="397"/>
        <v>0.6542553191489362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391"/>
        <v>0</v>
      </c>
      <c r="AJ2875" s="2">
        <f t="shared" si="392"/>
        <v>0</v>
      </c>
      <c r="AK2875" s="2">
        <f t="shared" si="398"/>
        <v>36.9</v>
      </c>
      <c r="AL2875" s="5">
        <f t="shared" si="399"/>
        <v>0.6542553191489362</v>
      </c>
    </row>
    <row r="2876" spans="1:38" x14ac:dyDescent="0.2">
      <c r="A2876" s="2">
        <v>2026</v>
      </c>
      <c r="B2876" s="2">
        <v>1</v>
      </c>
      <c r="D2876" s="2" t="s">
        <v>617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618</v>
      </c>
      <c r="J2876" s="2" t="s">
        <v>619</v>
      </c>
      <c r="L2876" s="2" t="s">
        <v>418</v>
      </c>
      <c r="M2876" s="2" t="s">
        <v>41</v>
      </c>
      <c r="P2876" s="2" t="s">
        <v>43</v>
      </c>
      <c r="Q2876" s="2" t="s">
        <v>592</v>
      </c>
      <c r="R2876" s="2" t="s">
        <v>593</v>
      </c>
      <c r="S2876" s="2">
        <v>2</v>
      </c>
      <c r="T2876" s="2">
        <v>60</v>
      </c>
      <c r="U2876" s="2">
        <v>13.8</v>
      </c>
      <c r="V2876" s="2">
        <v>73.8</v>
      </c>
      <c r="W2876" s="2">
        <f>11.295*S2876</f>
        <v>22.59</v>
      </c>
      <c r="X2876" s="5">
        <f t="shared" si="397"/>
        <v>0.62349999999999994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391"/>
        <v>0</v>
      </c>
      <c r="AJ2876" s="2">
        <f t="shared" si="392"/>
        <v>0</v>
      </c>
      <c r="AK2876" s="2">
        <f t="shared" si="398"/>
        <v>37.409999999999997</v>
      </c>
      <c r="AL2876" s="5">
        <f t="shared" si="399"/>
        <v>0.62349999999999994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160</v>
      </c>
      <c r="R2877" s="2" t="s">
        <v>161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97"/>
        <v>0.16982222222222226</v>
      </c>
      <c r="Z2877" s="2" t="s">
        <v>3226</v>
      </c>
      <c r="AA2877" s="2" t="s">
        <v>46</v>
      </c>
      <c r="AB2877" s="2" t="s">
        <v>47</v>
      </c>
      <c r="AC2877" s="2" t="s">
        <v>57</v>
      </c>
      <c r="AF2877" s="2">
        <f t="shared" si="391"/>
        <v>0</v>
      </c>
      <c r="AG2877" s="2">
        <v>3.7357999999999998</v>
      </c>
      <c r="AH2877" s="2">
        <v>9</v>
      </c>
      <c r="AJ2877" s="2">
        <f t="shared" si="392"/>
        <v>0</v>
      </c>
      <c r="AK2877" s="2">
        <f t="shared" si="398"/>
        <v>0.76420000000000021</v>
      </c>
      <c r="AL2877" s="5">
        <f t="shared" si="399"/>
        <v>0.16982222222222226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216</v>
      </c>
      <c r="R2878" s="2" t="s">
        <v>217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W2878" s="2">
        <v>10.035</v>
      </c>
      <c r="X2878" s="5">
        <f t="shared" si="397"/>
        <v>0.42327586206896545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391"/>
        <v>0</v>
      </c>
      <c r="AJ2878" s="2">
        <f t="shared" si="392"/>
        <v>0</v>
      </c>
      <c r="AK2878" s="2">
        <f t="shared" si="398"/>
        <v>7.3649999999999984</v>
      </c>
      <c r="AL2878" s="5">
        <f t="shared" si="399"/>
        <v>0.42327586206896545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218</v>
      </c>
      <c r="R2879" s="2" t="s">
        <v>219</v>
      </c>
      <c r="S2879" s="2">
        <v>1</v>
      </c>
      <c r="T2879" s="2">
        <v>21</v>
      </c>
      <c r="U2879" s="2">
        <v>4.83</v>
      </c>
      <c r="V2879" s="2">
        <v>25.83</v>
      </c>
      <c r="W2879" s="2">
        <v>12.4434</v>
      </c>
      <c r="X2879" s="5">
        <f t="shared" si="397"/>
        <v>0.40745714285714285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391"/>
        <v>0</v>
      </c>
      <c r="AJ2879" s="2">
        <f t="shared" si="392"/>
        <v>0</v>
      </c>
      <c r="AK2879" s="2">
        <f t="shared" si="398"/>
        <v>8.5565999999999995</v>
      </c>
      <c r="AL2879" s="5">
        <f t="shared" si="399"/>
        <v>0.40745714285714285</v>
      </c>
    </row>
    <row r="2880" spans="1:38" x14ac:dyDescent="0.2">
      <c r="A2880" s="2">
        <v>2026</v>
      </c>
      <c r="B2880" s="2">
        <v>1</v>
      </c>
      <c r="D2880" s="2" t="s">
        <v>422</v>
      </c>
      <c r="E2880" s="2" t="s">
        <v>98</v>
      </c>
      <c r="F2880" s="2" t="s">
        <v>39</v>
      </c>
      <c r="G2880" s="2">
        <v>503523470</v>
      </c>
      <c r="H2880" s="2" t="s">
        <v>40</v>
      </c>
      <c r="I2880" s="2" t="s">
        <v>423</v>
      </c>
      <c r="J2880" s="2" t="s">
        <v>424</v>
      </c>
      <c r="L2880" s="2" t="s">
        <v>201</v>
      </c>
      <c r="M2880" s="2" t="s">
        <v>80</v>
      </c>
      <c r="P2880" s="2" t="s">
        <v>43</v>
      </c>
      <c r="Q2880" s="2" t="s">
        <v>230</v>
      </c>
      <c r="R2880" s="2" t="s">
        <v>231</v>
      </c>
      <c r="S2880" s="2">
        <v>1</v>
      </c>
      <c r="T2880" s="2">
        <v>12</v>
      </c>
      <c r="U2880" s="2">
        <v>2.76</v>
      </c>
      <c r="V2880" s="2">
        <v>14.76</v>
      </c>
      <c r="W2880" s="2">
        <f>6.605*S2880</f>
        <v>6.6050000000000004</v>
      </c>
      <c r="X2880" s="5">
        <f t="shared" si="397"/>
        <v>0.44958333333333328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391"/>
        <v>0</v>
      </c>
      <c r="AJ2880" s="2">
        <f t="shared" si="392"/>
        <v>0</v>
      </c>
      <c r="AK2880" s="2">
        <f t="shared" si="398"/>
        <v>5.3949999999999996</v>
      </c>
      <c r="AL2880" s="5">
        <f t="shared" si="399"/>
        <v>0.44958333333333328</v>
      </c>
    </row>
    <row r="2881" spans="1:38" x14ac:dyDescent="0.2">
      <c r="A2881" s="2">
        <v>2026</v>
      </c>
      <c r="B2881" s="2">
        <v>1</v>
      </c>
      <c r="D2881" s="2" t="s">
        <v>336</v>
      </c>
      <c r="E2881" s="2" t="s">
        <v>108</v>
      </c>
      <c r="F2881" s="2" t="s">
        <v>39</v>
      </c>
      <c r="G2881" s="2">
        <v>503373494</v>
      </c>
      <c r="H2881" s="2" t="s">
        <v>290</v>
      </c>
      <c r="I2881" s="2" t="s">
        <v>337</v>
      </c>
      <c r="J2881" s="2" t="s">
        <v>338</v>
      </c>
      <c r="K2881" s="2">
        <v>965852001</v>
      </c>
      <c r="L2881" s="2" t="s">
        <v>339</v>
      </c>
      <c r="M2881" s="2" t="s">
        <v>80</v>
      </c>
      <c r="P2881" s="2" t="s">
        <v>43</v>
      </c>
      <c r="Q2881" s="2" t="s">
        <v>232</v>
      </c>
      <c r="R2881" s="2" t="s">
        <v>233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97"/>
        <v>0.53121428571428575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si="391"/>
        <v>0</v>
      </c>
      <c r="AG2881" s="2">
        <v>5.9066999999999998</v>
      </c>
      <c r="AH2881" s="2">
        <v>12.6</v>
      </c>
      <c r="AJ2881" s="2">
        <f t="shared" si="392"/>
        <v>0</v>
      </c>
      <c r="AK2881" s="2">
        <f t="shared" si="398"/>
        <v>13.3866</v>
      </c>
      <c r="AL2881" s="5">
        <f t="shared" si="399"/>
        <v>0.53121428571428575</v>
      </c>
    </row>
    <row r="2882" spans="1:38" x14ac:dyDescent="0.2">
      <c r="A2882" s="2">
        <v>2026</v>
      </c>
      <c r="B2882" s="2">
        <v>1</v>
      </c>
      <c r="D2882" s="2" t="s">
        <v>765</v>
      </c>
      <c r="E2882" s="2" t="s">
        <v>38</v>
      </c>
      <c r="G2882" s="2">
        <v>513686231</v>
      </c>
      <c r="H2882" s="2" t="s">
        <v>290</v>
      </c>
      <c r="I2882" s="2" t="s">
        <v>766</v>
      </c>
      <c r="J2882" s="2" t="s">
        <v>767</v>
      </c>
      <c r="L2882" s="2" t="s">
        <v>480</v>
      </c>
      <c r="M2882" s="2" t="s">
        <v>80</v>
      </c>
      <c r="O2882" s="2" t="s">
        <v>2368</v>
      </c>
      <c r="P2882" s="2" t="s">
        <v>43</v>
      </c>
      <c r="Q2882" s="2" t="s">
        <v>232</v>
      </c>
      <c r="R2882" s="2" t="s">
        <v>233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97"/>
        <v>0.47912698412698418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ref="AF2882:AF2945" si="400">AJ2882</f>
        <v>0</v>
      </c>
      <c r="AG2882" s="2">
        <v>5.9066999999999998</v>
      </c>
      <c r="AH2882" s="2">
        <v>12.6</v>
      </c>
      <c r="AJ2882" s="2">
        <f t="shared" ref="AJ2882:AJ2945" si="401">AI2882*T2882</f>
        <v>0</v>
      </c>
      <c r="AK2882" s="2">
        <f t="shared" si="398"/>
        <v>27.166500000000003</v>
      </c>
      <c r="AL2882" s="5">
        <f t="shared" si="399"/>
        <v>0.47912698412698418</v>
      </c>
    </row>
    <row r="2883" spans="1:38" x14ac:dyDescent="0.2">
      <c r="A2883" s="2">
        <v>2026</v>
      </c>
      <c r="B2883" s="2">
        <v>1</v>
      </c>
      <c r="D2883" s="2" t="s">
        <v>422</v>
      </c>
      <c r="E2883" s="2" t="s">
        <v>98</v>
      </c>
      <c r="F2883" s="2" t="s">
        <v>39</v>
      </c>
      <c r="G2883" s="2">
        <v>503523470</v>
      </c>
      <c r="H2883" s="2" t="s">
        <v>40</v>
      </c>
      <c r="I2883" s="2" t="s">
        <v>423</v>
      </c>
      <c r="J2883" s="2" t="s">
        <v>424</v>
      </c>
      <c r="L2883" s="2" t="s">
        <v>201</v>
      </c>
      <c r="M2883" s="2" t="s">
        <v>80</v>
      </c>
      <c r="P2883" s="2" t="s">
        <v>43</v>
      </c>
      <c r="Q2883" s="2" t="s">
        <v>232</v>
      </c>
      <c r="R2883" s="2" t="s">
        <v>233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402">(T2883-W2883)/T2883</f>
        <v>0.53121428571428575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00"/>
        <v>0</v>
      </c>
      <c r="AG2883" s="2">
        <v>5.9066999999999998</v>
      </c>
      <c r="AH2883" s="2">
        <v>12.6</v>
      </c>
      <c r="AJ2883" s="2">
        <f t="shared" si="401"/>
        <v>0</v>
      </c>
      <c r="AK2883" s="2">
        <f t="shared" ref="AK2883:AK2914" si="403">T2883-W2883</f>
        <v>13.3866</v>
      </c>
      <c r="AL2883" s="5">
        <f t="shared" ref="AL2883:AL2914" si="404">(T2883-W2883)/T2883</f>
        <v>0.53121428571428575</v>
      </c>
    </row>
    <row r="2884" spans="1:38" x14ac:dyDescent="0.2">
      <c r="A2884" s="2">
        <v>2026</v>
      </c>
      <c r="B2884" s="2">
        <v>1</v>
      </c>
      <c r="D2884" s="2" t="s">
        <v>336</v>
      </c>
      <c r="E2884" s="2" t="s">
        <v>108</v>
      </c>
      <c r="F2884" s="2" t="s">
        <v>39</v>
      </c>
      <c r="G2884" s="2">
        <v>503373494</v>
      </c>
      <c r="H2884" s="2" t="s">
        <v>290</v>
      </c>
      <c r="I2884" s="2" t="s">
        <v>337</v>
      </c>
      <c r="J2884" s="2" t="s">
        <v>338</v>
      </c>
      <c r="K2884" s="2">
        <v>965852001</v>
      </c>
      <c r="L2884" s="2" t="s">
        <v>339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02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00"/>
        <v>0</v>
      </c>
      <c r="AG2884" s="2">
        <v>7.2217000000000002</v>
      </c>
      <c r="AH2884" s="2">
        <v>14.4</v>
      </c>
      <c r="AJ2884" s="2">
        <f t="shared" si="401"/>
        <v>0</v>
      </c>
      <c r="AK2884" s="2">
        <f t="shared" si="403"/>
        <v>14.3566</v>
      </c>
      <c r="AL2884" s="5">
        <f t="shared" si="404"/>
        <v>0.49849305555555556</v>
      </c>
    </row>
    <row r="2885" spans="1:38" x14ac:dyDescent="0.2">
      <c r="A2885" s="2">
        <v>2026</v>
      </c>
      <c r="B2885" s="2">
        <v>1</v>
      </c>
      <c r="D2885" s="2" t="s">
        <v>422</v>
      </c>
      <c r="E2885" s="2" t="s">
        <v>98</v>
      </c>
      <c r="F2885" s="2" t="s">
        <v>39</v>
      </c>
      <c r="G2885" s="2">
        <v>503523470</v>
      </c>
      <c r="H2885" s="2" t="s">
        <v>40</v>
      </c>
      <c r="I2885" s="2" t="s">
        <v>423</v>
      </c>
      <c r="J2885" s="2" t="s">
        <v>424</v>
      </c>
      <c r="L2885" s="2" t="s">
        <v>201</v>
      </c>
      <c r="M2885" s="2" t="s">
        <v>80</v>
      </c>
      <c r="P2885" s="2" t="s">
        <v>43</v>
      </c>
      <c r="Q2885" s="2" t="s">
        <v>234</v>
      </c>
      <c r="R2885" s="2" t="s">
        <v>235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402"/>
        <v>0.49849305555555556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00"/>
        <v>0</v>
      </c>
      <c r="AG2885" s="2">
        <v>7.2217000000000002</v>
      </c>
      <c r="AH2885" s="2">
        <v>14.4</v>
      </c>
      <c r="AJ2885" s="2">
        <f t="shared" si="401"/>
        <v>0</v>
      </c>
      <c r="AK2885" s="2">
        <f t="shared" si="403"/>
        <v>14.3566</v>
      </c>
      <c r="AL2885" s="5">
        <f t="shared" si="404"/>
        <v>0.49849305555555556</v>
      </c>
    </row>
    <row r="2886" spans="1:38" x14ac:dyDescent="0.2">
      <c r="A2886" s="2">
        <v>2026</v>
      </c>
      <c r="B2886" s="2">
        <v>1</v>
      </c>
      <c r="D2886" s="2" t="s">
        <v>336</v>
      </c>
      <c r="E2886" s="2" t="s">
        <v>108</v>
      </c>
      <c r="F2886" s="2" t="s">
        <v>39</v>
      </c>
      <c r="G2886" s="2">
        <v>503373494</v>
      </c>
      <c r="H2886" s="2" t="s">
        <v>290</v>
      </c>
      <c r="I2886" s="2" t="s">
        <v>337</v>
      </c>
      <c r="J2886" s="2" t="s">
        <v>338</v>
      </c>
      <c r="K2886" s="2">
        <v>965852001</v>
      </c>
      <c r="L2886" s="2" t="s">
        <v>339</v>
      </c>
      <c r="M2886" s="2" t="s">
        <v>80</v>
      </c>
      <c r="P2886" s="2" t="s">
        <v>43</v>
      </c>
      <c r="Q2886" s="2" t="s">
        <v>236</v>
      </c>
      <c r="R2886" s="2" t="s">
        <v>237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W2886" s="2">
        <f>9.075*S2886</f>
        <v>18.149999999999999</v>
      </c>
      <c r="X2886" s="5">
        <f t="shared" si="402"/>
        <v>0.47844827586206895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00"/>
        <v>0</v>
      </c>
      <c r="AJ2886" s="2">
        <f t="shared" si="401"/>
        <v>0</v>
      </c>
      <c r="AK2886" s="2">
        <f t="shared" si="403"/>
        <v>16.649999999999999</v>
      </c>
      <c r="AL2886" s="5">
        <f t="shared" si="404"/>
        <v>0.47844827586206895</v>
      </c>
    </row>
    <row r="2887" spans="1:38" x14ac:dyDescent="0.2">
      <c r="A2887" s="2">
        <v>2026</v>
      </c>
      <c r="B2887" s="2">
        <v>1</v>
      </c>
      <c r="D2887" s="2" t="s">
        <v>765</v>
      </c>
      <c r="E2887" s="2" t="s">
        <v>38</v>
      </c>
      <c r="G2887" s="2">
        <v>513686231</v>
      </c>
      <c r="H2887" s="2" t="s">
        <v>290</v>
      </c>
      <c r="I2887" s="2" t="s">
        <v>766</v>
      </c>
      <c r="J2887" s="2" t="s">
        <v>767</v>
      </c>
      <c r="L2887" s="2" t="s">
        <v>480</v>
      </c>
      <c r="M2887" s="2" t="s">
        <v>80</v>
      </c>
      <c r="O2887" s="2" t="s">
        <v>2368</v>
      </c>
      <c r="P2887" s="2" t="s">
        <v>43</v>
      </c>
      <c r="Q2887" s="2" t="s">
        <v>236</v>
      </c>
      <c r="R2887" s="2" t="s">
        <v>237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f>9.075*S2887</f>
        <v>90.75</v>
      </c>
      <c r="X2887" s="5">
        <f t="shared" si="402"/>
        <v>0.48554421768707484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00"/>
        <v>0</v>
      </c>
      <c r="AG2887" s="2">
        <v>9.0749999999999993</v>
      </c>
      <c r="AJ2887" s="2">
        <f t="shared" si="401"/>
        <v>0</v>
      </c>
      <c r="AK2887" s="2">
        <f t="shared" si="403"/>
        <v>85.65</v>
      </c>
      <c r="AL2887" s="5">
        <f t="shared" si="404"/>
        <v>0.48554421768707484</v>
      </c>
    </row>
    <row r="2888" spans="1:38" x14ac:dyDescent="0.2">
      <c r="A2888" s="2">
        <v>2026</v>
      </c>
      <c r="B2888" s="2">
        <v>1</v>
      </c>
      <c r="D2888" s="2" t="s">
        <v>422</v>
      </c>
      <c r="E2888" s="2" t="s">
        <v>98</v>
      </c>
      <c r="F2888" s="2" t="s">
        <v>39</v>
      </c>
      <c r="G2888" s="2">
        <v>503523470</v>
      </c>
      <c r="H2888" s="2" t="s">
        <v>40</v>
      </c>
      <c r="I2888" s="2" t="s">
        <v>423</v>
      </c>
      <c r="J2888" s="2" t="s">
        <v>424</v>
      </c>
      <c r="L2888" s="2" t="s">
        <v>201</v>
      </c>
      <c r="M2888" s="2" t="s">
        <v>80</v>
      </c>
      <c r="P2888" s="2" t="s">
        <v>43</v>
      </c>
      <c r="Q2888" s="2" t="s">
        <v>236</v>
      </c>
      <c r="R2888" s="2" t="s">
        <v>237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W2888" s="2">
        <f>9.075*S2888</f>
        <v>18.149999999999999</v>
      </c>
      <c r="X2888" s="5">
        <f t="shared" si="402"/>
        <v>0.47844827586206895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00"/>
        <v>0</v>
      </c>
      <c r="AJ2888" s="2">
        <f t="shared" si="401"/>
        <v>0</v>
      </c>
      <c r="AK2888" s="2">
        <f t="shared" si="403"/>
        <v>16.649999999999999</v>
      </c>
      <c r="AL2888" s="5">
        <f t="shared" si="404"/>
        <v>0.47844827586206895</v>
      </c>
    </row>
    <row r="2889" spans="1:38" x14ac:dyDescent="0.2">
      <c r="A2889" s="2">
        <v>2026</v>
      </c>
      <c r="B2889" s="2">
        <v>1</v>
      </c>
      <c r="D2889" s="2" t="s">
        <v>336</v>
      </c>
      <c r="E2889" s="2" t="s">
        <v>108</v>
      </c>
      <c r="F2889" s="2" t="s">
        <v>39</v>
      </c>
      <c r="G2889" s="2">
        <v>503373494</v>
      </c>
      <c r="H2889" s="2" t="s">
        <v>290</v>
      </c>
      <c r="I2889" s="2" t="s">
        <v>337</v>
      </c>
      <c r="J2889" s="2" t="s">
        <v>338</v>
      </c>
      <c r="K2889" s="2">
        <v>965852001</v>
      </c>
      <c r="L2889" s="2" t="s">
        <v>339</v>
      </c>
      <c r="M2889" s="2" t="s">
        <v>80</v>
      </c>
      <c r="P2889" s="2" t="s">
        <v>43</v>
      </c>
      <c r="Q2889" s="2" t="s">
        <v>238</v>
      </c>
      <c r="R2889" s="2" t="s">
        <v>239</v>
      </c>
      <c r="S2889" s="2">
        <v>2</v>
      </c>
      <c r="T2889" s="2">
        <v>42</v>
      </c>
      <c r="U2889" s="2">
        <v>9.66</v>
      </c>
      <c r="V2889" s="2">
        <v>51.66</v>
      </c>
      <c r="W2889" s="2">
        <f t="shared" ref="W2889:W2891" si="405">11.045*S2889</f>
        <v>22.09</v>
      </c>
      <c r="X2889" s="5">
        <f t="shared" si="402"/>
        <v>0.47404761904761905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00"/>
        <v>0</v>
      </c>
      <c r="AJ2889" s="2">
        <f t="shared" si="401"/>
        <v>0</v>
      </c>
      <c r="AK2889" s="2">
        <f t="shared" si="403"/>
        <v>19.91</v>
      </c>
      <c r="AL2889" s="5">
        <f t="shared" si="404"/>
        <v>0.47404761904761905</v>
      </c>
    </row>
    <row r="2890" spans="1:38" x14ac:dyDescent="0.2">
      <c r="A2890" s="2">
        <v>2026</v>
      </c>
      <c r="B2890" s="2">
        <v>1</v>
      </c>
      <c r="D2890" s="2" t="s">
        <v>765</v>
      </c>
      <c r="E2890" s="2" t="s">
        <v>38</v>
      </c>
      <c r="G2890" s="2">
        <v>513686231</v>
      </c>
      <c r="H2890" s="2" t="s">
        <v>290</v>
      </c>
      <c r="I2890" s="2" t="s">
        <v>766</v>
      </c>
      <c r="J2890" s="2" t="s">
        <v>767</v>
      </c>
      <c r="L2890" s="2" t="s">
        <v>480</v>
      </c>
      <c r="M2890" s="2" t="s">
        <v>80</v>
      </c>
      <c r="O2890" s="2" t="s">
        <v>2368</v>
      </c>
      <c r="P2890" s="2" t="s">
        <v>43</v>
      </c>
      <c r="Q2890" s="2" t="s">
        <v>238</v>
      </c>
      <c r="R2890" s="2" t="s">
        <v>239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f t="shared" si="405"/>
        <v>44.18</v>
      </c>
      <c r="X2890" s="5">
        <f t="shared" si="402"/>
        <v>0.48580074487895719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00"/>
        <v>0</v>
      </c>
      <c r="AG2890" s="2">
        <v>11.045</v>
      </c>
      <c r="AJ2890" s="2">
        <f t="shared" si="401"/>
        <v>0</v>
      </c>
      <c r="AK2890" s="2">
        <f t="shared" si="403"/>
        <v>41.74</v>
      </c>
      <c r="AL2890" s="5">
        <f t="shared" si="404"/>
        <v>0.48580074487895719</v>
      </c>
    </row>
    <row r="2891" spans="1:38" x14ac:dyDescent="0.2">
      <c r="A2891" s="2">
        <v>2026</v>
      </c>
      <c r="B2891" s="2">
        <v>1</v>
      </c>
      <c r="D2891" s="2" t="s">
        <v>422</v>
      </c>
      <c r="E2891" s="2" t="s">
        <v>98</v>
      </c>
      <c r="F2891" s="2" t="s">
        <v>39</v>
      </c>
      <c r="G2891" s="2">
        <v>503523470</v>
      </c>
      <c r="H2891" s="2" t="s">
        <v>40</v>
      </c>
      <c r="I2891" s="2" t="s">
        <v>423</v>
      </c>
      <c r="J2891" s="2" t="s">
        <v>424</v>
      </c>
      <c r="L2891" s="2" t="s">
        <v>201</v>
      </c>
      <c r="M2891" s="2" t="s">
        <v>80</v>
      </c>
      <c r="P2891" s="2" t="s">
        <v>43</v>
      </c>
      <c r="Q2891" s="2" t="s">
        <v>238</v>
      </c>
      <c r="R2891" s="2" t="s">
        <v>239</v>
      </c>
      <c r="S2891" s="2">
        <v>1</v>
      </c>
      <c r="T2891" s="2">
        <v>21</v>
      </c>
      <c r="U2891" s="2">
        <v>4.83</v>
      </c>
      <c r="V2891" s="2">
        <v>25.83</v>
      </c>
      <c r="W2891" s="2">
        <f t="shared" si="405"/>
        <v>11.045</v>
      </c>
      <c r="X2891" s="5">
        <f t="shared" si="402"/>
        <v>0.47404761904761905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00"/>
        <v>0</v>
      </c>
      <c r="AJ2891" s="2">
        <f t="shared" si="401"/>
        <v>0</v>
      </c>
      <c r="AK2891" s="2">
        <f t="shared" si="403"/>
        <v>9.9550000000000001</v>
      </c>
      <c r="AL2891" s="5">
        <f t="shared" si="404"/>
        <v>0.47404761904761905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240</v>
      </c>
      <c r="R2892" s="2" t="s">
        <v>241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W2892" s="2">
        <f>13.4067*S2892</f>
        <v>26.813400000000001</v>
      </c>
      <c r="X2892" s="5">
        <f t="shared" si="402"/>
        <v>0.4679880952380952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00"/>
        <v>0</v>
      </c>
      <c r="AJ2892" s="2">
        <f t="shared" si="401"/>
        <v>0</v>
      </c>
      <c r="AK2892" s="2">
        <f t="shared" si="403"/>
        <v>23.586599999999997</v>
      </c>
      <c r="AL2892" s="5">
        <f t="shared" si="404"/>
        <v>0.4679880952380952</v>
      </c>
    </row>
    <row r="2893" spans="1:38" x14ac:dyDescent="0.2">
      <c r="A2893" s="2">
        <v>2026</v>
      </c>
      <c r="B2893" s="2">
        <v>1</v>
      </c>
      <c r="D2893" s="2" t="s">
        <v>336</v>
      </c>
      <c r="E2893" s="2" t="s">
        <v>108</v>
      </c>
      <c r="F2893" s="2" t="s">
        <v>39</v>
      </c>
      <c r="G2893" s="2">
        <v>503373494</v>
      </c>
      <c r="H2893" s="2" t="s">
        <v>290</v>
      </c>
      <c r="I2893" s="2" t="s">
        <v>337</v>
      </c>
      <c r="J2893" s="2" t="s">
        <v>338</v>
      </c>
      <c r="K2893" s="2">
        <v>965852001</v>
      </c>
      <c r="L2893" s="2" t="s">
        <v>339</v>
      </c>
      <c r="M2893" s="2" t="s">
        <v>80</v>
      </c>
      <c r="P2893" s="2" t="s">
        <v>43</v>
      </c>
      <c r="Q2893" s="2" t="s">
        <v>242</v>
      </c>
      <c r="R2893" s="2" t="s">
        <v>243</v>
      </c>
      <c r="S2893" s="2">
        <v>2</v>
      </c>
      <c r="T2893" s="2">
        <v>60</v>
      </c>
      <c r="U2893" s="2">
        <v>13.8</v>
      </c>
      <c r="V2893" s="2">
        <v>73.8</v>
      </c>
      <c r="W2893" s="2">
        <f>16.2249*S2893</f>
        <v>32.449800000000003</v>
      </c>
      <c r="X2893" s="5">
        <f t="shared" si="402"/>
        <v>0.45916999999999997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00"/>
        <v>0</v>
      </c>
      <c r="AJ2893" s="2">
        <f t="shared" si="401"/>
        <v>0</v>
      </c>
      <c r="AK2893" s="2">
        <f t="shared" si="403"/>
        <v>27.550199999999997</v>
      </c>
      <c r="AL2893" s="5">
        <f t="shared" si="404"/>
        <v>0.45916999999999997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54</v>
      </c>
      <c r="R2894" s="2" t="s">
        <v>55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406">10.6*S2894</f>
        <v>127.19999999999999</v>
      </c>
      <c r="X2894" s="5">
        <f t="shared" si="402"/>
        <v>9.7872340425532001E-2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00"/>
        <v>0</v>
      </c>
      <c r="AG2894" s="2">
        <v>10.6</v>
      </c>
      <c r="AH2894" s="2">
        <v>18</v>
      </c>
      <c r="AJ2894" s="2">
        <f t="shared" si="401"/>
        <v>0</v>
      </c>
      <c r="AK2894" s="2">
        <f t="shared" si="403"/>
        <v>13.800000000000011</v>
      </c>
      <c r="AL2894" s="5">
        <f t="shared" si="404"/>
        <v>9.7872340425532001E-2</v>
      </c>
    </row>
    <row r="2895" spans="1:38" x14ac:dyDescent="0.2">
      <c r="A2895" s="2">
        <v>2026</v>
      </c>
      <c r="B2895" s="2">
        <v>1</v>
      </c>
      <c r="C2895" s="2" t="s">
        <v>3473</v>
      </c>
      <c r="D2895" s="2" t="s">
        <v>939</v>
      </c>
      <c r="E2895" s="2" t="s">
        <v>38</v>
      </c>
      <c r="F2895" s="2" t="s">
        <v>39</v>
      </c>
      <c r="L2895" s="2" t="s">
        <v>99</v>
      </c>
      <c r="M2895" s="2" t="s">
        <v>80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06"/>
        <v>21.2</v>
      </c>
      <c r="X2895" s="5">
        <f t="shared" si="402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00"/>
        <v>0</v>
      </c>
      <c r="AG2895" s="2">
        <v>10.6</v>
      </c>
      <c r="AH2895" s="2">
        <v>18</v>
      </c>
      <c r="AJ2895" s="2">
        <f t="shared" si="401"/>
        <v>0</v>
      </c>
      <c r="AK2895" s="2">
        <f t="shared" si="403"/>
        <v>14.8</v>
      </c>
      <c r="AL2895" s="5">
        <f t="shared" si="404"/>
        <v>0.41111111111111115</v>
      </c>
    </row>
    <row r="2896" spans="1:38" x14ac:dyDescent="0.2">
      <c r="A2896" s="2">
        <v>2026</v>
      </c>
      <c r="B2896" s="2">
        <v>1</v>
      </c>
      <c r="D2896" s="2" t="s">
        <v>693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327</v>
      </c>
      <c r="J2896" s="2" t="s">
        <v>695</v>
      </c>
      <c r="K2896" s="2">
        <v>917295518</v>
      </c>
      <c r="L2896" s="2" t="s">
        <v>177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06"/>
        <v>21.2</v>
      </c>
      <c r="X2896" s="5">
        <f t="shared" si="402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00"/>
        <v>0</v>
      </c>
      <c r="AG2896" s="2">
        <v>10.6</v>
      </c>
      <c r="AH2896" s="2">
        <v>18</v>
      </c>
      <c r="AJ2896" s="2">
        <f t="shared" si="401"/>
        <v>0</v>
      </c>
      <c r="AK2896" s="2">
        <f t="shared" si="403"/>
        <v>14.8</v>
      </c>
      <c r="AL2896" s="5">
        <f t="shared" si="404"/>
        <v>0.41111111111111115</v>
      </c>
    </row>
    <row r="2897" spans="1:38" x14ac:dyDescent="0.2">
      <c r="A2897" s="2">
        <v>2026</v>
      </c>
      <c r="B2897" s="2">
        <v>1</v>
      </c>
      <c r="D2897" s="2" t="s">
        <v>2214</v>
      </c>
      <c r="M2897" s="2" t="s">
        <v>41</v>
      </c>
      <c r="P2897" s="2" t="s">
        <v>43</v>
      </c>
      <c r="Q2897" s="2" t="s">
        <v>54</v>
      </c>
      <c r="R2897" s="2" t="s">
        <v>55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406"/>
        <v>21.2</v>
      </c>
      <c r="X2897" s="5">
        <f t="shared" si="402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00"/>
        <v>0</v>
      </c>
      <c r="AG2897" s="2">
        <v>10.6</v>
      </c>
      <c r="AH2897" s="2">
        <v>18</v>
      </c>
      <c r="AJ2897" s="2">
        <f t="shared" si="401"/>
        <v>0</v>
      </c>
      <c r="AK2897" s="2">
        <f t="shared" si="403"/>
        <v>14.8</v>
      </c>
      <c r="AL2897" s="5">
        <f t="shared" si="404"/>
        <v>0.41111111111111115</v>
      </c>
    </row>
    <row r="2898" spans="1:38" x14ac:dyDescent="0.2">
      <c r="A2898" s="2">
        <v>2026</v>
      </c>
      <c r="B2898" s="2">
        <v>1</v>
      </c>
      <c r="D2898" s="2" t="s">
        <v>1178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1179</v>
      </c>
      <c r="J2898" s="2" t="s">
        <v>1180</v>
      </c>
      <c r="L2898" s="2" t="s">
        <v>461</v>
      </c>
      <c r="M2898" s="2" t="s">
        <v>41</v>
      </c>
      <c r="O2898" s="2" t="s">
        <v>2369</v>
      </c>
      <c r="P2898" s="2" t="s">
        <v>43</v>
      </c>
      <c r="Q2898" s="2" t="s">
        <v>54</v>
      </c>
      <c r="R2898" s="2" t="s">
        <v>55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406"/>
        <v>31.799999999999997</v>
      </c>
      <c r="X2898" s="5">
        <f t="shared" si="402"/>
        <v>0.41111111111111115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00"/>
        <v>0</v>
      </c>
      <c r="AG2898" s="2">
        <v>10.6</v>
      </c>
      <c r="AH2898" s="2">
        <v>18</v>
      </c>
      <c r="AJ2898" s="2">
        <f t="shared" si="401"/>
        <v>0</v>
      </c>
      <c r="AK2898" s="2">
        <f t="shared" si="403"/>
        <v>22.200000000000003</v>
      </c>
      <c r="AL2898" s="5">
        <f t="shared" si="404"/>
        <v>0.41111111111111115</v>
      </c>
    </row>
    <row r="2899" spans="1:38" x14ac:dyDescent="0.2">
      <c r="A2899" s="2">
        <v>2026</v>
      </c>
      <c r="B2899" s="2">
        <v>1</v>
      </c>
      <c r="D2899" s="2" t="s">
        <v>336</v>
      </c>
      <c r="E2899" s="2" t="s">
        <v>108</v>
      </c>
      <c r="F2899" s="2" t="s">
        <v>39</v>
      </c>
      <c r="G2899" s="2">
        <v>503373494</v>
      </c>
      <c r="H2899" s="2" t="s">
        <v>290</v>
      </c>
      <c r="I2899" s="2" t="s">
        <v>337</v>
      </c>
      <c r="J2899" s="2" t="s">
        <v>338</v>
      </c>
      <c r="K2899" s="2">
        <v>965852001</v>
      </c>
      <c r="L2899" s="2" t="s">
        <v>339</v>
      </c>
      <c r="M2899" s="2" t="s">
        <v>80</v>
      </c>
      <c r="P2899" s="2" t="s">
        <v>43</v>
      </c>
      <c r="Q2899" s="2" t="s">
        <v>54</v>
      </c>
      <c r="R2899" s="2" t="s">
        <v>55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406"/>
        <v>53</v>
      </c>
      <c r="X2899" s="5">
        <f t="shared" si="402"/>
        <v>0.41111111111111109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00"/>
        <v>0</v>
      </c>
      <c r="AG2899" s="2">
        <v>10.6</v>
      </c>
      <c r="AH2899" s="2">
        <v>18</v>
      </c>
      <c r="AJ2899" s="2">
        <f t="shared" si="401"/>
        <v>0</v>
      </c>
      <c r="AK2899" s="2">
        <f t="shared" si="403"/>
        <v>37</v>
      </c>
      <c r="AL2899" s="5">
        <f t="shared" si="404"/>
        <v>0.41111111111111109</v>
      </c>
    </row>
    <row r="2900" spans="1:38" x14ac:dyDescent="0.2">
      <c r="A2900" s="2">
        <v>2026</v>
      </c>
      <c r="B2900" s="2">
        <v>1</v>
      </c>
      <c r="D2900" s="2" t="s">
        <v>415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416</v>
      </c>
      <c r="J2900" s="2" t="s">
        <v>417</v>
      </c>
      <c r="L2900" s="2" t="s">
        <v>418</v>
      </c>
      <c r="M2900" s="2" t="s">
        <v>41</v>
      </c>
      <c r="P2900" s="2" t="s">
        <v>43</v>
      </c>
      <c r="Q2900" s="2" t="s">
        <v>54</v>
      </c>
      <c r="R2900" s="2" t="s">
        <v>55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406"/>
        <v>42.4</v>
      </c>
      <c r="X2900" s="5">
        <f t="shared" si="402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00"/>
        <v>0</v>
      </c>
      <c r="AG2900" s="2">
        <v>10.6</v>
      </c>
      <c r="AH2900" s="2">
        <v>18</v>
      </c>
      <c r="AJ2900" s="2">
        <f t="shared" si="401"/>
        <v>0</v>
      </c>
      <c r="AK2900" s="2">
        <f t="shared" si="403"/>
        <v>29.6</v>
      </c>
      <c r="AL2900" s="5">
        <f t="shared" si="404"/>
        <v>0.41111111111111115</v>
      </c>
    </row>
    <row r="2901" spans="1:38" x14ac:dyDescent="0.2">
      <c r="A2901" s="2">
        <v>2026</v>
      </c>
      <c r="B2901" s="2">
        <v>1</v>
      </c>
      <c r="D2901" s="2" t="s">
        <v>422</v>
      </c>
      <c r="E2901" s="2" t="s">
        <v>98</v>
      </c>
      <c r="F2901" s="2" t="s">
        <v>39</v>
      </c>
      <c r="G2901" s="2">
        <v>503523470</v>
      </c>
      <c r="H2901" s="2" t="s">
        <v>40</v>
      </c>
      <c r="I2901" s="2" t="s">
        <v>423</v>
      </c>
      <c r="J2901" s="2" t="s">
        <v>424</v>
      </c>
      <c r="L2901" s="2" t="s">
        <v>201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06"/>
        <v>10.6</v>
      </c>
      <c r="X2901" s="5">
        <f t="shared" si="402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00"/>
        <v>0</v>
      </c>
      <c r="AG2901" s="2">
        <v>10.6</v>
      </c>
      <c r="AH2901" s="2">
        <v>18</v>
      </c>
      <c r="AJ2901" s="2">
        <f t="shared" si="401"/>
        <v>0</v>
      </c>
      <c r="AK2901" s="2">
        <f t="shared" si="403"/>
        <v>7.4</v>
      </c>
      <c r="AL2901" s="5">
        <f t="shared" si="404"/>
        <v>0.41111111111111115</v>
      </c>
    </row>
    <row r="2902" spans="1:38" x14ac:dyDescent="0.2">
      <c r="A2902" s="2">
        <v>2026</v>
      </c>
      <c r="B2902" s="2">
        <v>1</v>
      </c>
      <c r="D2902" s="2" t="s">
        <v>425</v>
      </c>
      <c r="E2902" s="2" t="s">
        <v>98</v>
      </c>
      <c r="F2902" s="2" t="s">
        <v>39</v>
      </c>
      <c r="G2902" s="2">
        <v>510613888</v>
      </c>
      <c r="H2902" s="2" t="s">
        <v>40</v>
      </c>
      <c r="I2902" s="2" t="s">
        <v>426</v>
      </c>
      <c r="J2902" s="2" t="s">
        <v>427</v>
      </c>
      <c r="L2902" s="2" t="s">
        <v>99</v>
      </c>
      <c r="M2902" s="2" t="s">
        <v>80</v>
      </c>
      <c r="P2902" s="2" t="s">
        <v>43</v>
      </c>
      <c r="Q2902" s="2" t="s">
        <v>54</v>
      </c>
      <c r="R2902" s="2" t="s">
        <v>55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406"/>
        <v>10.6</v>
      </c>
      <c r="X2902" s="5">
        <f t="shared" si="402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00"/>
        <v>0</v>
      </c>
      <c r="AG2902" s="2">
        <v>10.6</v>
      </c>
      <c r="AH2902" s="2">
        <v>18</v>
      </c>
      <c r="AJ2902" s="2">
        <f t="shared" si="401"/>
        <v>0</v>
      </c>
      <c r="AK2902" s="2">
        <f t="shared" si="403"/>
        <v>7.4</v>
      </c>
      <c r="AL2902" s="5">
        <f t="shared" si="404"/>
        <v>0.41111111111111115</v>
      </c>
    </row>
    <row r="2903" spans="1:38" x14ac:dyDescent="0.2">
      <c r="A2903" s="2">
        <v>2026</v>
      </c>
      <c r="B2903" s="2">
        <v>1</v>
      </c>
      <c r="D2903" s="2" t="s">
        <v>843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418</v>
      </c>
      <c r="K2903" s="2" t="s">
        <v>844</v>
      </c>
      <c r="L2903" s="2" t="s">
        <v>418</v>
      </c>
      <c r="M2903" s="2" t="s">
        <v>41</v>
      </c>
      <c r="O2903" s="2" t="s">
        <v>2370</v>
      </c>
      <c r="P2903" s="2" t="s">
        <v>43</v>
      </c>
      <c r="Q2903" s="2" t="s">
        <v>54</v>
      </c>
      <c r="R2903" s="2" t="s">
        <v>55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406"/>
        <v>21.2</v>
      </c>
      <c r="X2903" s="5">
        <f t="shared" si="402"/>
        <v>0.41111111111111115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00"/>
        <v>0</v>
      </c>
      <c r="AG2903" s="2">
        <v>10.6</v>
      </c>
      <c r="AH2903" s="2">
        <v>18</v>
      </c>
      <c r="AJ2903" s="2">
        <f t="shared" si="401"/>
        <v>0</v>
      </c>
      <c r="AK2903" s="2">
        <f t="shared" si="403"/>
        <v>14.8</v>
      </c>
      <c r="AL2903" s="5">
        <f t="shared" si="404"/>
        <v>0.41111111111111115</v>
      </c>
    </row>
    <row r="2904" spans="1:38" x14ac:dyDescent="0.2">
      <c r="A2904" s="2">
        <v>2026</v>
      </c>
      <c r="B2904" s="2">
        <v>1</v>
      </c>
      <c r="D2904" s="2" t="s">
        <v>1043</v>
      </c>
      <c r="P2904" s="2" t="s">
        <v>43</v>
      </c>
      <c r="Q2904" s="2" t="s">
        <v>54</v>
      </c>
      <c r="R2904" s="2" t="s">
        <v>55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406"/>
        <v>106</v>
      </c>
      <c r="X2904" s="5">
        <f t="shared" si="402"/>
        <v>0.29333333333333333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00"/>
        <v>0</v>
      </c>
      <c r="AG2904" s="2">
        <v>10.6</v>
      </c>
      <c r="AH2904" s="2">
        <v>18</v>
      </c>
      <c r="AJ2904" s="2">
        <f t="shared" si="401"/>
        <v>0</v>
      </c>
      <c r="AK2904" s="2">
        <f t="shared" si="403"/>
        <v>44</v>
      </c>
      <c r="AL2904" s="5">
        <f t="shared" si="404"/>
        <v>0.29333333333333333</v>
      </c>
    </row>
    <row r="2905" spans="1:38" x14ac:dyDescent="0.2">
      <c r="A2905" s="2">
        <v>2026</v>
      </c>
      <c r="B2905" s="2">
        <v>1</v>
      </c>
      <c r="D2905" s="2" t="s">
        <v>1397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3216</v>
      </c>
      <c r="J2905" s="2" t="s">
        <v>3215</v>
      </c>
      <c r="K2905" s="2">
        <v>913814877</v>
      </c>
      <c r="L2905" s="2" t="s">
        <v>201</v>
      </c>
      <c r="M2905" s="2" t="s">
        <v>80</v>
      </c>
      <c r="O2905" s="2" t="s">
        <v>3210</v>
      </c>
      <c r="P2905" s="2" t="s">
        <v>43</v>
      </c>
      <c r="Q2905" s="2" t="s">
        <v>54</v>
      </c>
      <c r="R2905" s="2" t="s">
        <v>55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406"/>
        <v>31.799999999999997</v>
      </c>
      <c r="X2905" s="5">
        <f t="shared" si="402"/>
        <v>0.41111111111111115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00"/>
        <v>0</v>
      </c>
      <c r="AG2905" s="2">
        <v>10.6</v>
      </c>
      <c r="AH2905" s="2">
        <v>18</v>
      </c>
      <c r="AJ2905" s="2">
        <f t="shared" si="401"/>
        <v>0</v>
      </c>
      <c r="AK2905" s="2">
        <f t="shared" si="403"/>
        <v>22.200000000000003</v>
      </c>
      <c r="AL2905" s="5">
        <f t="shared" si="404"/>
        <v>0.41111111111111115</v>
      </c>
    </row>
    <row r="2906" spans="1:38" x14ac:dyDescent="0.2">
      <c r="A2906" s="2">
        <v>2026</v>
      </c>
      <c r="B2906" s="2">
        <v>1</v>
      </c>
      <c r="D2906" s="2" t="s">
        <v>889</v>
      </c>
      <c r="E2906" s="2" t="s">
        <v>108</v>
      </c>
      <c r="F2906" s="2" t="s">
        <v>39</v>
      </c>
      <c r="G2906" s="2">
        <v>507216970</v>
      </c>
      <c r="H2906" s="2" t="s">
        <v>41</v>
      </c>
      <c r="I2906" s="2" t="s">
        <v>890</v>
      </c>
      <c r="J2906" s="2" t="s">
        <v>891</v>
      </c>
      <c r="L2906" s="2" t="s">
        <v>99</v>
      </c>
      <c r="M2906" s="2" t="s">
        <v>41</v>
      </c>
      <c r="O2906" s="2" t="s">
        <v>2371</v>
      </c>
      <c r="P2906" s="2" t="s">
        <v>43</v>
      </c>
      <c r="Q2906" s="2" t="s">
        <v>54</v>
      </c>
      <c r="R2906" s="2" t="s">
        <v>55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406"/>
        <v>212</v>
      </c>
      <c r="X2906" s="5">
        <f t="shared" si="402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00"/>
        <v>0</v>
      </c>
      <c r="AG2906" s="2">
        <v>10.6</v>
      </c>
      <c r="AH2906" s="2">
        <v>18</v>
      </c>
      <c r="AJ2906" s="2">
        <f t="shared" si="401"/>
        <v>0</v>
      </c>
      <c r="AK2906" s="2">
        <f t="shared" si="403"/>
        <v>68</v>
      </c>
      <c r="AL2906" s="5">
        <f t="shared" si="404"/>
        <v>0.24285714285714285</v>
      </c>
    </row>
    <row r="2907" spans="1:38" x14ac:dyDescent="0.2">
      <c r="A2907" s="2">
        <v>2026</v>
      </c>
      <c r="B2907" s="2">
        <v>1</v>
      </c>
      <c r="D2907" s="2" t="s">
        <v>588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177</v>
      </c>
      <c r="J2907" s="2" t="s">
        <v>589</v>
      </c>
      <c r="L2907" s="2" t="s">
        <v>177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406"/>
        <v>106</v>
      </c>
      <c r="X2907" s="5">
        <f t="shared" si="402"/>
        <v>0.24285714285714285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00"/>
        <v>0</v>
      </c>
      <c r="AG2907" s="2">
        <v>10.6</v>
      </c>
      <c r="AH2907" s="2">
        <v>18</v>
      </c>
      <c r="AJ2907" s="2">
        <f t="shared" si="401"/>
        <v>0</v>
      </c>
      <c r="AK2907" s="2">
        <f t="shared" si="403"/>
        <v>34</v>
      </c>
      <c r="AL2907" s="5">
        <f t="shared" si="404"/>
        <v>0.24285714285714285</v>
      </c>
    </row>
    <row r="2908" spans="1:38" x14ac:dyDescent="0.2">
      <c r="A2908" s="2">
        <v>2026</v>
      </c>
      <c r="B2908" s="2">
        <v>1</v>
      </c>
      <c r="D2908" s="2" t="s">
        <v>606</v>
      </c>
      <c r="E2908" s="2" t="s">
        <v>108</v>
      </c>
      <c r="F2908" s="2" t="s">
        <v>39</v>
      </c>
      <c r="G2908" s="2">
        <v>504822187</v>
      </c>
      <c r="H2908" s="2" t="s">
        <v>109</v>
      </c>
      <c r="I2908" s="2" t="s">
        <v>607</v>
      </c>
      <c r="J2908" s="2" t="s">
        <v>608</v>
      </c>
      <c r="K2908" s="2">
        <v>966216853</v>
      </c>
      <c r="L2908" s="2" t="s">
        <v>461</v>
      </c>
      <c r="P2908" s="2" t="s">
        <v>43</v>
      </c>
      <c r="Q2908" s="2" t="s">
        <v>54</v>
      </c>
      <c r="R2908" s="2" t="s">
        <v>55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406"/>
        <v>42.4</v>
      </c>
      <c r="X2908" s="5">
        <f t="shared" si="402"/>
        <v>0.37647058823529411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00"/>
        <v>0</v>
      </c>
      <c r="AG2908" s="2">
        <v>10.6</v>
      </c>
      <c r="AH2908" s="2">
        <v>18</v>
      </c>
      <c r="AJ2908" s="2">
        <f t="shared" si="401"/>
        <v>0</v>
      </c>
      <c r="AK2908" s="2">
        <f t="shared" si="403"/>
        <v>25.6</v>
      </c>
      <c r="AL2908" s="5">
        <f t="shared" si="404"/>
        <v>0.37647058823529411</v>
      </c>
    </row>
    <row r="2909" spans="1:38" x14ac:dyDescent="0.2">
      <c r="A2909" s="2">
        <v>2026</v>
      </c>
      <c r="B2909" s="2">
        <v>1</v>
      </c>
      <c r="D2909" s="2" t="s">
        <v>2372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06"/>
        <v>21.2</v>
      </c>
      <c r="X2909" s="5">
        <f t="shared" si="402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00"/>
        <v>0</v>
      </c>
      <c r="AG2909" s="2">
        <v>10.6</v>
      </c>
      <c r="AH2909" s="2">
        <v>18</v>
      </c>
      <c r="AJ2909" s="2">
        <f t="shared" si="401"/>
        <v>0</v>
      </c>
      <c r="AK2909" s="2">
        <f t="shared" si="403"/>
        <v>14.8</v>
      </c>
      <c r="AL2909" s="5">
        <f t="shared" si="404"/>
        <v>0.41111111111111115</v>
      </c>
    </row>
    <row r="2910" spans="1:38" x14ac:dyDescent="0.2">
      <c r="A2910" s="2">
        <v>2026</v>
      </c>
      <c r="B2910" s="2">
        <v>1</v>
      </c>
      <c r="D2910" s="2" t="s">
        <v>1312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177</v>
      </c>
      <c r="J2910" s="2" t="s">
        <v>1313</v>
      </c>
      <c r="L2910" s="2" t="s">
        <v>177</v>
      </c>
      <c r="M2910" s="2" t="s">
        <v>41</v>
      </c>
      <c r="O2910" s="2" t="s">
        <v>2373</v>
      </c>
      <c r="P2910" s="2" t="s">
        <v>43</v>
      </c>
      <c r="Q2910" s="2" t="s">
        <v>54</v>
      </c>
      <c r="R2910" s="2" t="s">
        <v>55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406"/>
        <v>21.2</v>
      </c>
      <c r="X2910" s="5">
        <f t="shared" si="402"/>
        <v>0.41111111111111115</v>
      </c>
      <c r="Z2910" s="2" t="s">
        <v>3226</v>
      </c>
      <c r="AA2910" s="2" t="s">
        <v>46</v>
      </c>
      <c r="AB2910" s="2" t="s">
        <v>56</v>
      </c>
      <c r="AC2910" s="2" t="s">
        <v>57</v>
      </c>
      <c r="AF2910" s="2">
        <f t="shared" si="400"/>
        <v>0</v>
      </c>
      <c r="AG2910" s="2">
        <v>10.6</v>
      </c>
      <c r="AH2910" s="2">
        <v>18</v>
      </c>
      <c r="AJ2910" s="2">
        <f t="shared" si="401"/>
        <v>0</v>
      </c>
      <c r="AK2910" s="2">
        <f t="shared" si="403"/>
        <v>14.8</v>
      </c>
      <c r="AL2910" s="5">
        <f t="shared" si="404"/>
        <v>0.41111111111111115</v>
      </c>
    </row>
    <row r="2911" spans="1:38" x14ac:dyDescent="0.2">
      <c r="A2911" s="2">
        <v>2026</v>
      </c>
      <c r="B2911" s="2">
        <v>1</v>
      </c>
      <c r="D2911" s="2" t="s">
        <v>581</v>
      </c>
      <c r="E2911" s="2" t="s">
        <v>38</v>
      </c>
      <c r="F2911" s="2" t="s">
        <v>39</v>
      </c>
      <c r="G2911" s="2">
        <v>518281272</v>
      </c>
      <c r="H2911" s="2" t="s">
        <v>41</v>
      </c>
      <c r="I2911" s="2" t="s">
        <v>1101</v>
      </c>
      <c r="J2911" s="2" t="s">
        <v>1102</v>
      </c>
      <c r="L2911" s="2" t="s">
        <v>177</v>
      </c>
      <c r="M2911" s="2" t="s">
        <v>41</v>
      </c>
      <c r="P2911" s="2" t="s">
        <v>43</v>
      </c>
      <c r="Q2911" s="2" t="s">
        <v>250</v>
      </c>
      <c r="R2911" s="2" t="s">
        <v>251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402"/>
        <v>0.58173666666666668</v>
      </c>
      <c r="Z2911" s="2" t="s">
        <v>3226</v>
      </c>
      <c r="AA2911" s="2" t="s">
        <v>46</v>
      </c>
      <c r="AB2911" s="2" t="s">
        <v>90</v>
      </c>
      <c r="AC2911" s="2" t="s">
        <v>57</v>
      </c>
      <c r="AF2911" s="2">
        <f t="shared" si="400"/>
        <v>0</v>
      </c>
      <c r="AJ2911" s="2">
        <f t="shared" si="401"/>
        <v>0</v>
      </c>
      <c r="AK2911" s="2">
        <f t="shared" si="403"/>
        <v>34.904200000000003</v>
      </c>
      <c r="AL2911" s="5">
        <f t="shared" si="404"/>
        <v>0.58173666666666668</v>
      </c>
    </row>
    <row r="2912" spans="1:38" x14ac:dyDescent="0.2">
      <c r="A2912" s="2">
        <v>2026</v>
      </c>
      <c r="B2912" s="2">
        <v>1</v>
      </c>
      <c r="D2912" s="2" t="s">
        <v>689</v>
      </c>
      <c r="E2912" s="2" t="s">
        <v>108</v>
      </c>
      <c r="F2912" s="2" t="s">
        <v>39</v>
      </c>
      <c r="G2912" s="2">
        <v>503589950</v>
      </c>
      <c r="H2912" s="2" t="s">
        <v>41</v>
      </c>
      <c r="I2912" s="2" t="s">
        <v>610</v>
      </c>
      <c r="J2912" s="2" t="s">
        <v>690</v>
      </c>
      <c r="K2912" s="2">
        <v>913036545</v>
      </c>
      <c r="L2912" s="2" t="s">
        <v>177</v>
      </c>
      <c r="M2912" s="2" t="s">
        <v>41</v>
      </c>
      <c r="O2912" s="2" t="s">
        <v>2374</v>
      </c>
      <c r="P2912" s="2" t="s">
        <v>43</v>
      </c>
      <c r="Q2912" s="2" t="s">
        <v>669</v>
      </c>
      <c r="R2912" s="2" t="s">
        <v>670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402"/>
        <v>0.51216666666666666</v>
      </c>
      <c r="Z2912" s="2" t="s">
        <v>3226</v>
      </c>
      <c r="AA2912" s="2" t="s">
        <v>46</v>
      </c>
      <c r="AB2912" s="2" t="s">
        <v>56</v>
      </c>
      <c r="AC2912" s="2" t="s">
        <v>57</v>
      </c>
      <c r="AF2912" s="2">
        <f t="shared" si="400"/>
        <v>0</v>
      </c>
      <c r="AG2912" s="2">
        <v>29.27</v>
      </c>
      <c r="AH2912" s="2">
        <v>60</v>
      </c>
      <c r="AJ2912" s="2">
        <f t="shared" si="401"/>
        <v>0</v>
      </c>
      <c r="AK2912" s="2">
        <f t="shared" si="403"/>
        <v>30.73</v>
      </c>
      <c r="AL2912" s="5">
        <f t="shared" si="404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2375</v>
      </c>
      <c r="P2913" s="2" t="s">
        <v>43</v>
      </c>
      <c r="Q2913" s="2" t="s">
        <v>58</v>
      </c>
      <c r="R2913" s="2" t="s">
        <v>59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402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00"/>
        <v>0</v>
      </c>
      <c r="AG2913" s="2">
        <v>9.14</v>
      </c>
      <c r="AH2913" s="2">
        <v>16</v>
      </c>
      <c r="AJ2913" s="2">
        <f t="shared" si="401"/>
        <v>0</v>
      </c>
      <c r="AK2913" s="2">
        <f t="shared" si="403"/>
        <v>38.600000000000009</v>
      </c>
      <c r="AL2913" s="5">
        <f t="shared" si="404"/>
        <v>0.29692307692307701</v>
      </c>
    </row>
    <row r="2914" spans="1:38" x14ac:dyDescent="0.2">
      <c r="A2914" s="2">
        <v>2026</v>
      </c>
      <c r="B2914" s="2">
        <v>1</v>
      </c>
      <c r="D2914" s="2" t="s">
        <v>581</v>
      </c>
      <c r="E2914" s="2" t="s">
        <v>38</v>
      </c>
      <c r="F2914" s="2" t="s">
        <v>39</v>
      </c>
      <c r="G2914" s="2">
        <v>518281272</v>
      </c>
      <c r="H2914" s="2" t="s">
        <v>41</v>
      </c>
      <c r="I2914" s="2" t="s">
        <v>1101</v>
      </c>
      <c r="J2914" s="2" t="s">
        <v>1102</v>
      </c>
      <c r="L2914" s="2" t="s">
        <v>177</v>
      </c>
      <c r="M2914" s="2" t="s">
        <v>41</v>
      </c>
      <c r="O2914" s="2" t="s">
        <v>2361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402"/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00"/>
        <v>0</v>
      </c>
      <c r="AG2914" s="2">
        <v>9.14</v>
      </c>
      <c r="AH2914" s="2">
        <v>16</v>
      </c>
      <c r="AJ2914" s="2">
        <f t="shared" si="401"/>
        <v>0</v>
      </c>
      <c r="AK2914" s="2">
        <f t="shared" si="403"/>
        <v>3.8600000000000012</v>
      </c>
      <c r="AL2914" s="5">
        <f t="shared" si="404"/>
        <v>0.29692307692307701</v>
      </c>
    </row>
    <row r="2915" spans="1:38" x14ac:dyDescent="0.2">
      <c r="A2915" s="2">
        <v>2026</v>
      </c>
      <c r="B2915" s="2">
        <v>1</v>
      </c>
      <c r="D2915" s="2" t="s">
        <v>617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618</v>
      </c>
      <c r="J2915" s="2" t="s">
        <v>619</v>
      </c>
      <c r="L2915" s="2" t="s">
        <v>418</v>
      </c>
      <c r="M2915" s="2" t="s">
        <v>41</v>
      </c>
      <c r="O2915" s="2" t="s">
        <v>2376</v>
      </c>
      <c r="P2915" s="2" t="s">
        <v>43</v>
      </c>
      <c r="Q2915" s="2" t="s">
        <v>58</v>
      </c>
      <c r="R2915" s="2" t="s">
        <v>59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407">(T2915-W2915)/T2915</f>
        <v>0.29692307692307701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00"/>
        <v>0</v>
      </c>
      <c r="AG2915" s="2">
        <v>9.14</v>
      </c>
      <c r="AH2915" s="2">
        <v>16</v>
      </c>
      <c r="AJ2915" s="2">
        <f t="shared" si="401"/>
        <v>0</v>
      </c>
      <c r="AK2915" s="2">
        <f t="shared" ref="AK2915:AK2946" si="408">T2915-W2915</f>
        <v>3.8600000000000012</v>
      </c>
      <c r="AL2915" s="5">
        <f t="shared" ref="AL2915:AL2946" si="409">(T2915-W2915)/T2915</f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61</v>
      </c>
      <c r="R2916" s="2" t="s">
        <v>62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410">0.082*S2916</f>
        <v>98.4</v>
      </c>
      <c r="X2916" s="5">
        <f t="shared" si="407"/>
        <v>0.19999999999999996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00"/>
        <v>0</v>
      </c>
      <c r="AG2916" s="2">
        <v>8.1999999999999993</v>
      </c>
      <c r="AH2916" s="2">
        <v>13</v>
      </c>
      <c r="AJ2916" s="2">
        <f t="shared" si="401"/>
        <v>0</v>
      </c>
      <c r="AK2916" s="2">
        <f t="shared" si="408"/>
        <v>24.599999999999994</v>
      </c>
      <c r="AL2916" s="5">
        <f t="shared" si="409"/>
        <v>0.19999999999999996</v>
      </c>
    </row>
    <row r="2917" spans="1:38" x14ac:dyDescent="0.2">
      <c r="A2917" s="2">
        <v>2026</v>
      </c>
      <c r="B2917" s="2">
        <v>1</v>
      </c>
      <c r="D2917" s="2" t="s">
        <v>2353</v>
      </c>
      <c r="E2917" s="2" t="s">
        <v>38</v>
      </c>
      <c r="G2917" s="2">
        <v>500888981</v>
      </c>
      <c r="H2917" s="2" t="s">
        <v>40</v>
      </c>
      <c r="I2917" s="2" t="s">
        <v>99</v>
      </c>
      <c r="K2917" s="2">
        <v>918560289</v>
      </c>
      <c r="L2917" s="2" t="s">
        <v>99</v>
      </c>
      <c r="M2917" s="2" t="s">
        <v>80</v>
      </c>
      <c r="O2917" s="2" t="s">
        <v>2354</v>
      </c>
      <c r="P2917" s="2" t="s">
        <v>43</v>
      </c>
      <c r="Q2917" s="2" t="s">
        <v>61</v>
      </c>
      <c r="R2917" s="2" t="s">
        <v>62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410"/>
        <v>8.2000000000000011</v>
      </c>
      <c r="X2917" s="5">
        <f t="shared" si="407"/>
        <v>0.36923076923076914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00"/>
        <v>0</v>
      </c>
      <c r="AG2917" s="2">
        <v>8.1999999999999993</v>
      </c>
      <c r="AH2917" s="2">
        <v>13</v>
      </c>
      <c r="AJ2917" s="2">
        <f t="shared" si="401"/>
        <v>0</v>
      </c>
      <c r="AK2917" s="2">
        <f t="shared" si="408"/>
        <v>4.7999999999999989</v>
      </c>
      <c r="AL2917" s="5">
        <f t="shared" si="409"/>
        <v>0.36923076923076914</v>
      </c>
    </row>
    <row r="2918" spans="1:38" x14ac:dyDescent="0.2">
      <c r="A2918" s="2">
        <v>2026</v>
      </c>
      <c r="B2918" s="2">
        <v>1</v>
      </c>
      <c r="D2918" s="2" t="s">
        <v>1140</v>
      </c>
      <c r="E2918" s="2" t="s">
        <v>108</v>
      </c>
      <c r="F2918" s="2" t="s">
        <v>477</v>
      </c>
      <c r="G2918" s="2">
        <v>504576658</v>
      </c>
      <c r="H2918" s="2" t="s">
        <v>41</v>
      </c>
      <c r="I2918" s="2" t="s">
        <v>1141</v>
      </c>
      <c r="J2918" s="2" t="s">
        <v>1142</v>
      </c>
      <c r="L2918" s="2" t="s">
        <v>99</v>
      </c>
      <c r="M2918" s="2" t="s">
        <v>41</v>
      </c>
      <c r="O2918" s="2" t="s">
        <v>2377</v>
      </c>
      <c r="P2918" s="2" t="s">
        <v>43</v>
      </c>
      <c r="Q2918" s="2" t="s">
        <v>61</v>
      </c>
      <c r="R2918" s="2" t="s">
        <v>62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410"/>
        <v>82</v>
      </c>
      <c r="X2918" s="5">
        <f t="shared" si="407"/>
        <v>0.25454545454545452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00"/>
        <v>0</v>
      </c>
      <c r="AG2918" s="2">
        <v>8.1999999999999993</v>
      </c>
      <c r="AH2918" s="2">
        <v>13</v>
      </c>
      <c r="AJ2918" s="2">
        <f t="shared" si="401"/>
        <v>0</v>
      </c>
      <c r="AK2918" s="2">
        <f t="shared" si="408"/>
        <v>28</v>
      </c>
      <c r="AL2918" s="5">
        <f t="shared" si="409"/>
        <v>0.25454545454545452</v>
      </c>
    </row>
    <row r="2919" spans="1:38" x14ac:dyDescent="0.2">
      <c r="A2919" s="2">
        <v>2026</v>
      </c>
      <c r="B2919" s="2">
        <v>1</v>
      </c>
      <c r="D2919" s="2" t="s">
        <v>781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782</v>
      </c>
      <c r="J2919" s="2" t="s">
        <v>783</v>
      </c>
      <c r="K2919" s="2">
        <v>917341136</v>
      </c>
      <c r="L2919" s="2" t="s">
        <v>99</v>
      </c>
      <c r="M2919" s="2" t="s">
        <v>80</v>
      </c>
      <c r="P2919" s="2" t="s">
        <v>43</v>
      </c>
      <c r="Q2919" s="2" t="s">
        <v>61</v>
      </c>
      <c r="R2919" s="2" t="s">
        <v>62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410"/>
        <v>8.2000000000000011</v>
      </c>
      <c r="X2919" s="5">
        <f t="shared" si="407"/>
        <v>0.36923076923076914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00"/>
        <v>0</v>
      </c>
      <c r="AG2919" s="2">
        <v>8.1999999999999993</v>
      </c>
      <c r="AH2919" s="2">
        <v>13</v>
      </c>
      <c r="AJ2919" s="2">
        <f t="shared" si="401"/>
        <v>0</v>
      </c>
      <c r="AK2919" s="2">
        <f t="shared" si="408"/>
        <v>4.7999999999999989</v>
      </c>
      <c r="AL2919" s="5">
        <f t="shared" si="409"/>
        <v>0.36923076923076914</v>
      </c>
    </row>
    <row r="2920" spans="1:38" x14ac:dyDescent="0.2">
      <c r="A2920" s="2">
        <v>2026</v>
      </c>
      <c r="B2920" s="2">
        <v>1</v>
      </c>
      <c r="D2920" s="2" t="s">
        <v>415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416</v>
      </c>
      <c r="J2920" s="2" t="s">
        <v>417</v>
      </c>
      <c r="L2920" s="2" t="s">
        <v>418</v>
      </c>
      <c r="M2920" s="2" t="s">
        <v>41</v>
      </c>
      <c r="P2920" s="2" t="s">
        <v>43</v>
      </c>
      <c r="Q2920" s="2" t="s">
        <v>61</v>
      </c>
      <c r="R2920" s="2" t="s">
        <v>62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410"/>
        <v>24.6</v>
      </c>
      <c r="X2920" s="5">
        <f t="shared" si="407"/>
        <v>0.3692307692307692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00"/>
        <v>0</v>
      </c>
      <c r="AG2920" s="2">
        <v>8.1999999999999993</v>
      </c>
      <c r="AH2920" s="2">
        <v>13</v>
      </c>
      <c r="AJ2920" s="2">
        <f t="shared" si="401"/>
        <v>0</v>
      </c>
      <c r="AK2920" s="2">
        <f t="shared" si="408"/>
        <v>14.399999999999999</v>
      </c>
      <c r="AL2920" s="5">
        <f t="shared" si="409"/>
        <v>0.3692307692307692</v>
      </c>
    </row>
    <row r="2921" spans="1:38" x14ac:dyDescent="0.2">
      <c r="A2921" s="2">
        <v>2026</v>
      </c>
      <c r="B2921" s="2">
        <v>1</v>
      </c>
      <c r="D2921" s="2" t="s">
        <v>422</v>
      </c>
      <c r="E2921" s="2" t="s">
        <v>98</v>
      </c>
      <c r="F2921" s="2" t="s">
        <v>39</v>
      </c>
      <c r="G2921" s="2">
        <v>503523470</v>
      </c>
      <c r="H2921" s="2" t="s">
        <v>40</v>
      </c>
      <c r="I2921" s="2" t="s">
        <v>423</v>
      </c>
      <c r="J2921" s="2" t="s">
        <v>424</v>
      </c>
      <c r="L2921" s="2" t="s">
        <v>201</v>
      </c>
      <c r="M2921" s="2" t="s">
        <v>80</v>
      </c>
      <c r="P2921" s="2" t="s">
        <v>43</v>
      </c>
      <c r="Q2921" s="2" t="s">
        <v>61</v>
      </c>
      <c r="R2921" s="2" t="s">
        <v>62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410"/>
        <v>8.2000000000000011</v>
      </c>
      <c r="X2921" s="5">
        <f t="shared" si="407"/>
        <v>0.36923076923076914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00"/>
        <v>0</v>
      </c>
      <c r="AG2921" s="2">
        <v>8.1999999999999993</v>
      </c>
      <c r="AH2921" s="2">
        <v>13</v>
      </c>
      <c r="AJ2921" s="2">
        <f t="shared" si="401"/>
        <v>0</v>
      </c>
      <c r="AK2921" s="2">
        <f t="shared" si="408"/>
        <v>4.7999999999999989</v>
      </c>
      <c r="AL2921" s="5">
        <f t="shared" si="409"/>
        <v>0.36923076923076914</v>
      </c>
    </row>
    <row r="2922" spans="1:38" x14ac:dyDescent="0.2">
      <c r="A2922" s="2">
        <v>2026</v>
      </c>
      <c r="B2922" s="2">
        <v>1</v>
      </c>
      <c r="D2922" s="2" t="s">
        <v>581</v>
      </c>
      <c r="E2922" s="2" t="s">
        <v>38</v>
      </c>
      <c r="F2922" s="2" t="s">
        <v>39</v>
      </c>
      <c r="G2922" s="2">
        <v>518281272</v>
      </c>
      <c r="H2922" s="2" t="s">
        <v>41</v>
      </c>
      <c r="I2922" s="2" t="s">
        <v>1101</v>
      </c>
      <c r="J2922" s="2" t="s">
        <v>1102</v>
      </c>
      <c r="L2922" s="2" t="s">
        <v>177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410"/>
        <v>82</v>
      </c>
      <c r="X2922" s="5">
        <f t="shared" si="407"/>
        <v>0.25454545454545452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00"/>
        <v>0</v>
      </c>
      <c r="AG2922" s="2">
        <v>8.1999999999999993</v>
      </c>
      <c r="AH2922" s="2">
        <v>13</v>
      </c>
      <c r="AJ2922" s="2">
        <f t="shared" si="401"/>
        <v>0</v>
      </c>
      <c r="AK2922" s="2">
        <f t="shared" si="408"/>
        <v>28</v>
      </c>
      <c r="AL2922" s="5">
        <f t="shared" si="409"/>
        <v>0.25454545454545452</v>
      </c>
    </row>
    <row r="2923" spans="1:38" x14ac:dyDescent="0.2">
      <c r="A2923" s="2">
        <v>2026</v>
      </c>
      <c r="B2923" s="2">
        <v>1</v>
      </c>
      <c r="D2923" s="2" t="s">
        <v>606</v>
      </c>
      <c r="E2923" s="2" t="s">
        <v>108</v>
      </c>
      <c r="F2923" s="2" t="s">
        <v>39</v>
      </c>
      <c r="G2923" s="2">
        <v>504822187</v>
      </c>
      <c r="H2923" s="2" t="s">
        <v>109</v>
      </c>
      <c r="I2923" s="2" t="s">
        <v>607</v>
      </c>
      <c r="J2923" s="2" t="s">
        <v>608</v>
      </c>
      <c r="K2923" s="2">
        <v>966216853</v>
      </c>
      <c r="L2923" s="2" t="s">
        <v>461</v>
      </c>
      <c r="P2923" s="2" t="s">
        <v>43</v>
      </c>
      <c r="Q2923" s="2" t="s">
        <v>61</v>
      </c>
      <c r="R2923" s="2" t="s">
        <v>62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410"/>
        <v>41</v>
      </c>
      <c r="X2923" s="5">
        <f t="shared" si="407"/>
        <v>0.31666666666666665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00"/>
        <v>0</v>
      </c>
      <c r="AG2923" s="2">
        <v>8.1999999999999993</v>
      </c>
      <c r="AH2923" s="2">
        <v>13</v>
      </c>
      <c r="AJ2923" s="2">
        <f t="shared" si="401"/>
        <v>0</v>
      </c>
      <c r="AK2923" s="2">
        <f t="shared" si="408"/>
        <v>19</v>
      </c>
      <c r="AL2923" s="5">
        <f t="shared" si="409"/>
        <v>0.31666666666666665</v>
      </c>
    </row>
    <row r="2924" spans="1:38" x14ac:dyDescent="0.2">
      <c r="A2924" s="2">
        <v>2026</v>
      </c>
      <c r="B2924" s="2">
        <v>1</v>
      </c>
      <c r="D2924" s="2" t="s">
        <v>2364</v>
      </c>
      <c r="E2924" s="2" t="s">
        <v>108</v>
      </c>
      <c r="F2924" s="2" t="s">
        <v>39</v>
      </c>
      <c r="G2924" s="2">
        <v>503554952</v>
      </c>
      <c r="H2924" s="2" t="s">
        <v>41</v>
      </c>
      <c r="I2924" s="2" t="s">
        <v>2365</v>
      </c>
      <c r="J2924" s="2" t="s">
        <v>2366</v>
      </c>
      <c r="K2924" s="2">
        <v>963062174</v>
      </c>
      <c r="L2924" s="2" t="s">
        <v>418</v>
      </c>
      <c r="M2924" s="2" t="s">
        <v>41</v>
      </c>
      <c r="O2924" s="2" t="s">
        <v>2367</v>
      </c>
      <c r="P2924" s="2" t="s">
        <v>43</v>
      </c>
      <c r="Q2924" s="2" t="s">
        <v>61</v>
      </c>
      <c r="R2924" s="2" t="s">
        <v>62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410"/>
        <v>82</v>
      </c>
      <c r="X2924" s="5">
        <f t="shared" si="407"/>
        <v>0.25454545454545452</v>
      </c>
      <c r="Z2924" s="2" t="s">
        <v>3226</v>
      </c>
      <c r="AA2924" s="2" t="s">
        <v>46</v>
      </c>
      <c r="AB2924" s="2" t="s">
        <v>60</v>
      </c>
      <c r="AC2924" s="2" t="s">
        <v>57</v>
      </c>
      <c r="AF2924" s="2">
        <f t="shared" si="400"/>
        <v>0</v>
      </c>
      <c r="AG2924" s="2">
        <v>8.1999999999999993</v>
      </c>
      <c r="AH2924" s="2">
        <v>13</v>
      </c>
      <c r="AJ2924" s="2">
        <f t="shared" si="401"/>
        <v>0</v>
      </c>
      <c r="AK2924" s="2">
        <f t="shared" si="408"/>
        <v>28</v>
      </c>
      <c r="AL2924" s="5">
        <f t="shared" si="409"/>
        <v>0.25454545454545452</v>
      </c>
    </row>
    <row r="2925" spans="1:38" x14ac:dyDescent="0.2">
      <c r="A2925" s="2">
        <v>2026</v>
      </c>
      <c r="B2925" s="2">
        <v>1</v>
      </c>
      <c r="D2925" s="2" t="s">
        <v>585</v>
      </c>
      <c r="P2925" s="2" t="s">
        <v>43</v>
      </c>
      <c r="Q2925" s="2" t="s">
        <v>162</v>
      </c>
      <c r="R2925" s="2" t="s">
        <v>163</v>
      </c>
      <c r="S2925" s="2">
        <v>1</v>
      </c>
      <c r="T2925" s="2">
        <v>21</v>
      </c>
      <c r="U2925" s="2">
        <v>4.83</v>
      </c>
      <c r="V2925" s="2">
        <v>25.83</v>
      </c>
      <c r="W2925" s="2">
        <f>8*S2925</f>
        <v>8</v>
      </c>
      <c r="X2925" s="5">
        <f t="shared" si="407"/>
        <v>0.61904761904761907</v>
      </c>
      <c r="Z2925" s="2" t="s">
        <v>3226</v>
      </c>
      <c r="AA2925" s="2" t="s">
        <v>46</v>
      </c>
      <c r="AB2925" s="2" t="s">
        <v>47</v>
      </c>
      <c r="AC2925" s="2" t="s">
        <v>57</v>
      </c>
      <c r="AF2925" s="2">
        <f t="shared" si="400"/>
        <v>0</v>
      </c>
      <c r="AJ2925" s="2">
        <f t="shared" si="401"/>
        <v>0</v>
      </c>
      <c r="AK2925" s="2">
        <f t="shared" si="408"/>
        <v>13</v>
      </c>
      <c r="AL2925" s="5">
        <f t="shared" si="409"/>
        <v>0.61904761904761907</v>
      </c>
    </row>
    <row r="2926" spans="1:38" x14ac:dyDescent="0.2">
      <c r="A2926" s="2">
        <v>2026</v>
      </c>
      <c r="B2926" s="2">
        <v>1</v>
      </c>
      <c r="D2926" s="2" t="s">
        <v>574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177</v>
      </c>
      <c r="J2926" s="2" t="s">
        <v>575</v>
      </c>
      <c r="L2926" s="2" t="s">
        <v>177</v>
      </c>
      <c r="M2926" s="2" t="s">
        <v>41</v>
      </c>
      <c r="P2926" s="2" t="s">
        <v>43</v>
      </c>
      <c r="Q2926" s="2" t="s">
        <v>420</v>
      </c>
      <c r="R2926" s="2" t="s">
        <v>421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407"/>
        <v>0.46454080629301875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00"/>
        <v>0</v>
      </c>
      <c r="AG2926" s="2">
        <v>3.7555999999999998</v>
      </c>
      <c r="AH2926" s="2">
        <v>7.2</v>
      </c>
      <c r="AJ2926" s="2">
        <f t="shared" si="401"/>
        <v>0</v>
      </c>
      <c r="AK2926" s="2">
        <f t="shared" si="408"/>
        <v>94.487600000000015</v>
      </c>
      <c r="AL2926" s="5">
        <f t="shared" si="409"/>
        <v>0.46454080629301875</v>
      </c>
    </row>
    <row r="2927" spans="1:38" x14ac:dyDescent="0.2">
      <c r="A2927" s="2">
        <v>2026</v>
      </c>
      <c r="B2927" s="2">
        <v>1</v>
      </c>
      <c r="D2927" s="2" t="s">
        <v>693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327</v>
      </c>
      <c r="J2927" s="2" t="s">
        <v>695</v>
      </c>
      <c r="K2927" s="2">
        <v>917295518</v>
      </c>
      <c r="L2927" s="2" t="s">
        <v>177</v>
      </c>
      <c r="M2927" s="2" t="s">
        <v>41</v>
      </c>
      <c r="P2927" s="2" t="s">
        <v>43</v>
      </c>
      <c r="Q2927" s="2" t="s">
        <v>579</v>
      </c>
      <c r="R2927" s="2" t="s">
        <v>580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407"/>
        <v>0.41191666666666665</v>
      </c>
      <c r="Z2927" s="2" t="s">
        <v>3226</v>
      </c>
      <c r="AA2927" s="2" t="s">
        <v>46</v>
      </c>
      <c r="AB2927" s="2" t="s">
        <v>60</v>
      </c>
      <c r="AC2927" s="2" t="s">
        <v>57</v>
      </c>
      <c r="AF2927" s="2">
        <f t="shared" si="400"/>
        <v>0</v>
      </c>
      <c r="AG2927" s="2">
        <v>1.4114</v>
      </c>
      <c r="AH2927" s="2">
        <v>3</v>
      </c>
      <c r="AJ2927" s="2">
        <f t="shared" si="401"/>
        <v>0</v>
      </c>
      <c r="AK2927" s="2">
        <f t="shared" si="408"/>
        <v>7.9087999999999994</v>
      </c>
      <c r="AL2927" s="5">
        <f t="shared" si="409"/>
        <v>0.41191666666666665</v>
      </c>
    </row>
    <row r="2928" spans="1:38" x14ac:dyDescent="0.2">
      <c r="A2928" s="2">
        <v>2026</v>
      </c>
      <c r="B2928" s="2">
        <v>1</v>
      </c>
      <c r="D2928" s="2" t="s">
        <v>2231</v>
      </c>
      <c r="P2928" s="2" t="s">
        <v>43</v>
      </c>
      <c r="Q2928" s="2" t="s">
        <v>2378</v>
      </c>
      <c r="R2928" s="2" t="s">
        <v>2379</v>
      </c>
      <c r="S2928" s="2">
        <v>1</v>
      </c>
      <c r="T2928" s="2">
        <v>60</v>
      </c>
      <c r="U2928" s="2">
        <v>13.8</v>
      </c>
      <c r="V2928" s="2">
        <v>73.8</v>
      </c>
      <c r="W2928" s="2">
        <v>100</v>
      </c>
      <c r="X2928" s="18">
        <f t="shared" si="407"/>
        <v>-0.66666666666666663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00"/>
        <v>0</v>
      </c>
      <c r="AJ2928" s="2">
        <f t="shared" si="401"/>
        <v>0</v>
      </c>
      <c r="AK2928" s="2">
        <f t="shared" si="408"/>
        <v>-40</v>
      </c>
      <c r="AL2928" s="18">
        <f t="shared" si="409"/>
        <v>-0.66666666666666663</v>
      </c>
    </row>
    <row r="2929" spans="1:38" x14ac:dyDescent="0.2">
      <c r="A2929" s="2">
        <v>2026</v>
      </c>
      <c r="B2929" s="2">
        <v>1</v>
      </c>
      <c r="D2929" s="2" t="s">
        <v>1590</v>
      </c>
      <c r="P2929" s="2" t="s">
        <v>43</v>
      </c>
      <c r="Q2929" s="2" t="s">
        <v>2378</v>
      </c>
      <c r="R2929" s="2" t="s">
        <v>2379</v>
      </c>
      <c r="S2929" s="2">
        <v>3</v>
      </c>
      <c r="T2929" s="2">
        <v>150</v>
      </c>
      <c r="U2929" s="2">
        <v>34.5</v>
      </c>
      <c r="V2929" s="2">
        <v>184.5</v>
      </c>
      <c r="W2929" s="2">
        <f>100*S2929</f>
        <v>300</v>
      </c>
      <c r="X2929" s="18">
        <f t="shared" si="407"/>
        <v>-1</v>
      </c>
      <c r="Z2929" s="2" t="s">
        <v>3226</v>
      </c>
      <c r="AA2929" s="2" t="s">
        <v>46</v>
      </c>
      <c r="AB2929" s="2" t="s">
        <v>90</v>
      </c>
      <c r="AC2929" s="2" t="s">
        <v>57</v>
      </c>
      <c r="AF2929" s="2">
        <f t="shared" si="400"/>
        <v>0</v>
      </c>
      <c r="AJ2929" s="2">
        <f t="shared" si="401"/>
        <v>0</v>
      </c>
      <c r="AK2929" s="2">
        <f t="shared" si="408"/>
        <v>-150</v>
      </c>
      <c r="AL2929" s="18">
        <f t="shared" si="409"/>
        <v>-1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969</v>
      </c>
      <c r="R2930" s="2" t="s">
        <v>970</v>
      </c>
      <c r="S2930" s="2">
        <v>24</v>
      </c>
      <c r="T2930" s="2">
        <v>648</v>
      </c>
      <c r="U2930" s="2">
        <v>149.04</v>
      </c>
      <c r="V2930" s="2">
        <v>797.04</v>
      </c>
      <c r="W2930" s="2">
        <f>18.3719*S2930</f>
        <v>440.92560000000003</v>
      </c>
      <c r="X2930" s="5">
        <f t="shared" si="407"/>
        <v>0.31955925925925921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00"/>
        <v>0</v>
      </c>
      <c r="AJ2930" s="2">
        <f t="shared" si="401"/>
        <v>0</v>
      </c>
      <c r="AK2930" s="2">
        <f t="shared" si="408"/>
        <v>207.07439999999997</v>
      </c>
      <c r="AL2930" s="5">
        <f t="shared" si="409"/>
        <v>0.31955925925925921</v>
      </c>
    </row>
    <row r="2931" spans="1:38" x14ac:dyDescent="0.2">
      <c r="A2931" s="2">
        <v>2026</v>
      </c>
      <c r="B2931" s="2">
        <v>1</v>
      </c>
      <c r="D2931" s="2" t="s">
        <v>319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99</v>
      </c>
      <c r="J2931" s="2" t="s">
        <v>320</v>
      </c>
      <c r="L2931" s="2" t="s">
        <v>99</v>
      </c>
      <c r="M2931" s="2" t="s">
        <v>80</v>
      </c>
      <c r="O2931" s="2" t="s">
        <v>2380</v>
      </c>
      <c r="P2931" s="2" t="s">
        <v>43</v>
      </c>
      <c r="Q2931" s="2" t="s">
        <v>971</v>
      </c>
      <c r="R2931" s="2" t="s">
        <v>972</v>
      </c>
      <c r="S2931" s="2">
        <v>8</v>
      </c>
      <c r="T2931" s="2">
        <v>216</v>
      </c>
      <c r="U2931" s="2">
        <v>49.68</v>
      </c>
      <c r="V2931" s="2">
        <v>265.68</v>
      </c>
      <c r="W2931" s="2">
        <f>18.9342*S2931</f>
        <v>151.4736</v>
      </c>
      <c r="X2931" s="5">
        <f t="shared" si="407"/>
        <v>0.2987333333333333</v>
      </c>
      <c r="Z2931" s="2" t="s">
        <v>3226</v>
      </c>
      <c r="AA2931" s="2" t="s">
        <v>46</v>
      </c>
      <c r="AB2931" s="2" t="s">
        <v>60</v>
      </c>
      <c r="AC2931" s="2" t="s">
        <v>57</v>
      </c>
      <c r="AF2931" s="2">
        <f t="shared" si="400"/>
        <v>0</v>
      </c>
      <c r="AJ2931" s="2">
        <f t="shared" si="401"/>
        <v>0</v>
      </c>
      <c r="AK2931" s="2">
        <f t="shared" si="408"/>
        <v>64.526399999999995</v>
      </c>
      <c r="AL2931" s="5">
        <f t="shared" si="409"/>
        <v>0.2987333333333333</v>
      </c>
    </row>
    <row r="2932" spans="1:38" x14ac:dyDescent="0.2">
      <c r="A2932" s="2">
        <v>2026</v>
      </c>
      <c r="B2932" s="2">
        <v>1</v>
      </c>
      <c r="D2932" s="2" t="s">
        <v>765</v>
      </c>
      <c r="E2932" s="2" t="s">
        <v>38</v>
      </c>
      <c r="G2932" s="2">
        <v>513686231</v>
      </c>
      <c r="H2932" s="2" t="s">
        <v>290</v>
      </c>
      <c r="I2932" s="2" t="s">
        <v>766</v>
      </c>
      <c r="J2932" s="2" t="s">
        <v>767</v>
      </c>
      <c r="L2932" s="2" t="s">
        <v>480</v>
      </c>
      <c r="M2932" s="2" t="s">
        <v>80</v>
      </c>
      <c r="O2932" s="2" t="s">
        <v>2368</v>
      </c>
      <c r="P2932" s="2" t="s">
        <v>43</v>
      </c>
      <c r="Q2932" s="2" t="s">
        <v>164</v>
      </c>
      <c r="R2932" s="2" t="s">
        <v>165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407"/>
        <v>0.45283848797250864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00"/>
        <v>0</v>
      </c>
      <c r="AG2932" s="2">
        <v>7.9611999999999998</v>
      </c>
      <c r="AH2932" s="2">
        <v>14.4</v>
      </c>
      <c r="AJ2932" s="2">
        <f t="shared" si="401"/>
        <v>0</v>
      </c>
      <c r="AK2932" s="2">
        <f t="shared" si="408"/>
        <v>72.476800000000011</v>
      </c>
      <c r="AL2932" s="5">
        <f t="shared" si="409"/>
        <v>0.45283848797250864</v>
      </c>
    </row>
    <row r="2933" spans="1:38" x14ac:dyDescent="0.2">
      <c r="A2933" s="2">
        <v>2026</v>
      </c>
      <c r="B2933" s="2">
        <v>1</v>
      </c>
      <c r="D2933" s="2" t="s">
        <v>2372</v>
      </c>
      <c r="P2933" s="2" t="s">
        <v>43</v>
      </c>
      <c r="Q2933" s="2" t="s">
        <v>164</v>
      </c>
      <c r="R2933" s="2" t="s">
        <v>165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407"/>
        <v>0.45095172413793105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00"/>
        <v>0</v>
      </c>
      <c r="AG2933" s="2">
        <v>7.9611999999999998</v>
      </c>
      <c r="AH2933" s="2">
        <v>14.4</v>
      </c>
      <c r="AJ2933" s="2">
        <f t="shared" si="401"/>
        <v>0</v>
      </c>
      <c r="AK2933" s="2">
        <f t="shared" si="408"/>
        <v>6.5388000000000002</v>
      </c>
      <c r="AL2933" s="5">
        <f t="shared" si="409"/>
        <v>0.45095172413793105</v>
      </c>
    </row>
    <row r="2934" spans="1:38" x14ac:dyDescent="0.2">
      <c r="A2934" s="2">
        <v>2026</v>
      </c>
      <c r="B2934" s="2">
        <v>1</v>
      </c>
      <c r="D2934" s="2" t="s">
        <v>2214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07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00"/>
        <v>0</v>
      </c>
      <c r="AG2934" s="2">
        <v>15.020300000000001</v>
      </c>
      <c r="AH2934" s="2">
        <v>27.6</v>
      </c>
      <c r="AJ2934" s="2">
        <f t="shared" si="401"/>
        <v>0</v>
      </c>
      <c r="AK2934" s="2">
        <f t="shared" si="408"/>
        <v>16.959399999999999</v>
      </c>
      <c r="AL2934" s="5">
        <f t="shared" si="409"/>
        <v>0.3608382978723404</v>
      </c>
    </row>
    <row r="2935" spans="1:38" x14ac:dyDescent="0.2">
      <c r="A2935" s="2">
        <v>2026</v>
      </c>
      <c r="B2935" s="2">
        <v>1</v>
      </c>
      <c r="D2935" s="2" t="s">
        <v>415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416</v>
      </c>
      <c r="J2935" s="2" t="s">
        <v>417</v>
      </c>
      <c r="L2935" s="2" t="s">
        <v>418</v>
      </c>
      <c r="M2935" s="2" t="s">
        <v>41</v>
      </c>
      <c r="P2935" s="2" t="s">
        <v>43</v>
      </c>
      <c r="Q2935" s="2" t="s">
        <v>65</v>
      </c>
      <c r="R2935" s="2" t="s">
        <v>66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407"/>
        <v>0.3608382978723404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00"/>
        <v>0</v>
      </c>
      <c r="AG2935" s="2">
        <v>15.020300000000001</v>
      </c>
      <c r="AH2935" s="2">
        <v>27.6</v>
      </c>
      <c r="AJ2935" s="2">
        <f t="shared" si="401"/>
        <v>0</v>
      </c>
      <c r="AK2935" s="2">
        <f t="shared" si="408"/>
        <v>16.959399999999999</v>
      </c>
      <c r="AL2935" s="5">
        <f t="shared" si="409"/>
        <v>0.3608382978723404</v>
      </c>
    </row>
    <row r="2936" spans="1:38" x14ac:dyDescent="0.2">
      <c r="A2936" s="2">
        <v>2026</v>
      </c>
      <c r="B2936" s="2">
        <v>1</v>
      </c>
      <c r="D2936" s="2" t="s">
        <v>582</v>
      </c>
      <c r="E2936" s="2" t="s">
        <v>108</v>
      </c>
      <c r="F2936" s="2" t="s">
        <v>39</v>
      </c>
      <c r="G2936" s="2">
        <v>503850276</v>
      </c>
      <c r="H2936" s="2" t="s">
        <v>40</v>
      </c>
      <c r="I2936" s="2" t="s">
        <v>583</v>
      </c>
      <c r="J2936" s="2" t="s">
        <v>584</v>
      </c>
      <c r="L2936" s="2" t="s">
        <v>201</v>
      </c>
      <c r="M2936" s="2" t="s">
        <v>80</v>
      </c>
      <c r="P2936" s="2" t="s">
        <v>43</v>
      </c>
      <c r="Q2936" s="2" t="s">
        <v>65</v>
      </c>
      <c r="R2936" s="2" t="s">
        <v>66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407"/>
        <v>0.31725909090909088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00"/>
        <v>0</v>
      </c>
      <c r="AG2936" s="2">
        <v>15.020300000000001</v>
      </c>
      <c r="AH2936" s="2">
        <v>27.6</v>
      </c>
      <c r="AJ2936" s="2">
        <f t="shared" si="401"/>
        <v>0</v>
      </c>
      <c r="AK2936" s="2">
        <f t="shared" si="408"/>
        <v>69.796999999999997</v>
      </c>
      <c r="AL2936" s="5">
        <f t="shared" si="409"/>
        <v>0.31725909090909088</v>
      </c>
    </row>
    <row r="2937" spans="1:38" x14ac:dyDescent="0.2">
      <c r="A2937" s="2">
        <v>2026</v>
      </c>
      <c r="B2937" s="2">
        <v>1</v>
      </c>
      <c r="D2937" s="2" t="s">
        <v>2381</v>
      </c>
      <c r="P2937" s="2" t="s">
        <v>43</v>
      </c>
      <c r="Q2937" s="2" t="s">
        <v>260</v>
      </c>
      <c r="R2937" s="2" t="s">
        <v>261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407"/>
        <v>0.38411111111111107</v>
      </c>
      <c r="Z2937" s="2" t="s">
        <v>3226</v>
      </c>
      <c r="AA2937" s="2" t="s">
        <v>46</v>
      </c>
      <c r="AB2937" s="2" t="s">
        <v>67</v>
      </c>
      <c r="AC2937" s="2" t="s">
        <v>57</v>
      </c>
      <c r="AF2937" s="2">
        <f t="shared" si="400"/>
        <v>0</v>
      </c>
      <c r="AG2937" s="2">
        <v>8.3145000000000007</v>
      </c>
      <c r="AH2937" s="2">
        <v>15</v>
      </c>
      <c r="AJ2937" s="2">
        <f t="shared" si="401"/>
        <v>0</v>
      </c>
      <c r="AK2937" s="2">
        <f t="shared" si="408"/>
        <v>20.741999999999997</v>
      </c>
      <c r="AL2937" s="5">
        <f t="shared" si="409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3269</v>
      </c>
      <c r="M2938" s="2" t="s">
        <v>109</v>
      </c>
      <c r="P2938" s="2" t="s">
        <v>3229</v>
      </c>
      <c r="Q2938" s="2" t="s">
        <v>2382</v>
      </c>
      <c r="R2938" s="2" t="s">
        <v>2383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407"/>
        <v>0.61395730423316863</v>
      </c>
      <c r="Z2938" s="2" t="s">
        <v>104</v>
      </c>
      <c r="AA2938" s="2" t="s">
        <v>150</v>
      </c>
      <c r="AB2938" s="2" t="s">
        <v>151</v>
      </c>
      <c r="AC2938" s="2" t="s">
        <v>3229</v>
      </c>
      <c r="AF2938" s="2">
        <f t="shared" si="400"/>
        <v>0</v>
      </c>
      <c r="AJ2938" s="2">
        <f t="shared" si="401"/>
        <v>0</v>
      </c>
      <c r="AK2938" s="2">
        <f t="shared" si="408"/>
        <v>1247.8805</v>
      </c>
      <c r="AL2938" s="5">
        <f t="shared" si="409"/>
        <v>0.61395730423316863</v>
      </c>
    </row>
    <row r="2939" spans="1:38" x14ac:dyDescent="0.2">
      <c r="A2939" s="2">
        <v>2026</v>
      </c>
      <c r="B2939" s="2">
        <v>1</v>
      </c>
      <c r="D2939" s="2" t="s">
        <v>1178</v>
      </c>
      <c r="E2939" s="2" t="s">
        <v>38</v>
      </c>
      <c r="G2939" s="2">
        <v>502089075</v>
      </c>
      <c r="H2939" s="2" t="s">
        <v>41</v>
      </c>
      <c r="I2939" s="2" t="s">
        <v>1179</v>
      </c>
      <c r="J2939" s="2" t="s">
        <v>1180</v>
      </c>
      <c r="L2939" s="2" t="s">
        <v>461</v>
      </c>
      <c r="M2939" s="2" t="s">
        <v>41</v>
      </c>
      <c r="O2939" s="2" t="s">
        <v>2384</v>
      </c>
      <c r="P2939" s="2" t="s">
        <v>166</v>
      </c>
      <c r="Q2939" s="2" t="s">
        <v>2385</v>
      </c>
      <c r="R2939" s="2" t="s">
        <v>2386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407"/>
        <v>1</v>
      </c>
      <c r="Z2939" s="2" t="s">
        <v>3226</v>
      </c>
      <c r="AA2939" s="2" t="s">
        <v>87</v>
      </c>
      <c r="AB2939" s="2" t="s">
        <v>119</v>
      </c>
      <c r="AC2939" s="2" t="s">
        <v>166</v>
      </c>
      <c r="AF2939" s="2">
        <f t="shared" si="400"/>
        <v>0</v>
      </c>
      <c r="AJ2939" s="2">
        <f t="shared" si="401"/>
        <v>0</v>
      </c>
      <c r="AK2939" s="2">
        <f t="shared" si="408"/>
        <v>5</v>
      </c>
      <c r="AL2939" s="5">
        <f t="shared" si="409"/>
        <v>1</v>
      </c>
    </row>
    <row r="2940" spans="1:38" x14ac:dyDescent="0.2">
      <c r="A2940" s="2">
        <v>2026</v>
      </c>
      <c r="B2940" s="2">
        <v>1</v>
      </c>
      <c r="D2940" s="2" t="s">
        <v>2387</v>
      </c>
      <c r="P2940" s="2" t="s">
        <v>68</v>
      </c>
      <c r="Q2940" s="2" t="s">
        <v>2388</v>
      </c>
      <c r="R2940" s="2" t="s">
        <v>2389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407"/>
        <v>1</v>
      </c>
      <c r="Z2940" s="2" t="s">
        <v>104</v>
      </c>
      <c r="AA2940" s="2" t="s">
        <v>305</v>
      </c>
      <c r="AB2940" s="2" t="s">
        <v>106</v>
      </c>
      <c r="AC2940" s="2" t="s">
        <v>3230</v>
      </c>
      <c r="AF2940" s="2">
        <f t="shared" si="400"/>
        <v>0</v>
      </c>
      <c r="AJ2940" s="2">
        <f t="shared" si="401"/>
        <v>0</v>
      </c>
      <c r="AK2940" s="2">
        <f t="shared" si="408"/>
        <v>2300</v>
      </c>
      <c r="AL2940" s="5">
        <f t="shared" si="409"/>
        <v>1</v>
      </c>
    </row>
    <row r="2941" spans="1:38" x14ac:dyDescent="0.2">
      <c r="A2941" s="2">
        <v>2026</v>
      </c>
      <c r="B2941" s="2">
        <v>1</v>
      </c>
      <c r="D2941" s="2" t="s">
        <v>1516</v>
      </c>
      <c r="M2941" s="2" t="s">
        <v>109</v>
      </c>
      <c r="P2941" s="2" t="s">
        <v>68</v>
      </c>
      <c r="Q2941" s="2" t="s">
        <v>1517</v>
      </c>
      <c r="R2941" s="2" t="s">
        <v>1518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407"/>
        <v>0.22235806451612902</v>
      </c>
      <c r="Z2941" s="2" t="s">
        <v>104</v>
      </c>
      <c r="AA2941" s="2" t="s">
        <v>264</v>
      </c>
      <c r="AB2941" s="2" t="s">
        <v>1095</v>
      </c>
      <c r="AC2941" s="2" t="s">
        <v>3230</v>
      </c>
      <c r="AF2941" s="2">
        <f t="shared" si="400"/>
        <v>0</v>
      </c>
      <c r="AJ2941" s="2">
        <f t="shared" si="401"/>
        <v>0</v>
      </c>
      <c r="AK2941" s="2">
        <f t="shared" si="408"/>
        <v>689.31</v>
      </c>
      <c r="AL2941" s="5">
        <f t="shared" si="409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80</v>
      </c>
      <c r="O2942" s="2" t="s">
        <v>2390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407"/>
        <v>0.48223743915518519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00"/>
        <v>0</v>
      </c>
      <c r="AG2942" s="2">
        <v>125.51600000000001</v>
      </c>
      <c r="AH2942" s="2">
        <v>220</v>
      </c>
      <c r="AJ2942" s="2">
        <f t="shared" si="401"/>
        <v>0</v>
      </c>
      <c r="AK2942" s="2">
        <f t="shared" si="408"/>
        <v>116.90399999999998</v>
      </c>
      <c r="AL2942" s="5">
        <f t="shared" si="409"/>
        <v>0.48223743915518519</v>
      </c>
    </row>
    <row r="2943" spans="1:38" x14ac:dyDescent="0.2">
      <c r="A2943" s="2">
        <v>2026</v>
      </c>
      <c r="B2943" s="2">
        <v>1</v>
      </c>
      <c r="D2943" s="2" t="s">
        <v>2391</v>
      </c>
      <c r="P2943" s="2" t="s">
        <v>72</v>
      </c>
      <c r="Q2943" s="2" t="s">
        <v>73</v>
      </c>
      <c r="R2943" s="2" t="s">
        <v>74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407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00"/>
        <v>0</v>
      </c>
      <c r="AG2943" s="2">
        <v>125.51600000000001</v>
      </c>
      <c r="AH2943" s="2">
        <v>220</v>
      </c>
      <c r="AJ2943" s="2">
        <f t="shared" si="401"/>
        <v>0</v>
      </c>
      <c r="AK2943" s="2">
        <f t="shared" si="408"/>
        <v>94.483999999999995</v>
      </c>
      <c r="AL2943" s="5">
        <f t="shared" si="409"/>
        <v>0.42947272727272723</v>
      </c>
    </row>
    <row r="2944" spans="1:38" x14ac:dyDescent="0.2">
      <c r="A2944" s="2">
        <v>2026</v>
      </c>
      <c r="B2944" s="2">
        <v>1</v>
      </c>
      <c r="C2944" s="2" t="s">
        <v>3451</v>
      </c>
      <c r="D2944" s="2" t="s">
        <v>198</v>
      </c>
      <c r="E2944" s="2" t="s">
        <v>108</v>
      </c>
      <c r="F2944" s="2" t="s">
        <v>39</v>
      </c>
      <c r="G2944" s="2">
        <v>507541120</v>
      </c>
      <c r="H2944" s="2" t="s">
        <v>40</v>
      </c>
      <c r="I2944" s="2" t="s">
        <v>199</v>
      </c>
      <c r="J2944" s="2" t="s">
        <v>200</v>
      </c>
      <c r="L2944" s="2" t="s">
        <v>201</v>
      </c>
      <c r="M2944" s="2" t="s">
        <v>41</v>
      </c>
      <c r="P2944" s="2" t="s">
        <v>72</v>
      </c>
      <c r="Q2944" s="2" t="s">
        <v>73</v>
      </c>
      <c r="R2944" s="2" t="s">
        <v>74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407"/>
        <v>0.42947272727272723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00"/>
        <v>0</v>
      </c>
      <c r="AG2944" s="2">
        <v>125.51600000000001</v>
      </c>
      <c r="AH2944" s="2">
        <v>220</v>
      </c>
      <c r="AJ2944" s="2">
        <f t="shared" si="401"/>
        <v>0</v>
      </c>
      <c r="AK2944" s="2">
        <f t="shared" si="408"/>
        <v>188.96799999999999</v>
      </c>
      <c r="AL2944" s="5">
        <f t="shared" si="409"/>
        <v>0.42947272727272723</v>
      </c>
    </row>
    <row r="2945" spans="1:38" x14ac:dyDescent="0.2">
      <c r="A2945" s="2">
        <v>2026</v>
      </c>
      <c r="B2945" s="2">
        <v>1</v>
      </c>
      <c r="C2945" s="2" t="s">
        <v>3326</v>
      </c>
      <c r="D2945" s="2" t="s">
        <v>1009</v>
      </c>
      <c r="E2945" s="2" t="s">
        <v>108</v>
      </c>
      <c r="F2945" s="2" t="s">
        <v>39</v>
      </c>
      <c r="G2945" s="2">
        <v>507063481</v>
      </c>
      <c r="H2945" s="2" t="s">
        <v>290</v>
      </c>
      <c r="I2945" s="2" t="s">
        <v>1010</v>
      </c>
      <c r="J2945" s="2" t="s">
        <v>1011</v>
      </c>
      <c r="L2945" s="2" t="s">
        <v>293</v>
      </c>
      <c r="M2945" s="2" t="s">
        <v>80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407"/>
        <v>0.39944497607655499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si="400"/>
        <v>0</v>
      </c>
      <c r="AG2945" s="2">
        <v>125.51600000000001</v>
      </c>
      <c r="AH2945" s="2">
        <v>220</v>
      </c>
      <c r="AJ2945" s="2">
        <f t="shared" si="401"/>
        <v>0</v>
      </c>
      <c r="AK2945" s="2">
        <f t="shared" si="408"/>
        <v>83.483999999999995</v>
      </c>
      <c r="AL2945" s="5">
        <f t="shared" si="409"/>
        <v>0.39944497607655499</v>
      </c>
    </row>
    <row r="2946" spans="1:38" x14ac:dyDescent="0.2">
      <c r="A2946" s="2">
        <v>2026</v>
      </c>
      <c r="B2946" s="2">
        <v>1</v>
      </c>
      <c r="C2946" s="2" t="s">
        <v>3326</v>
      </c>
      <c r="D2946" s="2" t="s">
        <v>1017</v>
      </c>
      <c r="E2946" s="2" t="s">
        <v>108</v>
      </c>
      <c r="F2946" s="2" t="s">
        <v>477</v>
      </c>
      <c r="G2946" s="2">
        <v>505647338</v>
      </c>
      <c r="H2946" s="2" t="s">
        <v>290</v>
      </c>
      <c r="I2946" s="2" t="s">
        <v>1018</v>
      </c>
      <c r="J2946" s="2" t="s">
        <v>1019</v>
      </c>
      <c r="L2946" s="2" t="s">
        <v>293</v>
      </c>
      <c r="M2946" s="2" t="s">
        <v>80</v>
      </c>
      <c r="O2946" s="2" t="s">
        <v>2392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407"/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ref="AF2946:AF3009" si="411">AJ2946</f>
        <v>0</v>
      </c>
      <c r="AG2946" s="2">
        <v>125.51600000000001</v>
      </c>
      <c r="AH2946" s="2">
        <v>220</v>
      </c>
      <c r="AJ2946" s="2">
        <f t="shared" ref="AJ2946:AJ3009" si="412">AI2946*T2946</f>
        <v>0</v>
      </c>
      <c r="AK2946" s="2">
        <f t="shared" si="408"/>
        <v>94.483999999999995</v>
      </c>
      <c r="AL2946" s="5">
        <f t="shared" si="409"/>
        <v>0.42947272727272723</v>
      </c>
    </row>
    <row r="2947" spans="1:38" x14ac:dyDescent="0.2">
      <c r="A2947" s="2">
        <v>2026</v>
      </c>
      <c r="B2947" s="2">
        <v>1</v>
      </c>
      <c r="D2947" s="2" t="s">
        <v>816</v>
      </c>
      <c r="E2947" s="2" t="s">
        <v>38</v>
      </c>
      <c r="F2947" s="2" t="s">
        <v>39</v>
      </c>
      <c r="L2947" s="2" t="s">
        <v>480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413">(T2947-W2947)/T2947</f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11"/>
        <v>0</v>
      </c>
      <c r="AG2947" s="2">
        <v>125.51600000000001</v>
      </c>
      <c r="AH2947" s="2">
        <v>220</v>
      </c>
      <c r="AJ2947" s="2">
        <f t="shared" si="412"/>
        <v>0</v>
      </c>
      <c r="AK2947" s="2">
        <f t="shared" ref="AK2947:AK2978" si="414">T2947-W2947</f>
        <v>94.483999999999995</v>
      </c>
      <c r="AL2947" s="5">
        <f t="shared" ref="AL2947:AL2978" si="415">(T2947-W2947)/T2947</f>
        <v>0.42947272727272723</v>
      </c>
    </row>
    <row r="2948" spans="1:38" x14ac:dyDescent="0.2">
      <c r="A2948" s="2">
        <v>2026</v>
      </c>
      <c r="B2948" s="2">
        <v>1</v>
      </c>
      <c r="D2948" s="2" t="s">
        <v>1593</v>
      </c>
      <c r="E2948" s="2" t="s">
        <v>108</v>
      </c>
      <c r="F2948" s="2" t="s">
        <v>395</v>
      </c>
      <c r="G2948" s="2">
        <v>500314594</v>
      </c>
      <c r="H2948" s="2" t="s">
        <v>40</v>
      </c>
      <c r="I2948" s="2" t="s">
        <v>1594</v>
      </c>
      <c r="J2948" s="2" t="s">
        <v>1595</v>
      </c>
      <c r="L2948" s="2" t="s">
        <v>201</v>
      </c>
      <c r="M2948" s="2" t="s">
        <v>80</v>
      </c>
      <c r="O2948" s="2" t="s">
        <v>2393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13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11"/>
        <v>0</v>
      </c>
      <c r="AG2948" s="2">
        <v>125.51600000000001</v>
      </c>
      <c r="AH2948" s="2">
        <v>220</v>
      </c>
      <c r="AJ2948" s="2">
        <f t="shared" si="412"/>
        <v>0</v>
      </c>
      <c r="AK2948" s="2">
        <f t="shared" si="414"/>
        <v>94.483999999999995</v>
      </c>
      <c r="AL2948" s="5">
        <f t="shared" si="415"/>
        <v>0.42947272727272723</v>
      </c>
    </row>
    <row r="2949" spans="1:38" x14ac:dyDescent="0.2">
      <c r="A2949" s="2">
        <v>2026</v>
      </c>
      <c r="B2949" s="2">
        <v>1</v>
      </c>
      <c r="D2949" s="2" t="s">
        <v>1419</v>
      </c>
      <c r="E2949" s="2" t="s">
        <v>108</v>
      </c>
      <c r="F2949" s="2" t="s">
        <v>39</v>
      </c>
      <c r="G2949" s="2">
        <v>513795855</v>
      </c>
      <c r="H2949" s="2" t="s">
        <v>41</v>
      </c>
      <c r="I2949" s="2" t="s">
        <v>1272</v>
      </c>
      <c r="J2949" s="2" t="s">
        <v>2394</v>
      </c>
      <c r="L2949" s="2" t="s">
        <v>177</v>
      </c>
      <c r="M2949" s="2" t="s">
        <v>41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13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11"/>
        <v>0</v>
      </c>
      <c r="AG2949" s="2">
        <v>125.51600000000001</v>
      </c>
      <c r="AH2949" s="2">
        <v>220</v>
      </c>
      <c r="AJ2949" s="2">
        <f t="shared" si="412"/>
        <v>0</v>
      </c>
      <c r="AK2949" s="2">
        <f t="shared" si="414"/>
        <v>94.483999999999995</v>
      </c>
      <c r="AL2949" s="5">
        <f t="shared" si="415"/>
        <v>0.42947272727272723</v>
      </c>
    </row>
    <row r="2950" spans="1:38" x14ac:dyDescent="0.2">
      <c r="A2950" s="2">
        <v>2026</v>
      </c>
      <c r="B2950" s="2">
        <v>1</v>
      </c>
      <c r="D2950" s="2" t="s">
        <v>549</v>
      </c>
      <c r="E2950" s="2" t="s">
        <v>108</v>
      </c>
      <c r="F2950" s="2" t="s">
        <v>395</v>
      </c>
      <c r="G2950" s="2">
        <v>503641790</v>
      </c>
      <c r="H2950" s="2" t="s">
        <v>40</v>
      </c>
      <c r="I2950" s="2" t="s">
        <v>550</v>
      </c>
      <c r="J2950" s="2" t="s">
        <v>551</v>
      </c>
      <c r="K2950" s="2">
        <v>917753665</v>
      </c>
      <c r="L2950" s="2" t="s">
        <v>99</v>
      </c>
      <c r="M2950" s="2" t="s">
        <v>80</v>
      </c>
      <c r="O2950" s="2" t="s">
        <v>2395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13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11"/>
        <v>0</v>
      </c>
      <c r="AG2950" s="2">
        <v>125.51600000000001</v>
      </c>
      <c r="AH2950" s="2">
        <v>220</v>
      </c>
      <c r="AJ2950" s="2">
        <f t="shared" si="412"/>
        <v>0</v>
      </c>
      <c r="AK2950" s="2">
        <f t="shared" si="414"/>
        <v>94.483999999999995</v>
      </c>
      <c r="AL2950" s="5">
        <f t="shared" si="415"/>
        <v>0.42947272727272723</v>
      </c>
    </row>
    <row r="2951" spans="1:38" x14ac:dyDescent="0.2">
      <c r="A2951" s="2">
        <v>2026</v>
      </c>
      <c r="B2951" s="2">
        <v>1</v>
      </c>
      <c r="D2951" s="2" t="s">
        <v>2396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413"/>
        <v>0.42947272727272723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11"/>
        <v>0</v>
      </c>
      <c r="AG2951" s="2">
        <v>125.51600000000001</v>
      </c>
      <c r="AH2951" s="2">
        <v>220</v>
      </c>
      <c r="AJ2951" s="2">
        <f t="shared" si="412"/>
        <v>0</v>
      </c>
      <c r="AK2951" s="2">
        <f t="shared" si="414"/>
        <v>94.483999999999995</v>
      </c>
      <c r="AL2951" s="5">
        <f t="shared" si="415"/>
        <v>0.42947272727272723</v>
      </c>
    </row>
    <row r="2952" spans="1:38" x14ac:dyDescent="0.2">
      <c r="A2952" s="2">
        <v>2026</v>
      </c>
      <c r="B2952" s="2">
        <v>1</v>
      </c>
      <c r="D2952" s="2" t="s">
        <v>606</v>
      </c>
      <c r="E2952" s="2" t="s">
        <v>108</v>
      </c>
      <c r="F2952" s="2" t="s">
        <v>39</v>
      </c>
      <c r="G2952" s="2">
        <v>504822187</v>
      </c>
      <c r="H2952" s="2" t="s">
        <v>109</v>
      </c>
      <c r="I2952" s="2" t="s">
        <v>607</v>
      </c>
      <c r="J2952" s="2" t="s">
        <v>608</v>
      </c>
      <c r="K2952" s="2">
        <v>966216853</v>
      </c>
      <c r="L2952" s="2" t="s">
        <v>461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413"/>
        <v>0.40230476190476189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11"/>
        <v>0</v>
      </c>
      <c r="AG2952" s="2">
        <v>125.51600000000001</v>
      </c>
      <c r="AH2952" s="2">
        <v>220</v>
      </c>
      <c r="AJ2952" s="2">
        <f t="shared" si="412"/>
        <v>0</v>
      </c>
      <c r="AK2952" s="2">
        <f t="shared" si="414"/>
        <v>84.483999999999995</v>
      </c>
      <c r="AL2952" s="5">
        <f t="shared" si="415"/>
        <v>0.40230476190476189</v>
      </c>
    </row>
    <row r="2953" spans="1:38" x14ac:dyDescent="0.2">
      <c r="A2953" s="2">
        <v>2026</v>
      </c>
      <c r="B2953" s="2">
        <v>1</v>
      </c>
      <c r="D2953" s="2" t="s">
        <v>633</v>
      </c>
      <c r="E2953" s="2" t="s">
        <v>183</v>
      </c>
      <c r="F2953" s="2" t="s">
        <v>366</v>
      </c>
      <c r="H2953" s="2" t="s">
        <v>290</v>
      </c>
      <c r="L2953" s="2" t="s">
        <v>339</v>
      </c>
      <c r="M2953" s="2" t="s">
        <v>80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13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11"/>
        <v>0</v>
      </c>
      <c r="AG2953" s="2">
        <v>125.51600000000001</v>
      </c>
      <c r="AH2953" s="2">
        <v>220</v>
      </c>
      <c r="AJ2953" s="2">
        <f t="shared" si="412"/>
        <v>0</v>
      </c>
      <c r="AK2953" s="2">
        <f t="shared" si="414"/>
        <v>94.483999999999995</v>
      </c>
      <c r="AL2953" s="5">
        <f t="shared" si="415"/>
        <v>0.42947272727272723</v>
      </c>
    </row>
    <row r="2954" spans="1:38" x14ac:dyDescent="0.2">
      <c r="A2954" s="2">
        <v>2026</v>
      </c>
      <c r="B2954" s="2">
        <v>1</v>
      </c>
      <c r="D2954" s="2" t="s">
        <v>2397</v>
      </c>
      <c r="E2954" s="2" t="s">
        <v>183</v>
      </c>
      <c r="F2954" s="2" t="s">
        <v>366</v>
      </c>
      <c r="H2954" s="2" t="s">
        <v>290</v>
      </c>
      <c r="L2954" s="2" t="s">
        <v>339</v>
      </c>
      <c r="P2954" s="2" t="s">
        <v>72</v>
      </c>
      <c r="Q2954" s="2" t="s">
        <v>73</v>
      </c>
      <c r="R2954" s="2" t="s">
        <v>74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413"/>
        <v>0.42947272727272723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11"/>
        <v>0</v>
      </c>
      <c r="AG2954" s="2">
        <v>125.51600000000001</v>
      </c>
      <c r="AH2954" s="2">
        <v>220</v>
      </c>
      <c r="AJ2954" s="2">
        <f t="shared" si="412"/>
        <v>0</v>
      </c>
      <c r="AK2954" s="2">
        <f t="shared" si="414"/>
        <v>94.483999999999995</v>
      </c>
      <c r="AL2954" s="5">
        <f t="shared" si="415"/>
        <v>0.42947272727272723</v>
      </c>
    </row>
    <row r="2955" spans="1:38" x14ac:dyDescent="0.2">
      <c r="A2955" s="2">
        <v>2026</v>
      </c>
      <c r="B2955" s="2">
        <v>1</v>
      </c>
      <c r="D2955" s="2" t="s">
        <v>144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145</v>
      </c>
      <c r="J2955" s="2" t="s">
        <v>146</v>
      </c>
      <c r="L2955" s="2" t="s">
        <v>99</v>
      </c>
      <c r="M2955" s="2" t="s">
        <v>41</v>
      </c>
      <c r="O2955" s="2" t="s">
        <v>2398</v>
      </c>
      <c r="P2955" s="2" t="s">
        <v>72</v>
      </c>
      <c r="Q2955" s="2" t="s">
        <v>681</v>
      </c>
      <c r="R2955" s="2" t="s">
        <v>74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413"/>
        <v>0.47755000000000003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11"/>
        <v>0</v>
      </c>
      <c r="AG2955" s="2">
        <v>104.49</v>
      </c>
      <c r="AH2955" s="2">
        <v>220</v>
      </c>
      <c r="AJ2955" s="2">
        <f t="shared" si="412"/>
        <v>0</v>
      </c>
      <c r="AK2955" s="2">
        <f t="shared" si="414"/>
        <v>95.51</v>
      </c>
      <c r="AL2955" s="5">
        <f t="shared" si="415"/>
        <v>0.47755000000000003</v>
      </c>
    </row>
    <row r="2956" spans="1:38" x14ac:dyDescent="0.2">
      <c r="A2956" s="2">
        <v>2026</v>
      </c>
      <c r="B2956" s="2">
        <v>1</v>
      </c>
      <c r="D2956" s="2" t="s">
        <v>1942</v>
      </c>
      <c r="E2956" s="2" t="s">
        <v>108</v>
      </c>
      <c r="F2956" s="2" t="s">
        <v>395</v>
      </c>
      <c r="G2956" s="2">
        <v>505738651</v>
      </c>
      <c r="H2956" s="2" t="s">
        <v>41</v>
      </c>
      <c r="I2956" s="2" t="s">
        <v>2399</v>
      </c>
      <c r="J2956" s="2" t="s">
        <v>2400</v>
      </c>
      <c r="L2956" s="2" t="s">
        <v>201</v>
      </c>
      <c r="M2956" s="2" t="s">
        <v>41</v>
      </c>
      <c r="O2956" s="2" t="s">
        <v>2401</v>
      </c>
      <c r="P2956" s="2" t="s">
        <v>72</v>
      </c>
      <c r="Q2956" s="2" t="s">
        <v>330</v>
      </c>
      <c r="R2956" s="2" t="s">
        <v>331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413"/>
        <v>0.41521052631578947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11"/>
        <v>0</v>
      </c>
      <c r="AG2956" s="2">
        <v>111.11</v>
      </c>
      <c r="AH2956" s="2">
        <v>190</v>
      </c>
      <c r="AJ2956" s="2">
        <f t="shared" si="412"/>
        <v>0</v>
      </c>
      <c r="AK2956" s="2">
        <f t="shared" si="414"/>
        <v>78.89</v>
      </c>
      <c r="AL2956" s="5">
        <f t="shared" si="415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80</v>
      </c>
      <c r="O2957" s="2" t="s">
        <v>2402</v>
      </c>
      <c r="P2957" s="2" t="s">
        <v>72</v>
      </c>
      <c r="Q2957" s="2" t="s">
        <v>1390</v>
      </c>
      <c r="R2957" s="2" t="s">
        <v>74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413"/>
        <v>0.61401773412936733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11"/>
        <v>0</v>
      </c>
      <c r="AG2957" s="2">
        <v>109.26</v>
      </c>
      <c r="AJ2957" s="2">
        <f t="shared" si="412"/>
        <v>0</v>
      </c>
      <c r="AK2957" s="2">
        <f t="shared" si="414"/>
        <v>173.81</v>
      </c>
      <c r="AL2957" s="5">
        <f t="shared" si="415"/>
        <v>0.61401773412936733</v>
      </c>
    </row>
    <row r="2958" spans="1:38" x14ac:dyDescent="0.2">
      <c r="A2958" s="2">
        <v>2026</v>
      </c>
      <c r="B2958" s="2">
        <v>1</v>
      </c>
      <c r="D2958" s="2" t="s">
        <v>2008</v>
      </c>
      <c r="E2958" s="2" t="s">
        <v>38</v>
      </c>
      <c r="F2958" s="2" t="s">
        <v>39</v>
      </c>
      <c r="L2958" s="2" t="s">
        <v>571</v>
      </c>
      <c r="M2958" s="2" t="s">
        <v>80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13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11"/>
        <v>0</v>
      </c>
      <c r="AG2958" s="2">
        <v>120.636</v>
      </c>
      <c r="AH2958" s="2">
        <v>220</v>
      </c>
      <c r="AJ2958" s="2">
        <f t="shared" si="412"/>
        <v>0</v>
      </c>
      <c r="AK2958" s="2">
        <f t="shared" si="414"/>
        <v>99.364000000000004</v>
      </c>
      <c r="AL2958" s="5">
        <f t="shared" si="415"/>
        <v>0.45165454545454548</v>
      </c>
    </row>
    <row r="2959" spans="1:38" x14ac:dyDescent="0.2">
      <c r="A2959" s="2">
        <v>2026</v>
      </c>
      <c r="B2959" s="2">
        <v>1</v>
      </c>
      <c r="D2959" s="2" t="s">
        <v>1553</v>
      </c>
      <c r="E2959" s="2" t="s">
        <v>108</v>
      </c>
      <c r="F2959" s="2" t="s">
        <v>717</v>
      </c>
      <c r="G2959" s="2">
        <v>500975914</v>
      </c>
      <c r="H2959" s="2" t="s">
        <v>41</v>
      </c>
      <c r="I2959" s="2" t="s">
        <v>1554</v>
      </c>
      <c r="J2959" s="2" t="s">
        <v>1555</v>
      </c>
      <c r="L2959" s="2" t="s">
        <v>177</v>
      </c>
      <c r="M2959" s="2" t="s">
        <v>41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13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11"/>
        <v>0</v>
      </c>
      <c r="AG2959" s="2">
        <v>120.636</v>
      </c>
      <c r="AH2959" s="2">
        <v>220</v>
      </c>
      <c r="AJ2959" s="2">
        <f t="shared" si="412"/>
        <v>0</v>
      </c>
      <c r="AK2959" s="2">
        <f t="shared" si="414"/>
        <v>99.364000000000004</v>
      </c>
      <c r="AL2959" s="5">
        <f t="shared" si="415"/>
        <v>0.45165454545454548</v>
      </c>
    </row>
    <row r="2960" spans="1:38" x14ac:dyDescent="0.2">
      <c r="A2960" s="2">
        <v>2026</v>
      </c>
      <c r="B2960" s="2">
        <v>1</v>
      </c>
      <c r="D2960" s="2" t="s">
        <v>2403</v>
      </c>
      <c r="P2960" s="2" t="s">
        <v>72</v>
      </c>
      <c r="Q2960" s="2" t="s">
        <v>832</v>
      </c>
      <c r="R2960" s="2" t="s">
        <v>74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413"/>
        <v>0.45165454545454548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11"/>
        <v>0</v>
      </c>
      <c r="AG2960" s="2">
        <v>120.636</v>
      </c>
      <c r="AH2960" s="2">
        <v>220</v>
      </c>
      <c r="AJ2960" s="2">
        <f t="shared" si="412"/>
        <v>0</v>
      </c>
      <c r="AK2960" s="2">
        <f t="shared" si="414"/>
        <v>99.364000000000004</v>
      </c>
      <c r="AL2960" s="5">
        <f t="shared" si="415"/>
        <v>0.45165454545454548</v>
      </c>
    </row>
    <row r="2961" spans="1:38" x14ac:dyDescent="0.2">
      <c r="A2961" s="2">
        <v>2026</v>
      </c>
      <c r="B2961" s="2">
        <v>1</v>
      </c>
      <c r="D2961" s="2" t="s">
        <v>2391</v>
      </c>
      <c r="E2961" s="2" t="s">
        <v>38</v>
      </c>
      <c r="F2961" s="2" t="s">
        <v>39</v>
      </c>
      <c r="G2961" s="2">
        <v>160080592</v>
      </c>
      <c r="H2961" s="2" t="s">
        <v>290</v>
      </c>
      <c r="I2961" s="2" t="s">
        <v>2404</v>
      </c>
      <c r="J2961" s="2" t="s">
        <v>2405</v>
      </c>
      <c r="K2961" s="2">
        <v>919209638</v>
      </c>
      <c r="L2961" s="2" t="s">
        <v>293</v>
      </c>
      <c r="M2961" s="2" t="s">
        <v>80</v>
      </c>
      <c r="O2961" s="2" t="s">
        <v>2406</v>
      </c>
      <c r="P2961" s="2" t="s">
        <v>72</v>
      </c>
      <c r="Q2961" s="2" t="s">
        <v>2407</v>
      </c>
      <c r="R2961" s="2" t="s">
        <v>1416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413"/>
        <v>0.45234782608695656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11"/>
        <v>0</v>
      </c>
      <c r="AG2961" s="2">
        <f>119.7+6.26</f>
        <v>125.96000000000001</v>
      </c>
      <c r="AJ2961" s="2">
        <f t="shared" si="412"/>
        <v>0</v>
      </c>
      <c r="AK2961" s="2">
        <f t="shared" si="414"/>
        <v>104.04</v>
      </c>
      <c r="AL2961" s="5">
        <f t="shared" si="415"/>
        <v>0.45234782608695656</v>
      </c>
    </row>
    <row r="2962" spans="1:38" x14ac:dyDescent="0.2">
      <c r="A2962" s="2">
        <v>2026</v>
      </c>
      <c r="B2962" s="2">
        <v>1</v>
      </c>
      <c r="D2962" s="2" t="s">
        <v>530</v>
      </c>
      <c r="E2962" s="2" t="s">
        <v>108</v>
      </c>
      <c r="F2962" s="2" t="s">
        <v>531</v>
      </c>
      <c r="G2962" s="2">
        <v>502139552</v>
      </c>
      <c r="H2962" s="2" t="s">
        <v>40</v>
      </c>
      <c r="I2962" s="2" t="s">
        <v>339</v>
      </c>
      <c r="J2962" s="2" t="s">
        <v>532</v>
      </c>
      <c r="L2962" s="2" t="s">
        <v>339</v>
      </c>
      <c r="M2962" s="2" t="s">
        <v>80</v>
      </c>
      <c r="O2962" s="2" t="s">
        <v>2408</v>
      </c>
      <c r="P2962" s="2" t="s">
        <v>72</v>
      </c>
      <c r="Q2962" s="2" t="s">
        <v>556</v>
      </c>
      <c r="R2962" s="2" t="s">
        <v>381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413"/>
        <v>0.36018493820574382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11"/>
        <v>0</v>
      </c>
      <c r="AG2962" s="2">
        <v>143.91999999999999</v>
      </c>
      <c r="AJ2962" s="2">
        <f t="shared" si="412"/>
        <v>0</v>
      </c>
      <c r="AK2962" s="2">
        <f t="shared" si="414"/>
        <v>81.02000000000001</v>
      </c>
      <c r="AL2962" s="5">
        <f t="shared" si="415"/>
        <v>0.36018493820574382</v>
      </c>
    </row>
    <row r="2963" spans="1:38" x14ac:dyDescent="0.2">
      <c r="A2963" s="2">
        <v>2026</v>
      </c>
      <c r="B2963" s="2">
        <v>1</v>
      </c>
      <c r="C2963" s="2" t="s">
        <v>3326</v>
      </c>
      <c r="D2963" s="2" t="s">
        <v>1073</v>
      </c>
      <c r="E2963" s="2" t="s">
        <v>108</v>
      </c>
      <c r="F2963" s="2" t="s">
        <v>39</v>
      </c>
      <c r="L2963" s="2" t="s">
        <v>461</v>
      </c>
      <c r="M2963" s="2" t="s">
        <v>41</v>
      </c>
      <c r="P2963" s="2" t="s">
        <v>72</v>
      </c>
      <c r="Q2963" s="2" t="s">
        <v>1345</v>
      </c>
      <c r="R2963" s="2" t="s">
        <v>79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413"/>
        <v>0.56295454545454537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11"/>
        <v>0</v>
      </c>
      <c r="AJ2963" s="2">
        <f t="shared" si="412"/>
        <v>0</v>
      </c>
      <c r="AK2963" s="2">
        <f t="shared" si="414"/>
        <v>123.85</v>
      </c>
      <c r="AL2963" s="5">
        <f t="shared" si="415"/>
        <v>0.56295454545454537</v>
      </c>
    </row>
    <row r="2964" spans="1:38" x14ac:dyDescent="0.2">
      <c r="A2964" s="2">
        <v>2026</v>
      </c>
      <c r="B2964" s="2">
        <v>1</v>
      </c>
      <c r="D2964" s="2" t="s">
        <v>1564</v>
      </c>
      <c r="E2964" s="2" t="s">
        <v>38</v>
      </c>
      <c r="F2964" s="2" t="s">
        <v>39</v>
      </c>
      <c r="G2964" s="2">
        <v>506336670</v>
      </c>
      <c r="H2964" s="2" t="s">
        <v>109</v>
      </c>
      <c r="I2964" s="2" t="s">
        <v>398</v>
      </c>
      <c r="J2964" s="2" t="s">
        <v>2409</v>
      </c>
      <c r="K2964" s="2">
        <v>968647685</v>
      </c>
      <c r="L2964" s="2" t="s">
        <v>398</v>
      </c>
      <c r="M2964" s="2" t="s">
        <v>109</v>
      </c>
      <c r="O2964" s="2" t="s">
        <v>2410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13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11"/>
        <v>0</v>
      </c>
      <c r="AG2964" s="2">
        <v>131.93</v>
      </c>
      <c r="AH2964" s="2">
        <v>220</v>
      </c>
      <c r="AJ2964" s="2">
        <f t="shared" si="412"/>
        <v>0</v>
      </c>
      <c r="AK2964" s="2">
        <f t="shared" si="414"/>
        <v>88.07</v>
      </c>
      <c r="AL2964" s="5">
        <f t="shared" si="415"/>
        <v>0.4003181818181818</v>
      </c>
    </row>
    <row r="2965" spans="1:38" x14ac:dyDescent="0.2">
      <c r="A2965" s="2">
        <v>2026</v>
      </c>
      <c r="B2965" s="2">
        <v>1</v>
      </c>
      <c r="D2965" s="2" t="s">
        <v>1418</v>
      </c>
      <c r="E2965" s="2" t="s">
        <v>108</v>
      </c>
      <c r="F2965" s="2" t="s">
        <v>39</v>
      </c>
      <c r="G2965" s="2">
        <v>502696338</v>
      </c>
      <c r="H2965" s="2" t="s">
        <v>40</v>
      </c>
      <c r="I2965" s="2" t="s">
        <v>2411</v>
      </c>
      <c r="J2965" s="2" t="s">
        <v>2412</v>
      </c>
      <c r="L2965" s="2" t="s">
        <v>201</v>
      </c>
      <c r="M2965" s="2" t="s">
        <v>80</v>
      </c>
      <c r="O2965" s="2" t="s">
        <v>2413</v>
      </c>
      <c r="P2965" s="2" t="s">
        <v>72</v>
      </c>
      <c r="Q2965" s="2" t="s">
        <v>484</v>
      </c>
      <c r="R2965" s="2" t="s">
        <v>74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413"/>
        <v>0.4003181818181818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11"/>
        <v>0</v>
      </c>
      <c r="AG2965" s="2">
        <v>131.93</v>
      </c>
      <c r="AH2965" s="2">
        <v>220</v>
      </c>
      <c r="AJ2965" s="2">
        <f t="shared" si="412"/>
        <v>0</v>
      </c>
      <c r="AK2965" s="2">
        <f t="shared" si="414"/>
        <v>88.07</v>
      </c>
      <c r="AL2965" s="5">
        <f t="shared" si="415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80</v>
      </c>
      <c r="O2966" s="2" t="s">
        <v>2390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413"/>
        <v>0.53871429123661529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11"/>
        <v>0</v>
      </c>
      <c r="AG2966" s="2">
        <v>119.33</v>
      </c>
      <c r="AH2966" s="2">
        <v>220</v>
      </c>
      <c r="AJ2966" s="2">
        <f t="shared" si="412"/>
        <v>0</v>
      </c>
      <c r="AK2966" s="2">
        <f t="shared" si="414"/>
        <v>139.36000000000001</v>
      </c>
      <c r="AL2966" s="5">
        <f t="shared" si="415"/>
        <v>0.53871429123661529</v>
      </c>
    </row>
    <row r="2967" spans="1:38" x14ac:dyDescent="0.2">
      <c r="A2967" s="2">
        <v>2026</v>
      </c>
      <c r="B2967" s="2">
        <v>1</v>
      </c>
      <c r="D2967" s="2" t="s">
        <v>314</v>
      </c>
      <c r="E2967" s="2" t="s">
        <v>108</v>
      </c>
      <c r="G2967" s="2">
        <v>503270520</v>
      </c>
      <c r="H2967" s="2" t="s">
        <v>40</v>
      </c>
      <c r="I2967" s="2" t="s">
        <v>315</v>
      </c>
      <c r="J2967" s="2" t="s">
        <v>316</v>
      </c>
      <c r="L2967" s="2" t="s">
        <v>99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413"/>
        <v>0.4575909090909091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11"/>
        <v>0</v>
      </c>
      <c r="AG2967" s="2">
        <v>119.33</v>
      </c>
      <c r="AH2967" s="2">
        <v>220</v>
      </c>
      <c r="AJ2967" s="2">
        <f t="shared" si="412"/>
        <v>0</v>
      </c>
      <c r="AK2967" s="2">
        <f t="shared" si="414"/>
        <v>100.67</v>
      </c>
      <c r="AL2967" s="5">
        <f t="shared" si="415"/>
        <v>0.4575909090909091</v>
      </c>
    </row>
    <row r="2968" spans="1:38" x14ac:dyDescent="0.2">
      <c r="A2968" s="2">
        <v>2026</v>
      </c>
      <c r="B2968" s="2">
        <v>1</v>
      </c>
      <c r="C2968" s="2" t="s">
        <v>3326</v>
      </c>
      <c r="D2968" s="2" t="s">
        <v>1009</v>
      </c>
      <c r="E2968" s="2" t="s">
        <v>108</v>
      </c>
      <c r="F2968" s="2" t="s">
        <v>39</v>
      </c>
      <c r="G2968" s="2">
        <v>507063481</v>
      </c>
      <c r="H2968" s="2" t="s">
        <v>290</v>
      </c>
      <c r="I2968" s="2" t="s">
        <v>1010</v>
      </c>
      <c r="J2968" s="2" t="s">
        <v>1011</v>
      </c>
      <c r="L2968" s="2" t="s">
        <v>293</v>
      </c>
      <c r="M2968" s="2" t="s">
        <v>80</v>
      </c>
      <c r="P2968" s="2" t="s">
        <v>72</v>
      </c>
      <c r="Q2968" s="2" t="s">
        <v>306</v>
      </c>
      <c r="R2968" s="2" t="s">
        <v>307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413"/>
        <v>0.42904306220095695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11"/>
        <v>0</v>
      </c>
      <c r="AG2968" s="2">
        <v>119.33</v>
      </c>
      <c r="AH2968" s="2">
        <v>220</v>
      </c>
      <c r="AJ2968" s="2">
        <f t="shared" si="412"/>
        <v>0</v>
      </c>
      <c r="AK2968" s="2">
        <f t="shared" si="414"/>
        <v>89.67</v>
      </c>
      <c r="AL2968" s="5">
        <f t="shared" si="415"/>
        <v>0.42904306220095695</v>
      </c>
    </row>
    <row r="2969" spans="1:38" x14ac:dyDescent="0.2">
      <c r="A2969" s="2">
        <v>2026</v>
      </c>
      <c r="B2969" s="2">
        <v>1</v>
      </c>
      <c r="D2969" s="2" t="s">
        <v>816</v>
      </c>
      <c r="E2969" s="2" t="s">
        <v>38</v>
      </c>
      <c r="F2969" s="2" t="s">
        <v>39</v>
      </c>
      <c r="L2969" s="2" t="s">
        <v>480</v>
      </c>
      <c r="P2969" s="2" t="s">
        <v>72</v>
      </c>
      <c r="Q2969" s="2" t="s">
        <v>2414</v>
      </c>
      <c r="R2969" s="2" t="s">
        <v>2415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413"/>
        <v>0.42485714285714288</v>
      </c>
      <c r="Z2969" s="2" t="s">
        <v>3226</v>
      </c>
      <c r="AA2969" s="2" t="s">
        <v>75</v>
      </c>
      <c r="AB2969" s="2" t="s">
        <v>76</v>
      </c>
      <c r="AC2969" s="2" t="s">
        <v>77</v>
      </c>
      <c r="AF2969" s="2">
        <f t="shared" si="411"/>
        <v>0</v>
      </c>
      <c r="AG2969" s="2">
        <v>120.78</v>
      </c>
      <c r="AH2969" s="2">
        <v>210</v>
      </c>
      <c r="AJ2969" s="2">
        <f t="shared" si="412"/>
        <v>0</v>
      </c>
      <c r="AK2969" s="2">
        <f t="shared" si="414"/>
        <v>89.22</v>
      </c>
      <c r="AL2969" s="5">
        <f t="shared" si="415"/>
        <v>0.42485714285714288</v>
      </c>
    </row>
    <row r="2970" spans="1:38" x14ac:dyDescent="0.2">
      <c r="A2970" s="2">
        <v>2026</v>
      </c>
      <c r="B2970" s="2">
        <v>2</v>
      </c>
      <c r="D2970" s="2" t="s">
        <v>689</v>
      </c>
      <c r="E2970" s="2" t="s">
        <v>108</v>
      </c>
      <c r="F2970" s="2" t="s">
        <v>39</v>
      </c>
      <c r="G2970" s="2">
        <v>503589950</v>
      </c>
      <c r="H2970" s="2" t="s">
        <v>41</v>
      </c>
      <c r="I2970" s="2" t="s">
        <v>610</v>
      </c>
      <c r="J2970" s="2" t="s">
        <v>690</v>
      </c>
      <c r="K2970" s="2">
        <v>913036545</v>
      </c>
      <c r="L2970" s="2" t="s">
        <v>177</v>
      </c>
      <c r="M2970" s="2" t="s">
        <v>41</v>
      </c>
      <c r="O2970" s="2" t="s">
        <v>2416</v>
      </c>
      <c r="P2970" s="2" t="s">
        <v>43</v>
      </c>
      <c r="Q2970" s="2" t="s">
        <v>232</v>
      </c>
      <c r="R2970" s="2" t="s">
        <v>233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413"/>
        <v>0.53121428571428575</v>
      </c>
      <c r="Z2970" s="2" t="s">
        <v>3226</v>
      </c>
      <c r="AA2970" s="2" t="s">
        <v>46</v>
      </c>
      <c r="AB2970" s="2" t="s">
        <v>56</v>
      </c>
      <c r="AC2970" s="2" t="s">
        <v>57</v>
      </c>
      <c r="AF2970" s="2">
        <f t="shared" si="411"/>
        <v>0</v>
      </c>
      <c r="AG2970" s="2">
        <v>5.9066999999999998</v>
      </c>
      <c r="AH2970" s="2">
        <v>12.6</v>
      </c>
      <c r="AJ2970" s="2">
        <f t="shared" si="412"/>
        <v>0</v>
      </c>
      <c r="AK2970" s="2">
        <f t="shared" si="414"/>
        <v>6.6932999999999998</v>
      </c>
      <c r="AL2970" s="5">
        <f t="shared" si="415"/>
        <v>0.53121428571428575</v>
      </c>
    </row>
    <row r="2971" spans="1:38" x14ac:dyDescent="0.2">
      <c r="A2971" s="2">
        <v>2026</v>
      </c>
      <c r="B2971" s="2">
        <v>1</v>
      </c>
      <c r="D2971" s="2" t="s">
        <v>1026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1027</v>
      </c>
      <c r="J2971" s="2" t="s">
        <v>1028</v>
      </c>
      <c r="K2971" s="2">
        <v>963046242</v>
      </c>
      <c r="L2971" s="2" t="s">
        <v>177</v>
      </c>
      <c r="P2971" s="2" t="s">
        <v>72</v>
      </c>
      <c r="Q2971" s="2" t="s">
        <v>557</v>
      </c>
      <c r="R2971" s="2" t="s">
        <v>307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413"/>
        <v>0.44256578348356551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11"/>
        <v>0</v>
      </c>
      <c r="AG2971" s="2">
        <v>122.446</v>
      </c>
      <c r="AH2971" s="2">
        <v>230</v>
      </c>
      <c r="AJ2971" s="2">
        <f t="shared" si="412"/>
        <v>0</v>
      </c>
      <c r="AK2971" s="2">
        <f t="shared" si="414"/>
        <v>97.213999999999999</v>
      </c>
      <c r="AL2971" s="5">
        <f t="shared" si="415"/>
        <v>0.44256578348356551</v>
      </c>
    </row>
    <row r="2972" spans="1:38" x14ac:dyDescent="0.2">
      <c r="A2972" s="2">
        <v>2026</v>
      </c>
      <c r="B2972" s="2">
        <v>1</v>
      </c>
      <c r="D2972" s="2" t="s">
        <v>816</v>
      </c>
      <c r="E2972" s="2" t="s">
        <v>38</v>
      </c>
      <c r="F2972" s="2" t="s">
        <v>39</v>
      </c>
      <c r="L2972" s="2" t="s">
        <v>480</v>
      </c>
      <c r="P2972" s="2" t="s">
        <v>72</v>
      </c>
      <c r="Q2972" s="2" t="s">
        <v>1449</v>
      </c>
      <c r="R2972" s="2" t="s">
        <v>307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413"/>
        <v>0.44342727272727273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11"/>
        <v>0</v>
      </c>
      <c r="AG2972" s="2">
        <v>122.446</v>
      </c>
      <c r="AH2972" s="2">
        <v>230</v>
      </c>
      <c r="AJ2972" s="2">
        <f t="shared" si="412"/>
        <v>0</v>
      </c>
      <c r="AK2972" s="2">
        <f t="shared" si="414"/>
        <v>97.554000000000002</v>
      </c>
      <c r="AL2972" s="5">
        <f t="shared" si="415"/>
        <v>0.44342727272727273</v>
      </c>
    </row>
    <row r="2973" spans="1:38" x14ac:dyDescent="0.2">
      <c r="A2973" s="2">
        <v>2026</v>
      </c>
      <c r="B2973" s="2">
        <v>1</v>
      </c>
      <c r="D2973" s="2" t="s">
        <v>319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99</v>
      </c>
      <c r="J2973" s="2" t="s">
        <v>320</v>
      </c>
      <c r="L2973" s="2" t="s">
        <v>99</v>
      </c>
      <c r="M2973" s="2" t="s">
        <v>80</v>
      </c>
      <c r="O2973" s="2" t="s">
        <v>2417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413"/>
        <v>0.46676190476190477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11"/>
        <v>0</v>
      </c>
      <c r="AG2973" s="2">
        <v>111.98</v>
      </c>
      <c r="AH2973" s="2">
        <v>210</v>
      </c>
      <c r="AJ2973" s="2">
        <f t="shared" si="412"/>
        <v>0</v>
      </c>
      <c r="AK2973" s="2">
        <f t="shared" si="414"/>
        <v>98.02</v>
      </c>
      <c r="AL2973" s="5">
        <f t="shared" si="415"/>
        <v>0.46676190476190477</v>
      </c>
    </row>
    <row r="2974" spans="1:38" x14ac:dyDescent="0.2">
      <c r="A2974" s="2">
        <v>2026</v>
      </c>
      <c r="B2974" s="2">
        <v>1</v>
      </c>
      <c r="D2974" s="2" t="s">
        <v>428</v>
      </c>
      <c r="E2974" s="2" t="s">
        <v>38</v>
      </c>
      <c r="G2974" s="2">
        <v>500820384</v>
      </c>
      <c r="H2974" s="2" t="s">
        <v>40</v>
      </c>
      <c r="I2974" s="2" t="s">
        <v>429</v>
      </c>
      <c r="J2974" s="2" t="s">
        <v>430</v>
      </c>
      <c r="L2974" s="2" t="s">
        <v>99</v>
      </c>
      <c r="M2974" s="2" t="s">
        <v>80</v>
      </c>
      <c r="O2974" s="2" t="s">
        <v>2418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413"/>
        <v>0.45027000490918012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11"/>
        <v>0</v>
      </c>
      <c r="AG2974" s="2">
        <v>111.98</v>
      </c>
      <c r="AH2974" s="2">
        <v>210</v>
      </c>
      <c r="AJ2974" s="2">
        <f t="shared" si="412"/>
        <v>0</v>
      </c>
      <c r="AK2974" s="2">
        <f t="shared" si="414"/>
        <v>91.719999999999985</v>
      </c>
      <c r="AL2974" s="5">
        <f t="shared" si="415"/>
        <v>0.45027000490918012</v>
      </c>
    </row>
    <row r="2975" spans="1:38" x14ac:dyDescent="0.2">
      <c r="A2975" s="2">
        <v>2026</v>
      </c>
      <c r="B2975" s="2">
        <v>1</v>
      </c>
      <c r="D2975" s="2" t="s">
        <v>1376</v>
      </c>
      <c r="E2975" s="2" t="s">
        <v>183</v>
      </c>
      <c r="F2975" s="2" t="s">
        <v>366</v>
      </c>
      <c r="L2975" s="2" t="s">
        <v>571</v>
      </c>
      <c r="M2975" s="2" t="s">
        <v>80</v>
      </c>
      <c r="O2975" s="2" t="s">
        <v>3206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413"/>
        <v>0.46676190476190477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11"/>
        <v>0</v>
      </c>
      <c r="AG2975" s="2">
        <v>111.98</v>
      </c>
      <c r="AH2975" s="2">
        <v>210</v>
      </c>
      <c r="AJ2975" s="2">
        <f t="shared" si="412"/>
        <v>0</v>
      </c>
      <c r="AK2975" s="2">
        <f t="shared" si="414"/>
        <v>98.02</v>
      </c>
      <c r="AL2975" s="5">
        <f t="shared" si="415"/>
        <v>0.46676190476190477</v>
      </c>
    </row>
    <row r="2976" spans="1:38" x14ac:dyDescent="0.2">
      <c r="A2976" s="2">
        <v>2026</v>
      </c>
      <c r="B2976" s="2">
        <v>1</v>
      </c>
      <c r="D2976" s="2" t="s">
        <v>1295</v>
      </c>
      <c r="E2976" s="2" t="s">
        <v>183</v>
      </c>
      <c r="F2976" s="2" t="s">
        <v>366</v>
      </c>
      <c r="G2976" s="2">
        <v>500625654</v>
      </c>
      <c r="H2976" s="2" t="s">
        <v>290</v>
      </c>
      <c r="I2976" s="2" t="s">
        <v>339</v>
      </c>
      <c r="J2976" s="2" t="s">
        <v>1296</v>
      </c>
      <c r="L2976" s="2" t="s">
        <v>339</v>
      </c>
      <c r="M2976" s="2" t="s">
        <v>80</v>
      </c>
      <c r="O2976" s="2" t="s">
        <v>2419</v>
      </c>
      <c r="P2976" s="2" t="s">
        <v>72</v>
      </c>
      <c r="Q2976" s="2" t="s">
        <v>78</v>
      </c>
      <c r="R2976" s="2" t="s">
        <v>79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413"/>
        <v>0.47525773195876286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11"/>
        <v>0</v>
      </c>
      <c r="AG2976" s="2">
        <v>111.98</v>
      </c>
      <c r="AH2976" s="2">
        <v>210</v>
      </c>
      <c r="AJ2976" s="2">
        <f t="shared" si="412"/>
        <v>0</v>
      </c>
      <c r="AK2976" s="2">
        <f t="shared" si="414"/>
        <v>101.42</v>
      </c>
      <c r="AL2976" s="5">
        <f t="shared" si="415"/>
        <v>0.47525773195876286</v>
      </c>
    </row>
    <row r="2977" spans="1:38" x14ac:dyDescent="0.2">
      <c r="A2977" s="2">
        <v>2026</v>
      </c>
      <c r="B2977" s="2">
        <v>1</v>
      </c>
      <c r="C2977" s="2" t="s">
        <v>3326</v>
      </c>
      <c r="D2977" s="2" t="s">
        <v>1009</v>
      </c>
      <c r="E2977" s="2" t="s">
        <v>108</v>
      </c>
      <c r="F2977" s="2" t="s">
        <v>39</v>
      </c>
      <c r="G2977" s="2">
        <v>507063481</v>
      </c>
      <c r="H2977" s="2" t="s">
        <v>290</v>
      </c>
      <c r="I2977" s="2" t="s">
        <v>1010</v>
      </c>
      <c r="J2977" s="2" t="s">
        <v>1011</v>
      </c>
      <c r="L2977" s="2" t="s">
        <v>293</v>
      </c>
      <c r="M2977" s="2" t="s">
        <v>80</v>
      </c>
      <c r="O2977" s="2" t="s">
        <v>3196</v>
      </c>
      <c r="P2977" s="2" t="s">
        <v>72</v>
      </c>
      <c r="Q2977" s="2" t="s">
        <v>533</v>
      </c>
      <c r="R2977" s="2" t="s">
        <v>534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413"/>
        <v>0.38899749373433584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11"/>
        <v>0</v>
      </c>
      <c r="AG2977" s="2">
        <f>110.125+11.77</f>
        <v>121.895</v>
      </c>
      <c r="AJ2977" s="2">
        <f t="shared" si="412"/>
        <v>0</v>
      </c>
      <c r="AK2977" s="2">
        <f t="shared" si="414"/>
        <v>77.605000000000004</v>
      </c>
      <c r="AL2977" s="5">
        <f t="shared" si="415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2420</v>
      </c>
      <c r="L2978" s="2" t="s">
        <v>461</v>
      </c>
      <c r="M2978" s="2" t="s">
        <v>80</v>
      </c>
      <c r="O2978" s="2" t="s">
        <v>2421</v>
      </c>
      <c r="P2978" s="2" t="s">
        <v>72</v>
      </c>
      <c r="Q2978" s="2" t="s">
        <v>82</v>
      </c>
      <c r="R2978" s="2" t="s">
        <v>83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413"/>
        <v>0.53174923712080413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11"/>
        <v>0</v>
      </c>
      <c r="AG2978" s="2">
        <f>198.32+10.37</f>
        <v>208.69</v>
      </c>
      <c r="AH2978" s="2">
        <v>340</v>
      </c>
      <c r="AJ2978" s="2">
        <f t="shared" si="412"/>
        <v>0</v>
      </c>
      <c r="AK2978" s="2">
        <f t="shared" si="414"/>
        <v>236.99</v>
      </c>
      <c r="AL2978" s="5">
        <f t="shared" si="415"/>
        <v>0.53174923712080413</v>
      </c>
    </row>
    <row r="2979" spans="1:38" x14ac:dyDescent="0.2">
      <c r="A2979" s="2">
        <v>2026</v>
      </c>
      <c r="B2979" s="2">
        <v>1</v>
      </c>
      <c r="C2979" s="2" t="s">
        <v>3326</v>
      </c>
      <c r="D2979" s="2" t="s">
        <v>1009</v>
      </c>
      <c r="E2979" s="2" t="s">
        <v>108</v>
      </c>
      <c r="F2979" s="2" t="s">
        <v>39</v>
      </c>
      <c r="G2979" s="2">
        <v>507063481</v>
      </c>
      <c r="H2979" s="2" t="s">
        <v>290</v>
      </c>
      <c r="I2979" s="2" t="s">
        <v>1010</v>
      </c>
      <c r="J2979" s="2" t="s">
        <v>1011</v>
      </c>
      <c r="L2979" s="2" t="s">
        <v>293</v>
      </c>
      <c r="M2979" s="2" t="s">
        <v>80</v>
      </c>
      <c r="P2979" s="2" t="s">
        <v>72</v>
      </c>
      <c r="Q2979" s="2" t="s">
        <v>1075</v>
      </c>
      <c r="R2979" s="2" t="s">
        <v>83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416">(T2979-W2979)/T2979</f>
        <v>0.35408906882591096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11"/>
        <v>0</v>
      </c>
      <c r="AG2979" s="2">
        <f>144.14+15.4</f>
        <v>159.54</v>
      </c>
      <c r="AH2979" s="2">
        <v>280</v>
      </c>
      <c r="AJ2979" s="2">
        <f t="shared" si="412"/>
        <v>0</v>
      </c>
      <c r="AK2979" s="2">
        <f t="shared" ref="AK2979:AK3002" si="417">T2979-W2979</f>
        <v>174.92000000000002</v>
      </c>
      <c r="AL2979" s="5">
        <f t="shared" ref="AL2979:AL2994" si="418">(T2979-W2979)/T2979</f>
        <v>0.35408906882591096</v>
      </c>
    </row>
    <row r="2980" spans="1:38" x14ac:dyDescent="0.2">
      <c r="A2980" s="2">
        <v>2026</v>
      </c>
      <c r="B2980" s="2">
        <v>1</v>
      </c>
      <c r="D2980" s="2" t="s">
        <v>314</v>
      </c>
      <c r="E2980" s="2" t="s">
        <v>108</v>
      </c>
      <c r="G2980" s="2">
        <v>503270520</v>
      </c>
      <c r="H2980" s="2" t="s">
        <v>40</v>
      </c>
      <c r="I2980" s="2" t="s">
        <v>315</v>
      </c>
      <c r="J2980" s="2" t="s">
        <v>316</v>
      </c>
      <c r="L2980" s="2" t="s">
        <v>99</v>
      </c>
      <c r="M2980" s="2" t="s">
        <v>80</v>
      </c>
      <c r="P2980" s="2" t="s">
        <v>72</v>
      </c>
      <c r="Q2980" s="2" t="s">
        <v>202</v>
      </c>
      <c r="R2980" s="2" t="s">
        <v>197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416"/>
        <v>0.41211538461538466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11"/>
        <v>0</v>
      </c>
      <c r="AG2980" s="2">
        <v>152.85</v>
      </c>
      <c r="AH2980" s="2">
        <v>260</v>
      </c>
      <c r="AJ2980" s="2">
        <f t="shared" si="412"/>
        <v>0</v>
      </c>
      <c r="AK2980" s="2">
        <f t="shared" si="417"/>
        <v>107.15</v>
      </c>
      <c r="AL2980" s="5">
        <f t="shared" si="418"/>
        <v>0.41211538461538466</v>
      </c>
    </row>
    <row r="2981" spans="1:38" x14ac:dyDescent="0.2">
      <c r="A2981" s="2">
        <v>2026</v>
      </c>
      <c r="B2981" s="2">
        <v>1</v>
      </c>
      <c r="D2981" s="2" t="s">
        <v>428</v>
      </c>
      <c r="E2981" s="2" t="s">
        <v>38</v>
      </c>
      <c r="G2981" s="2">
        <v>500820384</v>
      </c>
      <c r="H2981" s="2" t="s">
        <v>40</v>
      </c>
      <c r="I2981" s="2" t="s">
        <v>429</v>
      </c>
      <c r="J2981" s="2" t="s">
        <v>430</v>
      </c>
      <c r="L2981" s="2" t="s">
        <v>99</v>
      </c>
      <c r="M2981" s="2" t="s">
        <v>80</v>
      </c>
      <c r="O2981" s="2" t="s">
        <v>2422</v>
      </c>
      <c r="P2981" s="2" t="s">
        <v>72</v>
      </c>
      <c r="Q2981" s="2" t="s">
        <v>2423</v>
      </c>
      <c r="R2981" s="2" t="s">
        <v>83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416"/>
        <v>0.38639747995418094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11"/>
        <v>0</v>
      </c>
      <c r="AJ2981" s="2">
        <f t="shared" si="412"/>
        <v>0</v>
      </c>
      <c r="AK2981" s="2">
        <f t="shared" si="417"/>
        <v>134.92999999999998</v>
      </c>
      <c r="AL2981" s="5">
        <f t="shared" si="418"/>
        <v>0.38639747995418094</v>
      </c>
    </row>
    <row r="2982" spans="1:38" x14ac:dyDescent="0.2">
      <c r="A2982" s="2">
        <v>2026</v>
      </c>
      <c r="B2982" s="2">
        <v>1</v>
      </c>
      <c r="D2982" s="2" t="s">
        <v>894</v>
      </c>
      <c r="P2982" s="2" t="s">
        <v>72</v>
      </c>
      <c r="Q2982" s="2" t="s">
        <v>2424</v>
      </c>
      <c r="R2982" s="2" t="s">
        <v>74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416"/>
        <v>0.48100000000000004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11"/>
        <v>0</v>
      </c>
      <c r="AJ2982" s="2">
        <f t="shared" si="412"/>
        <v>0</v>
      </c>
      <c r="AK2982" s="2">
        <f t="shared" si="417"/>
        <v>134.68</v>
      </c>
      <c r="AL2982" s="5">
        <f t="shared" si="418"/>
        <v>0.48100000000000004</v>
      </c>
    </row>
    <row r="2983" spans="1:38" x14ac:dyDescent="0.2">
      <c r="A2983" s="2">
        <v>2026</v>
      </c>
      <c r="B2983" s="2">
        <v>1</v>
      </c>
      <c r="D2983" s="2" t="s">
        <v>677</v>
      </c>
      <c r="E2983" s="2" t="s">
        <v>108</v>
      </c>
      <c r="F2983" s="2" t="s">
        <v>39</v>
      </c>
      <c r="G2983" s="2">
        <v>505764636</v>
      </c>
      <c r="H2983" s="2" t="s">
        <v>290</v>
      </c>
      <c r="I2983" s="2" t="s">
        <v>678</v>
      </c>
      <c r="J2983" s="2" t="s">
        <v>679</v>
      </c>
      <c r="L2983" s="2" t="s">
        <v>339</v>
      </c>
      <c r="M2983" s="2" t="s">
        <v>80</v>
      </c>
      <c r="O2983" s="2" t="s">
        <v>2425</v>
      </c>
      <c r="P2983" s="2" t="s">
        <v>72</v>
      </c>
      <c r="Q2983" s="2" t="s">
        <v>1990</v>
      </c>
      <c r="R2983" s="2" t="s">
        <v>1416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416"/>
        <v>0.21811538461538466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11"/>
        <v>0</v>
      </c>
      <c r="AJ2983" s="2">
        <f t="shared" si="412"/>
        <v>0</v>
      </c>
      <c r="AK2983" s="2">
        <f t="shared" si="417"/>
        <v>56.710000000000008</v>
      </c>
      <c r="AL2983" s="5">
        <f t="shared" si="418"/>
        <v>0.21811538461538466</v>
      </c>
    </row>
    <row r="2984" spans="1:38" x14ac:dyDescent="0.2">
      <c r="A2984" s="2">
        <v>2026</v>
      </c>
      <c r="B2984" s="2">
        <v>1</v>
      </c>
      <c r="D2984" s="2" t="s">
        <v>981</v>
      </c>
      <c r="E2984" s="2" t="s">
        <v>108</v>
      </c>
      <c r="F2984" s="2" t="s">
        <v>717</v>
      </c>
      <c r="G2984" s="2">
        <v>500594309</v>
      </c>
      <c r="H2984" s="2" t="s">
        <v>290</v>
      </c>
      <c r="I2984" s="2" t="s">
        <v>982</v>
      </c>
      <c r="J2984" s="2" t="s">
        <v>983</v>
      </c>
      <c r="L2984" s="2" t="s">
        <v>293</v>
      </c>
      <c r="M2984" s="2" t="s">
        <v>80</v>
      </c>
      <c r="O2984" s="2" t="s">
        <v>2426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16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11"/>
        <v>0</v>
      </c>
      <c r="AG2984" s="2">
        <v>291.58999999999997</v>
      </c>
      <c r="AH2984" s="2">
        <v>450</v>
      </c>
      <c r="AJ2984" s="2">
        <f t="shared" si="412"/>
        <v>0</v>
      </c>
      <c r="AK2984" s="2">
        <f t="shared" si="417"/>
        <v>168.41000000000003</v>
      </c>
      <c r="AL2984" s="5">
        <f t="shared" si="418"/>
        <v>0.36610869565217397</v>
      </c>
    </row>
    <row r="2985" spans="1:38" x14ac:dyDescent="0.2">
      <c r="A2985" s="2">
        <v>2026</v>
      </c>
      <c r="B2985" s="2">
        <v>1</v>
      </c>
      <c r="D2985" s="2" t="s">
        <v>582</v>
      </c>
      <c r="E2985" s="2" t="s">
        <v>108</v>
      </c>
      <c r="F2985" s="2" t="s">
        <v>39</v>
      </c>
      <c r="G2985" s="2">
        <v>503850276</v>
      </c>
      <c r="H2985" s="2" t="s">
        <v>40</v>
      </c>
      <c r="I2985" s="2" t="s">
        <v>583</v>
      </c>
      <c r="J2985" s="2" t="s">
        <v>584</v>
      </c>
      <c r="L2985" s="2" t="s">
        <v>201</v>
      </c>
      <c r="M2985" s="2" t="s">
        <v>80</v>
      </c>
      <c r="P2985" s="2" t="s">
        <v>72</v>
      </c>
      <c r="Q2985" s="2" t="s">
        <v>206</v>
      </c>
      <c r="R2985" s="2" t="s">
        <v>207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416"/>
        <v>0.36610869565217397</v>
      </c>
      <c r="Z2985" s="2" t="s">
        <v>3226</v>
      </c>
      <c r="AA2985" s="2" t="s">
        <v>75</v>
      </c>
      <c r="AB2985" s="2" t="s">
        <v>76</v>
      </c>
      <c r="AC2985" s="2" t="s">
        <v>77</v>
      </c>
      <c r="AF2985" s="2">
        <f t="shared" si="411"/>
        <v>0</v>
      </c>
      <c r="AG2985" s="2">
        <v>291.58999999999997</v>
      </c>
      <c r="AH2985" s="2">
        <v>450</v>
      </c>
      <c r="AJ2985" s="2">
        <f t="shared" si="412"/>
        <v>0</v>
      </c>
      <c r="AK2985" s="2">
        <f t="shared" si="417"/>
        <v>168.41000000000003</v>
      </c>
      <c r="AL2985" s="5">
        <f t="shared" si="418"/>
        <v>0.36610869565217397</v>
      </c>
    </row>
    <row r="2986" spans="1:38" x14ac:dyDescent="0.2">
      <c r="A2986" s="2">
        <v>2026</v>
      </c>
      <c r="B2986" s="2">
        <v>1</v>
      </c>
      <c r="D2986" s="2" t="s">
        <v>585</v>
      </c>
      <c r="P2986" s="2" t="s">
        <v>84</v>
      </c>
      <c r="Q2986" s="2" t="s">
        <v>1211</v>
      </c>
      <c r="R2986" s="2" t="s">
        <v>1212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416"/>
        <v>1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11"/>
        <v>0</v>
      </c>
      <c r="AJ2986" s="2">
        <f t="shared" si="412"/>
        <v>0</v>
      </c>
      <c r="AK2986" s="2">
        <f t="shared" si="417"/>
        <v>15</v>
      </c>
      <c r="AL2986" s="5">
        <f t="shared" si="418"/>
        <v>1</v>
      </c>
    </row>
    <row r="2987" spans="1:38" x14ac:dyDescent="0.2">
      <c r="A2987" s="2">
        <v>2026</v>
      </c>
      <c r="B2987" s="2">
        <v>1</v>
      </c>
      <c r="D2987" s="2" t="s">
        <v>2427</v>
      </c>
      <c r="P2987" s="2" t="s">
        <v>84</v>
      </c>
      <c r="Q2987" s="2" t="s">
        <v>2428</v>
      </c>
      <c r="R2987" s="2" t="s">
        <v>2429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416"/>
        <v>0.22570212765957443</v>
      </c>
      <c r="Z2987" s="2" t="s">
        <v>3226</v>
      </c>
      <c r="AA2987" s="2" t="s">
        <v>87</v>
      </c>
      <c r="AB2987" s="2" t="s">
        <v>90</v>
      </c>
      <c r="AC2987" s="2" t="s">
        <v>84</v>
      </c>
      <c r="AF2987" s="2">
        <f t="shared" si="411"/>
        <v>0</v>
      </c>
      <c r="AJ2987" s="2">
        <f t="shared" si="412"/>
        <v>0</v>
      </c>
      <c r="AK2987" s="2">
        <f t="shared" si="417"/>
        <v>106.07999999999998</v>
      </c>
      <c r="AL2987" s="5">
        <f t="shared" si="418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80</v>
      </c>
      <c r="P2988" s="2" t="s">
        <v>1038</v>
      </c>
      <c r="Q2988" s="2" t="s">
        <v>2430</v>
      </c>
      <c r="R2988" s="2" t="s">
        <v>2431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416"/>
        <v>0.41707692307692307</v>
      </c>
      <c r="Z2988" s="2" t="s">
        <v>3226</v>
      </c>
      <c r="AA2988" s="2" t="s">
        <v>1041</v>
      </c>
      <c r="AB2988" s="2" t="s">
        <v>1270</v>
      </c>
      <c r="AC2988" s="2" t="s">
        <v>1038</v>
      </c>
      <c r="AF2988" s="2">
        <f t="shared" si="411"/>
        <v>0</v>
      </c>
      <c r="AJ2988" s="2">
        <f t="shared" si="412"/>
        <v>0</v>
      </c>
      <c r="AK2988" s="2">
        <f t="shared" si="417"/>
        <v>216.88</v>
      </c>
      <c r="AL2988" s="5">
        <f t="shared" si="418"/>
        <v>0.41707692307692307</v>
      </c>
    </row>
    <row r="2989" spans="1:38" x14ac:dyDescent="0.2">
      <c r="A2989" s="2">
        <v>2026</v>
      </c>
      <c r="B2989" s="2">
        <v>1</v>
      </c>
      <c r="D2989" s="2" t="s">
        <v>2432</v>
      </c>
      <c r="M2989" s="2" t="s">
        <v>80</v>
      </c>
      <c r="P2989" s="2" t="s">
        <v>1038</v>
      </c>
      <c r="Q2989" s="2" t="s">
        <v>2433</v>
      </c>
      <c r="R2989" s="2" t="s">
        <v>2434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416"/>
        <v>0.38905972109103604</v>
      </c>
      <c r="Z2989" s="2" t="s">
        <v>3226</v>
      </c>
      <c r="AA2989" s="2" t="s">
        <v>1041</v>
      </c>
      <c r="AB2989" s="2" t="s">
        <v>1318</v>
      </c>
      <c r="AC2989" s="2" t="s">
        <v>1038</v>
      </c>
      <c r="AF2989" s="2">
        <f t="shared" si="411"/>
        <v>0</v>
      </c>
      <c r="AJ2989" s="2">
        <f t="shared" si="412"/>
        <v>0</v>
      </c>
      <c r="AK2989" s="2">
        <f t="shared" si="417"/>
        <v>234.07</v>
      </c>
      <c r="AL2989" s="5">
        <f t="shared" si="418"/>
        <v>0.38905972109103604</v>
      </c>
    </row>
    <row r="2990" spans="1:38" x14ac:dyDescent="0.2">
      <c r="A2990" s="2">
        <v>2026</v>
      </c>
      <c r="B2990" s="2">
        <v>1</v>
      </c>
      <c r="D2990" s="2" t="s">
        <v>2435</v>
      </c>
      <c r="E2990" s="2" t="s">
        <v>108</v>
      </c>
      <c r="F2990" s="2" t="s">
        <v>39</v>
      </c>
      <c r="G2990" s="2">
        <v>503305464</v>
      </c>
      <c r="H2990" s="2" t="s">
        <v>41</v>
      </c>
      <c r="I2990" s="2" t="s">
        <v>2436</v>
      </c>
      <c r="J2990" s="2" t="s">
        <v>2437</v>
      </c>
      <c r="L2990" s="2" t="s">
        <v>2438</v>
      </c>
      <c r="M2990" s="2" t="s">
        <v>41</v>
      </c>
      <c r="O2990" s="2" t="s">
        <v>2439</v>
      </c>
      <c r="P2990" s="2" t="s">
        <v>40</v>
      </c>
      <c r="Q2990" s="2" t="s">
        <v>907</v>
      </c>
      <c r="R2990" s="2" t="s">
        <v>908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416"/>
        <v>0.22633333333333333</v>
      </c>
      <c r="Z2990" s="2" t="s">
        <v>104</v>
      </c>
      <c r="AA2990" s="2" t="s">
        <v>150</v>
      </c>
      <c r="AB2990" s="2" t="s">
        <v>475</v>
      </c>
      <c r="AC2990" s="2" t="s">
        <v>475</v>
      </c>
      <c r="AF2990" s="2">
        <f t="shared" si="411"/>
        <v>0</v>
      </c>
      <c r="AG2990" s="2">
        <v>1160.5</v>
      </c>
      <c r="AH2990" s="2">
        <v>1500</v>
      </c>
      <c r="AJ2990" s="2">
        <f t="shared" si="412"/>
        <v>0</v>
      </c>
      <c r="AK2990" s="2">
        <f t="shared" si="417"/>
        <v>339.5</v>
      </c>
      <c r="AL2990" s="5">
        <f t="shared" si="418"/>
        <v>0.22633333333333333</v>
      </c>
    </row>
    <row r="2991" spans="1:38" x14ac:dyDescent="0.2">
      <c r="A2991" s="2">
        <v>2026</v>
      </c>
      <c r="B2991" s="2">
        <v>1</v>
      </c>
      <c r="D2991" s="2" t="s">
        <v>488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489</v>
      </c>
      <c r="J2991" s="2" t="s">
        <v>490</v>
      </c>
      <c r="K2991" s="2">
        <v>912293443</v>
      </c>
      <c r="L2991" s="2" t="s">
        <v>99</v>
      </c>
      <c r="M2991" s="2" t="s">
        <v>40</v>
      </c>
      <c r="O2991" s="2" t="s">
        <v>2440</v>
      </c>
      <c r="P2991" s="2" t="s">
        <v>40</v>
      </c>
      <c r="Q2991" s="2" t="s">
        <v>491</v>
      </c>
      <c r="R2991" s="2" t="s">
        <v>492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416"/>
        <v>1</v>
      </c>
      <c r="Z2991" s="2" t="s">
        <v>119</v>
      </c>
      <c r="AA2991" s="2" t="s">
        <v>492</v>
      </c>
      <c r="AF2991" s="2">
        <f t="shared" si="411"/>
        <v>0</v>
      </c>
      <c r="AJ2991" s="2">
        <f t="shared" si="412"/>
        <v>0</v>
      </c>
      <c r="AK2991" s="2">
        <f t="shared" si="417"/>
        <v>664.04</v>
      </c>
      <c r="AL2991" s="5">
        <f t="shared" si="418"/>
        <v>1</v>
      </c>
    </row>
    <row r="2992" spans="1:38" x14ac:dyDescent="0.2">
      <c r="A2992" s="2">
        <v>2026</v>
      </c>
      <c r="B2992" s="2">
        <v>1</v>
      </c>
      <c r="D2992" s="2" t="s">
        <v>314</v>
      </c>
      <c r="E2992" s="2" t="s">
        <v>108</v>
      </c>
      <c r="G2992" s="2">
        <v>503270520</v>
      </c>
      <c r="H2992" s="2" t="s">
        <v>40</v>
      </c>
      <c r="I2992" s="2" t="s">
        <v>315</v>
      </c>
      <c r="J2992" s="2" t="s">
        <v>316</v>
      </c>
      <c r="L2992" s="2" t="s">
        <v>99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416"/>
        <v>1</v>
      </c>
      <c r="Z2992" s="2" t="s">
        <v>117</v>
      </c>
      <c r="AA2992" s="2" t="s">
        <v>317</v>
      </c>
      <c r="AF2992" s="2">
        <f t="shared" si="411"/>
        <v>0</v>
      </c>
      <c r="AJ2992" s="2">
        <f t="shared" si="412"/>
        <v>0</v>
      </c>
      <c r="AK2992" s="2">
        <f t="shared" si="417"/>
        <v>291</v>
      </c>
      <c r="AL2992" s="5">
        <f t="shared" si="418"/>
        <v>1</v>
      </c>
    </row>
    <row r="2993" spans="1:38" x14ac:dyDescent="0.2">
      <c r="A2993" s="2">
        <v>2026</v>
      </c>
      <c r="B2993" s="2">
        <v>1</v>
      </c>
      <c r="D2993" s="2" t="s">
        <v>1884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416"/>
        <v>1</v>
      </c>
      <c r="Z2993" s="2" t="s">
        <v>117</v>
      </c>
      <c r="AA2993" s="2" t="s">
        <v>317</v>
      </c>
      <c r="AF2993" s="2">
        <f t="shared" si="411"/>
        <v>0</v>
      </c>
      <c r="AJ2993" s="2">
        <f t="shared" si="412"/>
        <v>0</v>
      </c>
      <c r="AK2993" s="2">
        <f t="shared" si="417"/>
        <v>-850</v>
      </c>
      <c r="AL2993" s="5">
        <f t="shared" si="418"/>
        <v>1</v>
      </c>
    </row>
    <row r="2994" spans="1:38" x14ac:dyDescent="0.2">
      <c r="A2994" s="2">
        <v>2026</v>
      </c>
      <c r="B2994" s="2">
        <v>1</v>
      </c>
      <c r="C2994" s="2" t="s">
        <v>3451</v>
      </c>
      <c r="D2994" s="2" t="s">
        <v>1009</v>
      </c>
      <c r="E2994" s="2" t="s">
        <v>108</v>
      </c>
      <c r="F2994" s="2" t="s">
        <v>39</v>
      </c>
      <c r="G2994" s="2">
        <v>507063481</v>
      </c>
      <c r="H2994" s="2" t="s">
        <v>290</v>
      </c>
      <c r="I2994" s="2" t="s">
        <v>1010</v>
      </c>
      <c r="J2994" s="2" t="s">
        <v>1011</v>
      </c>
      <c r="L2994" s="2" t="s">
        <v>293</v>
      </c>
      <c r="M2994" s="2" t="s">
        <v>40</v>
      </c>
      <c r="P2994" s="2" t="s">
        <v>187</v>
      </c>
      <c r="Q2994" s="2" t="s">
        <v>317</v>
      </c>
      <c r="R2994" s="2" t="s">
        <v>318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416"/>
        <v>1</v>
      </c>
      <c r="Z2994" s="2" t="s">
        <v>117</v>
      </c>
      <c r="AA2994" s="2" t="s">
        <v>317</v>
      </c>
      <c r="AF2994" s="2">
        <f t="shared" si="411"/>
        <v>0</v>
      </c>
      <c r="AJ2994" s="2">
        <f t="shared" si="412"/>
        <v>0</v>
      </c>
      <c r="AK2994" s="2">
        <f t="shared" si="417"/>
        <v>875</v>
      </c>
      <c r="AL2994" s="5">
        <f t="shared" si="418"/>
        <v>1</v>
      </c>
    </row>
    <row r="2995" spans="1:38" x14ac:dyDescent="0.2">
      <c r="A2995" s="2">
        <v>2026</v>
      </c>
      <c r="B2995" s="2">
        <v>4</v>
      </c>
      <c r="C2995" s="2" t="s">
        <v>3443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188</v>
      </c>
      <c r="R2995" s="2" t="s">
        <v>189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117</v>
      </c>
      <c r="AA2995" s="2" t="s">
        <v>190</v>
      </c>
      <c r="AB2995" s="2" t="s">
        <v>189</v>
      </c>
      <c r="AC2995" s="2" t="s">
        <v>40</v>
      </c>
      <c r="AF2995" s="2">
        <f t="shared" si="411"/>
        <v>0</v>
      </c>
      <c r="AJ2995" s="2">
        <f t="shared" si="412"/>
        <v>0</v>
      </c>
      <c r="AK2995" s="2">
        <f t="shared" si="417"/>
        <v>0</v>
      </c>
      <c r="AL2995" s="5">
        <v>0</v>
      </c>
    </row>
    <row r="2996" spans="1:38" x14ac:dyDescent="0.2">
      <c r="A2996" s="2">
        <v>2026</v>
      </c>
      <c r="B2996" s="2">
        <v>4</v>
      </c>
      <c r="C2996" s="2" t="s">
        <v>3443</v>
      </c>
      <c r="D2996" s="2" t="s">
        <v>941</v>
      </c>
      <c r="E2996" s="2" t="s">
        <v>38</v>
      </c>
      <c r="F2996" s="2" t="s">
        <v>39</v>
      </c>
      <c r="L2996" s="2" t="s">
        <v>177</v>
      </c>
      <c r="M2996" s="2" t="s">
        <v>40</v>
      </c>
      <c r="P2996" s="2" t="s">
        <v>187</v>
      </c>
      <c r="Q2996" s="2" t="s">
        <v>191</v>
      </c>
      <c r="R2996" s="2" t="s">
        <v>190</v>
      </c>
      <c r="S2996" s="2">
        <v>0</v>
      </c>
      <c r="T2996" s="2">
        <v>0</v>
      </c>
      <c r="U2996" s="2">
        <v>0</v>
      </c>
      <c r="V2996" s="2">
        <v>0</v>
      </c>
      <c r="W2996" s="2">
        <v>0</v>
      </c>
      <c r="X2996" s="5">
        <v>0</v>
      </c>
      <c r="Z2996" s="2" t="s">
        <v>117</v>
      </c>
      <c r="AA2996" s="2" t="s">
        <v>190</v>
      </c>
      <c r="AB2996" s="2" t="s">
        <v>190</v>
      </c>
      <c r="AC2996" s="2" t="s">
        <v>40</v>
      </c>
      <c r="AF2996" s="2">
        <f t="shared" si="411"/>
        <v>0</v>
      </c>
      <c r="AG2996" s="2">
        <f>W2996</f>
        <v>0</v>
      </c>
      <c r="AJ2996" s="2">
        <f t="shared" si="412"/>
        <v>0</v>
      </c>
      <c r="AK2996" s="2">
        <f t="shared" si="417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188</v>
      </c>
      <c r="R2997" s="2" t="s">
        <v>189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117</v>
      </c>
      <c r="AA2997" s="2" t="s">
        <v>190</v>
      </c>
      <c r="AB2997" s="2" t="s">
        <v>189</v>
      </c>
      <c r="AC2997" s="2" t="s">
        <v>40</v>
      </c>
      <c r="AF2997" s="2">
        <f t="shared" si="411"/>
        <v>0</v>
      </c>
      <c r="AJ2997" s="2">
        <f t="shared" si="412"/>
        <v>0</v>
      </c>
      <c r="AK2997" s="2">
        <f t="shared" si="417"/>
        <v>33</v>
      </c>
      <c r="AL2997" s="5">
        <f>(T2997-W2997)/T2997</f>
        <v>0.6</v>
      </c>
    </row>
    <row r="2998" spans="1:38" x14ac:dyDescent="0.2">
      <c r="A2998" s="2">
        <v>2026</v>
      </c>
      <c r="B2998" s="2">
        <v>4</v>
      </c>
      <c r="D2998" s="2" t="s">
        <v>687</v>
      </c>
      <c r="E2998" s="2" t="s">
        <v>38</v>
      </c>
      <c r="F2998" s="2" t="s">
        <v>39</v>
      </c>
      <c r="G2998" s="2">
        <v>501726519</v>
      </c>
      <c r="H2998" s="2" t="s">
        <v>290</v>
      </c>
      <c r="I2998" s="2" t="s">
        <v>437</v>
      </c>
      <c r="J2998" s="2" t="s">
        <v>688</v>
      </c>
      <c r="L2998" s="2" t="s">
        <v>339</v>
      </c>
      <c r="M2998" s="2" t="s">
        <v>40</v>
      </c>
      <c r="P2998" s="2" t="s">
        <v>187</v>
      </c>
      <c r="Q2998" s="2" t="s">
        <v>191</v>
      </c>
      <c r="R2998" s="2" t="s">
        <v>190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117</v>
      </c>
      <c r="AA2998" s="2" t="s">
        <v>190</v>
      </c>
      <c r="AB2998" s="2" t="s">
        <v>190</v>
      </c>
      <c r="AC2998" s="2" t="s">
        <v>40</v>
      </c>
      <c r="AF2998" s="2">
        <f t="shared" si="411"/>
        <v>0</v>
      </c>
      <c r="AG2998" s="2">
        <f>W2998</f>
        <v>27.5</v>
      </c>
      <c r="AJ2998" s="2">
        <f t="shared" si="412"/>
        <v>0</v>
      </c>
      <c r="AK2998" s="2">
        <f t="shared" si="417"/>
        <v>27.5</v>
      </c>
      <c r="AL2998" s="5">
        <f>(T2998-W2998)/T2998</f>
        <v>0.5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188</v>
      </c>
      <c r="R2999" s="2" t="s">
        <v>189</v>
      </c>
      <c r="S2999" s="2">
        <v>-1</v>
      </c>
      <c r="T2999" s="2">
        <v>-79</v>
      </c>
      <c r="U2999" s="2">
        <v>-18.170000000000002</v>
      </c>
      <c r="V2999" s="2">
        <v>-97.17</v>
      </c>
      <c r="Z2999" s="2" t="s">
        <v>117</v>
      </c>
      <c r="AA2999" s="2" t="s">
        <v>190</v>
      </c>
      <c r="AB2999" s="2" t="s">
        <v>189</v>
      </c>
      <c r="AC2999" s="2" t="s">
        <v>40</v>
      </c>
      <c r="AF2999" s="2">
        <f t="shared" si="411"/>
        <v>0</v>
      </c>
      <c r="AJ2999" s="2">
        <f t="shared" si="412"/>
        <v>0</v>
      </c>
      <c r="AK2999" s="2">
        <f t="shared" si="417"/>
        <v>-79</v>
      </c>
      <c r="AL2999" s="5">
        <f>(T2999-W2999)/T2999</f>
        <v>1</v>
      </c>
    </row>
    <row r="3000" spans="1:38" x14ac:dyDescent="0.2">
      <c r="A3000" s="2">
        <v>2026</v>
      </c>
      <c r="B3000" s="2">
        <v>4</v>
      </c>
      <c r="D3000" s="2" t="s">
        <v>689</v>
      </c>
      <c r="E3000" s="2" t="s">
        <v>108</v>
      </c>
      <c r="F3000" s="2" t="s">
        <v>39</v>
      </c>
      <c r="G3000" s="2">
        <v>503589950</v>
      </c>
      <c r="H3000" s="2" t="s">
        <v>41</v>
      </c>
      <c r="I3000" s="2" t="s">
        <v>610</v>
      </c>
      <c r="J3000" s="2" t="s">
        <v>690</v>
      </c>
      <c r="K3000" s="2">
        <v>913036545</v>
      </c>
      <c r="L3000" s="2" t="s">
        <v>177</v>
      </c>
      <c r="M3000" s="2" t="s">
        <v>40</v>
      </c>
      <c r="O3000" s="2" t="s">
        <v>2441</v>
      </c>
      <c r="P3000" s="2" t="s">
        <v>187</v>
      </c>
      <c r="Q3000" s="2" t="s">
        <v>191</v>
      </c>
      <c r="R3000" s="2" t="s">
        <v>190</v>
      </c>
      <c r="S3000" s="2">
        <v>-2</v>
      </c>
      <c r="T3000" s="2">
        <v>-100</v>
      </c>
      <c r="U3000" s="2">
        <v>-23</v>
      </c>
      <c r="V3000" s="2">
        <v>-123</v>
      </c>
      <c r="Z3000" s="2" t="s">
        <v>117</v>
      </c>
      <c r="AA3000" s="2" t="s">
        <v>190</v>
      </c>
      <c r="AB3000" s="2" t="s">
        <v>190</v>
      </c>
      <c r="AC3000" s="2" t="s">
        <v>40</v>
      </c>
      <c r="AF3000" s="2">
        <f t="shared" si="411"/>
        <v>0</v>
      </c>
      <c r="AG3000" s="2">
        <f t="shared" ref="AG3000:AG3028" si="419">W3000</f>
        <v>0</v>
      </c>
      <c r="AJ3000" s="2">
        <f t="shared" si="412"/>
        <v>0</v>
      </c>
      <c r="AK3000" s="2">
        <f t="shared" si="417"/>
        <v>-100</v>
      </c>
    </row>
    <row r="3001" spans="1:38" x14ac:dyDescent="0.2">
      <c r="A3001" s="2">
        <v>2026</v>
      </c>
      <c r="B3001" s="2">
        <v>2</v>
      </c>
      <c r="C3001" s="2" t="s">
        <v>3320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188</v>
      </c>
      <c r="R3001" s="2" t="s">
        <v>189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117</v>
      </c>
      <c r="AA3001" s="2" t="s">
        <v>190</v>
      </c>
      <c r="AB3001" s="2" t="s">
        <v>189</v>
      </c>
      <c r="AC3001" s="2" t="s">
        <v>40</v>
      </c>
      <c r="AF3001" s="2">
        <f t="shared" si="411"/>
        <v>0</v>
      </c>
      <c r="AG3001" s="2">
        <f t="shared" si="419"/>
        <v>198.4</v>
      </c>
      <c r="AJ3001" s="2">
        <f t="shared" si="412"/>
        <v>0</v>
      </c>
      <c r="AK3001" s="2">
        <f t="shared" si="417"/>
        <v>297.60000000000002</v>
      </c>
      <c r="AL3001" s="5">
        <f>(T3001-W3001)/T3001</f>
        <v>0.60000000000000009</v>
      </c>
    </row>
    <row r="3002" spans="1:38" x14ac:dyDescent="0.2">
      <c r="A3002" s="2">
        <v>2026</v>
      </c>
      <c r="B3002" s="2">
        <v>2</v>
      </c>
      <c r="C3002" s="2" t="s">
        <v>3320</v>
      </c>
      <c r="D3002" s="2" t="s">
        <v>2442</v>
      </c>
      <c r="E3002" s="2" t="s">
        <v>108</v>
      </c>
      <c r="F3002" s="2" t="s">
        <v>39</v>
      </c>
      <c r="L3002" s="2" t="s">
        <v>398</v>
      </c>
      <c r="M3002" s="2" t="s">
        <v>40</v>
      </c>
      <c r="P3002" s="2" t="s">
        <v>187</v>
      </c>
      <c r="Q3002" s="2" t="s">
        <v>191</v>
      </c>
      <c r="R3002" s="2" t="s">
        <v>190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117</v>
      </c>
      <c r="AA3002" s="2" t="s">
        <v>190</v>
      </c>
      <c r="AB3002" s="2" t="s">
        <v>190</v>
      </c>
      <c r="AC3002" s="2" t="s">
        <v>40</v>
      </c>
      <c r="AF3002" s="2">
        <f t="shared" si="411"/>
        <v>0</v>
      </c>
      <c r="AG3002" s="2">
        <f t="shared" si="419"/>
        <v>100</v>
      </c>
      <c r="AJ3002" s="2">
        <f t="shared" si="412"/>
        <v>0</v>
      </c>
      <c r="AK3002" s="2">
        <f t="shared" si="417"/>
        <v>100</v>
      </c>
      <c r="AL3002" s="5">
        <f>(T3002-W3002)/T3002</f>
        <v>0.5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188</v>
      </c>
      <c r="R3003" s="2" t="s">
        <v>189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117</v>
      </c>
      <c r="AA3003" s="2" t="s">
        <v>190</v>
      </c>
      <c r="AB3003" s="2" t="s">
        <v>189</v>
      </c>
      <c r="AC3003" s="2" t="s">
        <v>40</v>
      </c>
      <c r="AF3003" s="2">
        <f t="shared" si="411"/>
        <v>0</v>
      </c>
      <c r="AG3003" s="2">
        <f t="shared" si="419"/>
        <v>-24.400000000000002</v>
      </c>
      <c r="AJ3003" s="2">
        <f t="shared" si="412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2443</v>
      </c>
      <c r="P3004" s="2" t="s">
        <v>187</v>
      </c>
      <c r="Q3004" s="2" t="s">
        <v>191</v>
      </c>
      <c r="R3004" s="2" t="s">
        <v>190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11"/>
        <v>0</v>
      </c>
      <c r="AG3004" s="2">
        <f t="shared" si="419"/>
        <v>0</v>
      </c>
      <c r="AJ3004" s="2">
        <f t="shared" si="412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289</v>
      </c>
      <c r="E3005" s="2" t="s">
        <v>108</v>
      </c>
      <c r="F3005" s="2" t="s">
        <v>39</v>
      </c>
      <c r="G3005" s="2">
        <v>508428300</v>
      </c>
      <c r="H3005" s="2" t="s">
        <v>290</v>
      </c>
      <c r="I3005" s="2" t="s">
        <v>291</v>
      </c>
      <c r="J3005" s="2" t="s">
        <v>292</v>
      </c>
      <c r="K3005" s="2">
        <v>917165642</v>
      </c>
      <c r="L3005" s="2" t="s">
        <v>293</v>
      </c>
      <c r="M3005" s="2" t="s">
        <v>40</v>
      </c>
      <c r="O3005" s="2" t="s">
        <v>2444</v>
      </c>
      <c r="P3005" s="2" t="s">
        <v>187</v>
      </c>
      <c r="Q3005" s="2" t="s">
        <v>191</v>
      </c>
      <c r="R3005" s="2" t="s">
        <v>190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>T3005*50%</f>
        <v>41.25</v>
      </c>
      <c r="X3005" s="5">
        <f>SIGN(T3005)*((ABS(T3005)-W3005)/ABS(T3005))</f>
        <v>0.5</v>
      </c>
      <c r="Z3005" s="2" t="s">
        <v>117</v>
      </c>
      <c r="AA3005" s="2" t="s">
        <v>190</v>
      </c>
      <c r="AB3005" s="2" t="s">
        <v>190</v>
      </c>
      <c r="AC3005" s="2" t="s">
        <v>40</v>
      </c>
      <c r="AF3005" s="2">
        <f t="shared" si="411"/>
        <v>0</v>
      </c>
      <c r="AG3005" s="2">
        <f t="shared" si="419"/>
        <v>41.25</v>
      </c>
      <c r="AJ3005" s="2">
        <f t="shared" si="412"/>
        <v>0</v>
      </c>
      <c r="AK3005" s="2">
        <f t="shared" ref="AK3005:AK3035" si="420">T3005-W3005</f>
        <v>41.25</v>
      </c>
      <c r="AL3005" s="5">
        <f t="shared" ref="AL3005:AL3035" si="421">(T3005-W3005)/T3005</f>
        <v>0.5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188</v>
      </c>
      <c r="R3006" s="2" t="s">
        <v>189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422">(T3006-W3006)/T3006</f>
        <v>0.6</v>
      </c>
      <c r="Z3006" s="2" t="s">
        <v>117</v>
      </c>
      <c r="AA3006" s="2" t="s">
        <v>190</v>
      </c>
      <c r="AB3006" s="2" t="s">
        <v>189</v>
      </c>
      <c r="AC3006" s="2" t="s">
        <v>40</v>
      </c>
      <c r="AF3006" s="2">
        <f t="shared" si="411"/>
        <v>0</v>
      </c>
      <c r="AG3006" s="2">
        <f t="shared" si="419"/>
        <v>22</v>
      </c>
      <c r="AJ3006" s="2">
        <f t="shared" si="412"/>
        <v>0</v>
      </c>
      <c r="AK3006" s="2">
        <f t="shared" si="420"/>
        <v>33</v>
      </c>
      <c r="AL3006" s="5">
        <f t="shared" si="421"/>
        <v>0.6</v>
      </c>
    </row>
    <row r="3007" spans="1:38" x14ac:dyDescent="0.2">
      <c r="A3007" s="2">
        <v>2026</v>
      </c>
      <c r="B3007" s="2">
        <v>3</v>
      </c>
      <c r="D3007" s="2" t="s">
        <v>1168</v>
      </c>
      <c r="E3007" s="2" t="s">
        <v>752</v>
      </c>
      <c r="F3007" s="2" t="s">
        <v>1169</v>
      </c>
      <c r="G3007" s="2">
        <v>505760088</v>
      </c>
      <c r="H3007" s="2" t="s">
        <v>290</v>
      </c>
      <c r="I3007" s="2" t="s">
        <v>1170</v>
      </c>
      <c r="J3007" s="2" t="s">
        <v>1171</v>
      </c>
      <c r="L3007" s="2" t="s">
        <v>339</v>
      </c>
      <c r="M3007" s="2" t="s">
        <v>40</v>
      </c>
      <c r="O3007" s="2" t="s">
        <v>2445</v>
      </c>
      <c r="P3007" s="2" t="s">
        <v>187</v>
      </c>
      <c r="Q3007" s="2" t="s">
        <v>191</v>
      </c>
      <c r="R3007" s="2" t="s">
        <v>190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422"/>
        <v>0.5</v>
      </c>
      <c r="Z3007" s="2" t="s">
        <v>117</v>
      </c>
      <c r="AA3007" s="2" t="s">
        <v>190</v>
      </c>
      <c r="AB3007" s="2" t="s">
        <v>190</v>
      </c>
      <c r="AC3007" s="2" t="s">
        <v>40</v>
      </c>
      <c r="AF3007" s="2">
        <f t="shared" si="411"/>
        <v>0</v>
      </c>
      <c r="AG3007" s="2">
        <f t="shared" si="419"/>
        <v>27.5</v>
      </c>
      <c r="AJ3007" s="2">
        <f t="shared" si="412"/>
        <v>0</v>
      </c>
      <c r="AK3007" s="2">
        <f t="shared" si="420"/>
        <v>27.5</v>
      </c>
      <c r="AL3007" s="5">
        <f t="shared" si="421"/>
        <v>0.5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188</v>
      </c>
      <c r="R3008" s="2" t="s">
        <v>189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422"/>
        <v>0.6</v>
      </c>
      <c r="Z3008" s="2" t="s">
        <v>117</v>
      </c>
      <c r="AA3008" s="2" t="s">
        <v>190</v>
      </c>
      <c r="AB3008" s="2" t="s">
        <v>189</v>
      </c>
      <c r="AC3008" s="2" t="s">
        <v>40</v>
      </c>
      <c r="AF3008" s="2">
        <f t="shared" si="411"/>
        <v>0</v>
      </c>
      <c r="AG3008" s="2">
        <f t="shared" si="419"/>
        <v>24</v>
      </c>
      <c r="AJ3008" s="2">
        <f t="shared" si="412"/>
        <v>0</v>
      </c>
      <c r="AK3008" s="2">
        <f t="shared" si="420"/>
        <v>36</v>
      </c>
      <c r="AL3008" s="5">
        <f t="shared" si="421"/>
        <v>0.6</v>
      </c>
    </row>
    <row r="3009" spans="1:38" x14ac:dyDescent="0.2">
      <c r="A3009" s="2">
        <v>2026</v>
      </c>
      <c r="B3009" s="2">
        <v>2</v>
      </c>
      <c r="D3009" s="2" t="s">
        <v>311</v>
      </c>
      <c r="E3009" s="2" t="s">
        <v>2446</v>
      </c>
      <c r="F3009" s="2" t="s">
        <v>39</v>
      </c>
      <c r="G3009" s="2">
        <v>505814030</v>
      </c>
      <c r="H3009" s="2" t="s">
        <v>290</v>
      </c>
      <c r="I3009" s="2" t="s">
        <v>2447</v>
      </c>
      <c r="J3009" s="2" t="s">
        <v>2448</v>
      </c>
      <c r="L3009" s="2" t="s">
        <v>339</v>
      </c>
      <c r="M3009" s="2" t="s">
        <v>40</v>
      </c>
      <c r="O3009" s="2" t="s">
        <v>2449</v>
      </c>
      <c r="P3009" s="2" t="s">
        <v>187</v>
      </c>
      <c r="Q3009" s="2" t="s">
        <v>191</v>
      </c>
      <c r="R3009" s="2" t="s">
        <v>190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422"/>
        <v>0.5</v>
      </c>
      <c r="Z3009" s="2" t="s">
        <v>117</v>
      </c>
      <c r="AA3009" s="2" t="s">
        <v>190</v>
      </c>
      <c r="AB3009" s="2" t="s">
        <v>190</v>
      </c>
      <c r="AC3009" s="2" t="s">
        <v>40</v>
      </c>
      <c r="AF3009" s="2">
        <f t="shared" si="411"/>
        <v>0</v>
      </c>
      <c r="AG3009" s="2">
        <f t="shared" si="419"/>
        <v>27.5</v>
      </c>
      <c r="AJ3009" s="2">
        <f t="shared" si="412"/>
        <v>0</v>
      </c>
      <c r="AK3009" s="2">
        <f t="shared" si="420"/>
        <v>27.5</v>
      </c>
      <c r="AL3009" s="5">
        <f t="shared" si="421"/>
        <v>0.5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188</v>
      </c>
      <c r="R3010" s="2" t="s">
        <v>189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422"/>
        <v>0.6</v>
      </c>
      <c r="Z3010" s="2" t="s">
        <v>117</v>
      </c>
      <c r="AA3010" s="2" t="s">
        <v>190</v>
      </c>
      <c r="AB3010" s="2" t="s">
        <v>189</v>
      </c>
      <c r="AC3010" s="2" t="s">
        <v>40</v>
      </c>
      <c r="AF3010" s="2">
        <f t="shared" ref="AF3010:AF3073" si="423">AJ3010</f>
        <v>0</v>
      </c>
      <c r="AG3010" s="2">
        <f t="shared" si="419"/>
        <v>24</v>
      </c>
      <c r="AJ3010" s="2">
        <f t="shared" ref="AJ3010:AJ3073" si="424">AI3010*T3010</f>
        <v>0</v>
      </c>
      <c r="AK3010" s="2">
        <f t="shared" si="420"/>
        <v>36</v>
      </c>
      <c r="AL3010" s="5">
        <f t="shared" si="421"/>
        <v>0.6</v>
      </c>
    </row>
    <row r="3011" spans="1:38" x14ac:dyDescent="0.2">
      <c r="A3011" s="2">
        <v>2026</v>
      </c>
      <c r="B3011" s="2">
        <v>1</v>
      </c>
      <c r="D3011" s="2" t="s">
        <v>693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327</v>
      </c>
      <c r="J3011" s="2" t="s">
        <v>695</v>
      </c>
      <c r="K3011" s="2">
        <v>917295518</v>
      </c>
      <c r="L3011" s="2" t="s">
        <v>177</v>
      </c>
      <c r="M3011" s="2" t="s">
        <v>40</v>
      </c>
      <c r="P3011" s="2" t="s">
        <v>187</v>
      </c>
      <c r="Q3011" s="2" t="s">
        <v>191</v>
      </c>
      <c r="R3011" s="2" t="s">
        <v>190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422"/>
        <v>0.5</v>
      </c>
      <c r="Z3011" s="2" t="s">
        <v>117</v>
      </c>
      <c r="AA3011" s="2" t="s">
        <v>190</v>
      </c>
      <c r="AB3011" s="2" t="s">
        <v>190</v>
      </c>
      <c r="AC3011" s="2" t="s">
        <v>40</v>
      </c>
      <c r="AF3011" s="2">
        <f t="shared" si="423"/>
        <v>0</v>
      </c>
      <c r="AG3011" s="2">
        <f t="shared" si="419"/>
        <v>37.5</v>
      </c>
      <c r="AJ3011" s="2">
        <f t="shared" si="424"/>
        <v>0</v>
      </c>
      <c r="AK3011" s="2">
        <f t="shared" si="420"/>
        <v>37.5</v>
      </c>
      <c r="AL3011" s="5">
        <f t="shared" si="421"/>
        <v>0.5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188</v>
      </c>
      <c r="R3012" s="2" t="s">
        <v>189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422"/>
        <v>0.6</v>
      </c>
      <c r="Z3012" s="2" t="s">
        <v>117</v>
      </c>
      <c r="AA3012" s="2" t="s">
        <v>190</v>
      </c>
      <c r="AB3012" s="2" t="s">
        <v>189</v>
      </c>
      <c r="AC3012" s="2" t="s">
        <v>40</v>
      </c>
      <c r="AF3012" s="2">
        <f t="shared" si="423"/>
        <v>0</v>
      </c>
      <c r="AG3012" s="2">
        <f t="shared" si="419"/>
        <v>126.80000000000001</v>
      </c>
      <c r="AJ3012" s="2">
        <f t="shared" si="424"/>
        <v>0</v>
      </c>
      <c r="AK3012" s="2">
        <f t="shared" si="420"/>
        <v>190.2</v>
      </c>
      <c r="AL3012" s="5">
        <f t="shared" si="421"/>
        <v>0.6</v>
      </c>
    </row>
    <row r="3013" spans="1:38" x14ac:dyDescent="0.2">
      <c r="A3013" s="2">
        <v>2026</v>
      </c>
      <c r="B3013" s="2">
        <v>4</v>
      </c>
      <c r="D3013" s="2" t="s">
        <v>715</v>
      </c>
      <c r="E3013" s="2" t="s">
        <v>108</v>
      </c>
      <c r="F3013" s="2" t="s">
        <v>39</v>
      </c>
      <c r="L3013" s="2" t="s">
        <v>344</v>
      </c>
      <c r="M3013" s="2" t="s">
        <v>40</v>
      </c>
      <c r="P3013" s="2" t="s">
        <v>187</v>
      </c>
      <c r="Q3013" s="2" t="s">
        <v>191</v>
      </c>
      <c r="R3013" s="2" t="s">
        <v>190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422"/>
        <v>0.5</v>
      </c>
      <c r="Z3013" s="2" t="s">
        <v>117</v>
      </c>
      <c r="AA3013" s="2" t="s">
        <v>190</v>
      </c>
      <c r="AB3013" s="2" t="s">
        <v>190</v>
      </c>
      <c r="AC3013" s="2" t="s">
        <v>40</v>
      </c>
      <c r="AF3013" s="2">
        <f t="shared" si="423"/>
        <v>0</v>
      </c>
      <c r="AG3013" s="2">
        <f t="shared" si="419"/>
        <v>27.5</v>
      </c>
      <c r="AJ3013" s="2">
        <f t="shared" si="424"/>
        <v>0</v>
      </c>
      <c r="AK3013" s="2">
        <f t="shared" si="420"/>
        <v>27.5</v>
      </c>
      <c r="AL3013" s="5">
        <f t="shared" si="421"/>
        <v>0.5</v>
      </c>
    </row>
    <row r="3014" spans="1:38" x14ac:dyDescent="0.2">
      <c r="A3014" s="2">
        <v>2026</v>
      </c>
      <c r="B3014" s="2">
        <v>1</v>
      </c>
      <c r="D3014" s="2" t="s">
        <v>314</v>
      </c>
      <c r="E3014" s="2" t="s">
        <v>108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188</v>
      </c>
      <c r="R3014" s="2" t="s">
        <v>189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117</v>
      </c>
      <c r="AA3014" s="2" t="s">
        <v>190</v>
      </c>
      <c r="AB3014" s="2" t="s">
        <v>189</v>
      </c>
      <c r="AC3014" s="2" t="s">
        <v>40</v>
      </c>
      <c r="AF3014" s="2">
        <f t="shared" si="423"/>
        <v>0</v>
      </c>
      <c r="AG3014" s="2">
        <f t="shared" si="419"/>
        <v>-15</v>
      </c>
      <c r="AJ3014" s="2">
        <f t="shared" si="424"/>
        <v>0</v>
      </c>
      <c r="AK3014" s="2">
        <f t="shared" si="420"/>
        <v>-22.5</v>
      </c>
      <c r="AL3014" s="5">
        <f t="shared" si="421"/>
        <v>0.6</v>
      </c>
    </row>
    <row r="3015" spans="1:38" x14ac:dyDescent="0.2">
      <c r="A3015" s="2">
        <v>2026</v>
      </c>
      <c r="B3015" s="2">
        <v>1</v>
      </c>
      <c r="D3015" s="2" t="s">
        <v>314</v>
      </c>
      <c r="E3015" s="2" t="s">
        <v>108</v>
      </c>
      <c r="G3015" s="2">
        <v>503270520</v>
      </c>
      <c r="H3015" s="2" t="s">
        <v>40</v>
      </c>
      <c r="I3015" s="2" t="s">
        <v>315</v>
      </c>
      <c r="J3015" s="2" t="s">
        <v>316</v>
      </c>
      <c r="L3015" s="2" t="s">
        <v>99</v>
      </c>
      <c r="M3015" s="2" t="s">
        <v>40</v>
      </c>
      <c r="P3015" s="2" t="s">
        <v>187</v>
      </c>
      <c r="Q3015" s="2" t="s">
        <v>191</v>
      </c>
      <c r="R3015" s="2" t="s">
        <v>190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117</v>
      </c>
      <c r="AA3015" s="2" t="s">
        <v>190</v>
      </c>
      <c r="AB3015" s="2" t="s">
        <v>190</v>
      </c>
      <c r="AC3015" s="2" t="s">
        <v>40</v>
      </c>
      <c r="AF3015" s="2">
        <f t="shared" si="423"/>
        <v>0</v>
      </c>
      <c r="AG3015" s="2">
        <f t="shared" si="419"/>
        <v>0</v>
      </c>
      <c r="AJ3015" s="2">
        <f t="shared" si="424"/>
        <v>0</v>
      </c>
      <c r="AK3015" s="2">
        <f t="shared" si="420"/>
        <v>-36</v>
      </c>
      <c r="AL3015" s="5">
        <f t="shared" si="421"/>
        <v>1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188</v>
      </c>
      <c r="R3016" s="2" t="s">
        <v>189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425">(T3016-W3016)/T3016</f>
        <v>0.6</v>
      </c>
      <c r="Z3016" s="2" t="s">
        <v>117</v>
      </c>
      <c r="AA3016" s="2" t="s">
        <v>190</v>
      </c>
      <c r="AB3016" s="2" t="s">
        <v>189</v>
      </c>
      <c r="AC3016" s="2" t="s">
        <v>40</v>
      </c>
      <c r="AF3016" s="2">
        <f t="shared" si="423"/>
        <v>0</v>
      </c>
      <c r="AG3016" s="2">
        <f t="shared" si="419"/>
        <v>20</v>
      </c>
      <c r="AJ3016" s="2">
        <f t="shared" si="424"/>
        <v>0</v>
      </c>
      <c r="AK3016" s="2">
        <f t="shared" si="420"/>
        <v>30</v>
      </c>
      <c r="AL3016" s="5">
        <f t="shared" si="421"/>
        <v>0.6</v>
      </c>
    </row>
    <row r="3017" spans="1:38" x14ac:dyDescent="0.2">
      <c r="A3017" s="2">
        <v>2026</v>
      </c>
      <c r="B3017" s="2">
        <v>1</v>
      </c>
      <c r="D3017" s="2" t="s">
        <v>973</v>
      </c>
      <c r="M3017" s="2" t="s">
        <v>40</v>
      </c>
      <c r="P3017" s="2" t="s">
        <v>187</v>
      </c>
      <c r="Q3017" s="2" t="s">
        <v>191</v>
      </c>
      <c r="R3017" s="2" t="s">
        <v>190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425"/>
        <v>0.5</v>
      </c>
      <c r="Z3017" s="2" t="s">
        <v>117</v>
      </c>
      <c r="AA3017" s="2" t="s">
        <v>190</v>
      </c>
      <c r="AB3017" s="2" t="s">
        <v>190</v>
      </c>
      <c r="AC3017" s="2" t="s">
        <v>40</v>
      </c>
      <c r="AF3017" s="2">
        <f t="shared" si="423"/>
        <v>0</v>
      </c>
      <c r="AG3017" s="2">
        <f t="shared" si="419"/>
        <v>25</v>
      </c>
      <c r="AJ3017" s="2">
        <f t="shared" si="424"/>
        <v>0</v>
      </c>
      <c r="AK3017" s="2">
        <f t="shared" si="420"/>
        <v>25</v>
      </c>
      <c r="AL3017" s="5">
        <f t="shared" si="421"/>
        <v>0.5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188</v>
      </c>
      <c r="R3018" s="2" t="s">
        <v>189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425"/>
        <v>0.6</v>
      </c>
      <c r="Z3018" s="2" t="s">
        <v>117</v>
      </c>
      <c r="AA3018" s="2" t="s">
        <v>190</v>
      </c>
      <c r="AB3018" s="2" t="s">
        <v>189</v>
      </c>
      <c r="AC3018" s="2" t="s">
        <v>40</v>
      </c>
      <c r="AF3018" s="2">
        <f t="shared" si="423"/>
        <v>0</v>
      </c>
      <c r="AG3018" s="2">
        <f t="shared" si="419"/>
        <v>41.6</v>
      </c>
      <c r="AJ3018" s="2">
        <f t="shared" si="424"/>
        <v>0</v>
      </c>
      <c r="AK3018" s="2">
        <f t="shared" si="420"/>
        <v>62.4</v>
      </c>
      <c r="AL3018" s="5">
        <f t="shared" si="421"/>
        <v>0.6</v>
      </c>
    </row>
    <row r="3019" spans="1:38" x14ac:dyDescent="0.2">
      <c r="A3019" s="2">
        <v>2026</v>
      </c>
      <c r="B3019" s="2">
        <v>3</v>
      </c>
      <c r="D3019" s="2" t="s">
        <v>2450</v>
      </c>
      <c r="M3019" s="2" t="s">
        <v>40</v>
      </c>
      <c r="P3019" s="2" t="s">
        <v>187</v>
      </c>
      <c r="Q3019" s="2" t="s">
        <v>191</v>
      </c>
      <c r="R3019" s="2" t="s">
        <v>190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425"/>
        <v>0.5</v>
      </c>
      <c r="Z3019" s="2" t="s">
        <v>117</v>
      </c>
      <c r="AA3019" s="2" t="s">
        <v>190</v>
      </c>
      <c r="AB3019" s="2" t="s">
        <v>190</v>
      </c>
      <c r="AC3019" s="2" t="s">
        <v>40</v>
      </c>
      <c r="AF3019" s="2">
        <f t="shared" si="423"/>
        <v>0</v>
      </c>
      <c r="AG3019" s="2">
        <f t="shared" si="419"/>
        <v>27.5</v>
      </c>
      <c r="AJ3019" s="2">
        <f t="shared" si="424"/>
        <v>0</v>
      </c>
      <c r="AK3019" s="2">
        <f t="shared" si="420"/>
        <v>27.5</v>
      </c>
      <c r="AL3019" s="5">
        <f t="shared" si="421"/>
        <v>0.5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188</v>
      </c>
      <c r="R3020" s="2" t="s">
        <v>189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425"/>
        <v>0.6</v>
      </c>
      <c r="Z3020" s="2" t="s">
        <v>117</v>
      </c>
      <c r="AA3020" s="2" t="s">
        <v>190</v>
      </c>
      <c r="AB3020" s="2" t="s">
        <v>189</v>
      </c>
      <c r="AC3020" s="2" t="s">
        <v>40</v>
      </c>
      <c r="AF3020" s="2">
        <f t="shared" si="423"/>
        <v>0</v>
      </c>
      <c r="AG3020" s="2">
        <f t="shared" si="419"/>
        <v>31.6</v>
      </c>
      <c r="AJ3020" s="2">
        <f t="shared" si="424"/>
        <v>0</v>
      </c>
      <c r="AK3020" s="2">
        <f t="shared" si="420"/>
        <v>47.4</v>
      </c>
      <c r="AL3020" s="5">
        <f t="shared" si="421"/>
        <v>0.6</v>
      </c>
    </row>
    <row r="3021" spans="1:38" x14ac:dyDescent="0.2">
      <c r="A3021" s="2">
        <v>2026</v>
      </c>
      <c r="B3021" s="2">
        <v>3</v>
      </c>
      <c r="D3021" s="2" t="s">
        <v>1764</v>
      </c>
      <c r="M3021" s="2" t="s">
        <v>40</v>
      </c>
      <c r="P3021" s="2" t="s">
        <v>187</v>
      </c>
      <c r="Q3021" s="2" t="s">
        <v>191</v>
      </c>
      <c r="R3021" s="2" t="s">
        <v>190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425"/>
        <v>0.5</v>
      </c>
      <c r="Z3021" s="2" t="s">
        <v>117</v>
      </c>
      <c r="AA3021" s="2" t="s">
        <v>190</v>
      </c>
      <c r="AB3021" s="2" t="s">
        <v>190</v>
      </c>
      <c r="AC3021" s="2" t="s">
        <v>40</v>
      </c>
      <c r="AF3021" s="2">
        <f t="shared" si="423"/>
        <v>0</v>
      </c>
      <c r="AG3021" s="2">
        <f t="shared" si="419"/>
        <v>55</v>
      </c>
      <c r="AJ3021" s="2">
        <f t="shared" si="424"/>
        <v>0</v>
      </c>
      <c r="AK3021" s="2">
        <f t="shared" si="420"/>
        <v>55</v>
      </c>
      <c r="AL3021" s="5">
        <f t="shared" si="421"/>
        <v>0.5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188</v>
      </c>
      <c r="R3022" s="2" t="s">
        <v>189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425"/>
        <v>0.6</v>
      </c>
      <c r="Z3022" s="2" t="s">
        <v>117</v>
      </c>
      <c r="AA3022" s="2" t="s">
        <v>190</v>
      </c>
      <c r="AB3022" s="2" t="s">
        <v>189</v>
      </c>
      <c r="AC3022" s="2" t="s">
        <v>40</v>
      </c>
      <c r="AF3022" s="2">
        <f t="shared" si="423"/>
        <v>0</v>
      </c>
      <c r="AG3022" s="2">
        <f t="shared" si="419"/>
        <v>138</v>
      </c>
      <c r="AJ3022" s="2">
        <f t="shared" si="424"/>
        <v>0</v>
      </c>
      <c r="AK3022" s="2">
        <f t="shared" si="420"/>
        <v>207</v>
      </c>
      <c r="AL3022" s="5">
        <f t="shared" si="421"/>
        <v>0.6</v>
      </c>
    </row>
    <row r="3023" spans="1:38" x14ac:dyDescent="0.2">
      <c r="A3023" s="2">
        <v>2026</v>
      </c>
      <c r="B3023" s="2">
        <v>1</v>
      </c>
      <c r="D3023" s="2" t="s">
        <v>1992</v>
      </c>
      <c r="M3023" s="2" t="s">
        <v>40</v>
      </c>
      <c r="P3023" s="2" t="s">
        <v>187</v>
      </c>
      <c r="Q3023" s="2" t="s">
        <v>191</v>
      </c>
      <c r="R3023" s="2" t="s">
        <v>190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425"/>
        <v>0.5</v>
      </c>
      <c r="Z3023" s="2" t="s">
        <v>117</v>
      </c>
      <c r="AA3023" s="2" t="s">
        <v>190</v>
      </c>
      <c r="AB3023" s="2" t="s">
        <v>190</v>
      </c>
      <c r="AC3023" s="2" t="s">
        <v>40</v>
      </c>
      <c r="AF3023" s="2">
        <f t="shared" si="423"/>
        <v>0</v>
      </c>
      <c r="AG3023" s="2">
        <f t="shared" si="419"/>
        <v>150</v>
      </c>
      <c r="AJ3023" s="2">
        <f t="shared" si="424"/>
        <v>0</v>
      </c>
      <c r="AK3023" s="2">
        <f t="shared" si="420"/>
        <v>150</v>
      </c>
      <c r="AL3023" s="5">
        <f t="shared" si="421"/>
        <v>0.5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188</v>
      </c>
      <c r="R3024" s="2" t="s">
        <v>189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425"/>
        <v>0.6</v>
      </c>
      <c r="Z3024" s="2" t="s">
        <v>117</v>
      </c>
      <c r="AA3024" s="2" t="s">
        <v>190</v>
      </c>
      <c r="AB3024" s="2" t="s">
        <v>189</v>
      </c>
      <c r="AC3024" s="2" t="s">
        <v>40</v>
      </c>
      <c r="AF3024" s="2">
        <f t="shared" si="423"/>
        <v>0</v>
      </c>
      <c r="AG3024" s="2">
        <f t="shared" si="419"/>
        <v>54</v>
      </c>
      <c r="AJ3024" s="2">
        <f t="shared" si="424"/>
        <v>0</v>
      </c>
      <c r="AK3024" s="2">
        <f t="shared" si="420"/>
        <v>81</v>
      </c>
      <c r="AL3024" s="5">
        <f t="shared" si="421"/>
        <v>0.6</v>
      </c>
    </row>
    <row r="3025" spans="1:38" x14ac:dyDescent="0.2">
      <c r="A3025" s="2">
        <v>2026</v>
      </c>
      <c r="B3025" s="2">
        <v>2</v>
      </c>
      <c r="D3025" s="2" t="s">
        <v>2451</v>
      </c>
      <c r="E3025" s="2" t="s">
        <v>108</v>
      </c>
      <c r="F3025" s="2" t="s">
        <v>39</v>
      </c>
      <c r="G3025" s="2">
        <v>513015213</v>
      </c>
      <c r="H3025" s="2" t="s">
        <v>109</v>
      </c>
      <c r="I3025" s="2" t="s">
        <v>2452</v>
      </c>
      <c r="J3025" s="2" t="s">
        <v>2453</v>
      </c>
      <c r="K3025" s="2">
        <v>967554174</v>
      </c>
      <c r="L3025" s="2" t="s">
        <v>133</v>
      </c>
      <c r="M3025" s="2" t="s">
        <v>40</v>
      </c>
      <c r="O3025" s="2" t="s">
        <v>2454</v>
      </c>
      <c r="P3025" s="2" t="s">
        <v>187</v>
      </c>
      <c r="Q3025" s="2" t="s">
        <v>191</v>
      </c>
      <c r="R3025" s="2" t="s">
        <v>190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425"/>
        <v>0.5</v>
      </c>
      <c r="Z3025" s="2" t="s">
        <v>117</v>
      </c>
      <c r="AA3025" s="2" t="s">
        <v>190</v>
      </c>
      <c r="AB3025" s="2" t="s">
        <v>190</v>
      </c>
      <c r="AC3025" s="2" t="s">
        <v>40</v>
      </c>
      <c r="AF3025" s="2">
        <f t="shared" si="423"/>
        <v>0</v>
      </c>
      <c r="AG3025" s="2">
        <f t="shared" si="419"/>
        <v>50</v>
      </c>
      <c r="AJ3025" s="2">
        <f t="shared" si="424"/>
        <v>0</v>
      </c>
      <c r="AK3025" s="2">
        <f t="shared" si="420"/>
        <v>50</v>
      </c>
      <c r="AL3025" s="5">
        <f t="shared" si="421"/>
        <v>0.5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188</v>
      </c>
      <c r="R3026" s="2" t="s">
        <v>189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425"/>
        <v>0.6</v>
      </c>
      <c r="Z3026" s="2" t="s">
        <v>117</v>
      </c>
      <c r="AA3026" s="2" t="s">
        <v>190</v>
      </c>
      <c r="AB3026" s="2" t="s">
        <v>189</v>
      </c>
      <c r="AC3026" s="2" t="s">
        <v>40</v>
      </c>
      <c r="AF3026" s="2">
        <f t="shared" si="423"/>
        <v>0</v>
      </c>
      <c r="AG3026" s="2">
        <f t="shared" si="419"/>
        <v>24</v>
      </c>
      <c r="AJ3026" s="2">
        <f t="shared" si="424"/>
        <v>0</v>
      </c>
      <c r="AK3026" s="2">
        <f t="shared" si="420"/>
        <v>36</v>
      </c>
      <c r="AL3026" s="5">
        <f t="shared" si="421"/>
        <v>0.6</v>
      </c>
    </row>
    <row r="3027" spans="1:38" x14ac:dyDescent="0.2">
      <c r="A3027" s="2">
        <v>2026</v>
      </c>
      <c r="B3027" s="2">
        <v>4</v>
      </c>
      <c r="D3027" s="2" t="s">
        <v>336</v>
      </c>
      <c r="E3027" s="2" t="s">
        <v>108</v>
      </c>
      <c r="F3027" s="2" t="s">
        <v>39</v>
      </c>
      <c r="G3027" s="2">
        <v>503373494</v>
      </c>
      <c r="H3027" s="2" t="s">
        <v>290</v>
      </c>
      <c r="I3027" s="2" t="s">
        <v>337</v>
      </c>
      <c r="J3027" s="2" t="s">
        <v>338</v>
      </c>
      <c r="K3027" s="2">
        <v>965852001</v>
      </c>
      <c r="L3027" s="2" t="s">
        <v>339</v>
      </c>
      <c r="M3027" s="2" t="s">
        <v>40</v>
      </c>
      <c r="P3027" s="2" t="s">
        <v>187</v>
      </c>
      <c r="Q3027" s="2" t="s">
        <v>191</v>
      </c>
      <c r="R3027" s="2" t="s">
        <v>190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425"/>
        <v>0.5</v>
      </c>
      <c r="Z3027" s="2" t="s">
        <v>117</v>
      </c>
      <c r="AA3027" s="2" t="s">
        <v>190</v>
      </c>
      <c r="AB3027" s="2" t="s">
        <v>190</v>
      </c>
      <c r="AC3027" s="2" t="s">
        <v>40</v>
      </c>
      <c r="AF3027" s="2">
        <f t="shared" si="423"/>
        <v>0</v>
      </c>
      <c r="AG3027" s="2">
        <f t="shared" si="419"/>
        <v>55</v>
      </c>
      <c r="AJ3027" s="2">
        <f t="shared" si="424"/>
        <v>0</v>
      </c>
      <c r="AK3027" s="2">
        <f t="shared" si="420"/>
        <v>55</v>
      </c>
      <c r="AL3027" s="5">
        <f t="shared" si="421"/>
        <v>0.5</v>
      </c>
    </row>
    <row r="3028" spans="1:38" x14ac:dyDescent="0.2">
      <c r="A3028" s="2">
        <v>2026</v>
      </c>
      <c r="B3028" s="2">
        <v>3</v>
      </c>
      <c r="D3028" s="2" t="s">
        <v>741</v>
      </c>
      <c r="M3028" s="2" t="s">
        <v>40</v>
      </c>
      <c r="P3028" s="2" t="s">
        <v>187</v>
      </c>
      <c r="Q3028" s="2" t="s">
        <v>188</v>
      </c>
      <c r="R3028" s="2" t="s">
        <v>189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425"/>
        <v>0.59999999999999987</v>
      </c>
      <c r="Z3028" s="2" t="s">
        <v>117</v>
      </c>
      <c r="AA3028" s="2" t="s">
        <v>190</v>
      </c>
      <c r="AB3028" s="2" t="s">
        <v>189</v>
      </c>
      <c r="AC3028" s="2" t="s">
        <v>40</v>
      </c>
      <c r="AF3028" s="2">
        <f t="shared" si="423"/>
        <v>0</v>
      </c>
      <c r="AG3028" s="2">
        <f t="shared" si="419"/>
        <v>44.800000000000004</v>
      </c>
      <c r="AJ3028" s="2">
        <f t="shared" si="424"/>
        <v>0</v>
      </c>
      <c r="AK3028" s="2">
        <f t="shared" si="420"/>
        <v>67.199999999999989</v>
      </c>
      <c r="AL3028" s="5">
        <f t="shared" si="421"/>
        <v>0.59999999999999987</v>
      </c>
    </row>
    <row r="3029" spans="1:38" x14ac:dyDescent="0.2">
      <c r="A3029" s="2">
        <v>2026</v>
      </c>
      <c r="B3029" s="2">
        <v>1</v>
      </c>
      <c r="D3029" s="2" t="s">
        <v>2214</v>
      </c>
      <c r="M3029" s="2" t="s">
        <v>41</v>
      </c>
      <c r="P3029" s="2" t="s">
        <v>169</v>
      </c>
      <c r="Q3029" s="2" t="s">
        <v>170</v>
      </c>
      <c r="R3029" s="2" t="s">
        <v>170</v>
      </c>
      <c r="S3029" s="2">
        <v>1</v>
      </c>
      <c r="T3029" s="2">
        <v>8</v>
      </c>
      <c r="U3029" s="2">
        <v>1.84</v>
      </c>
      <c r="V3029" s="2">
        <v>9.84</v>
      </c>
      <c r="W3029" s="2">
        <v>6</v>
      </c>
      <c r="X3029" s="5">
        <f t="shared" si="425"/>
        <v>0.25</v>
      </c>
      <c r="Z3029" s="2" t="s">
        <v>169</v>
      </c>
      <c r="AA3029" s="2" t="s">
        <v>169</v>
      </c>
      <c r="AF3029" s="2">
        <f t="shared" si="423"/>
        <v>0</v>
      </c>
      <c r="AJ3029" s="2">
        <f t="shared" si="424"/>
        <v>0</v>
      </c>
      <c r="AK3029" s="2">
        <f t="shared" si="420"/>
        <v>2</v>
      </c>
      <c r="AL3029" s="5">
        <f t="shared" si="421"/>
        <v>0.25</v>
      </c>
    </row>
    <row r="3030" spans="1:38" x14ac:dyDescent="0.2">
      <c r="A3030" s="2">
        <v>2026</v>
      </c>
      <c r="B3030" s="2">
        <v>1</v>
      </c>
      <c r="D3030" s="2" t="s">
        <v>1178</v>
      </c>
      <c r="E3030" s="2" t="s">
        <v>38</v>
      </c>
      <c r="G3030" s="2">
        <v>502089075</v>
      </c>
      <c r="H3030" s="2" t="s">
        <v>41</v>
      </c>
      <c r="I3030" s="2" t="s">
        <v>1179</v>
      </c>
      <c r="J3030" s="2" t="s">
        <v>1180</v>
      </c>
      <c r="L3030" s="2" t="s">
        <v>461</v>
      </c>
      <c r="M3030" s="2" t="s">
        <v>41</v>
      </c>
      <c r="O3030" s="2" t="s">
        <v>2455</v>
      </c>
      <c r="P3030" s="2" t="s">
        <v>169</v>
      </c>
      <c r="Q3030" s="2" t="s">
        <v>170</v>
      </c>
      <c r="R3030" s="2" t="s">
        <v>170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f>6*2</f>
        <v>12</v>
      </c>
      <c r="X3030" s="5">
        <f t="shared" si="425"/>
        <v>-0.2</v>
      </c>
      <c r="Z3030" s="2" t="s">
        <v>169</v>
      </c>
      <c r="AA3030" s="2" t="s">
        <v>169</v>
      </c>
      <c r="AF3030" s="2">
        <f t="shared" si="423"/>
        <v>0</v>
      </c>
      <c r="AJ3030" s="2">
        <f t="shared" si="424"/>
        <v>0</v>
      </c>
      <c r="AK3030" s="2">
        <f t="shared" si="420"/>
        <v>-2</v>
      </c>
      <c r="AL3030" s="5">
        <f t="shared" si="421"/>
        <v>-0.2</v>
      </c>
    </row>
    <row r="3031" spans="1:38" x14ac:dyDescent="0.2">
      <c r="A3031" s="2">
        <v>2026</v>
      </c>
      <c r="B3031" s="2">
        <v>1</v>
      </c>
      <c r="D3031" s="2" t="s">
        <v>394</v>
      </c>
      <c r="E3031" s="2" t="s">
        <v>108</v>
      </c>
      <c r="F3031" s="2" t="s">
        <v>395</v>
      </c>
      <c r="G3031" s="2">
        <v>501787160</v>
      </c>
      <c r="H3031" s="2" t="s">
        <v>41</v>
      </c>
      <c r="I3031" s="2" t="s">
        <v>396</v>
      </c>
      <c r="J3031" s="2" t="s">
        <v>397</v>
      </c>
      <c r="L3031" s="2" t="s">
        <v>398</v>
      </c>
      <c r="M3031" s="2" t="s">
        <v>41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25"/>
        <v>-0.2</v>
      </c>
      <c r="Z3031" s="2" t="s">
        <v>169</v>
      </c>
      <c r="AA3031" s="2" t="s">
        <v>169</v>
      </c>
      <c r="AF3031" s="2">
        <f t="shared" si="423"/>
        <v>0</v>
      </c>
      <c r="AJ3031" s="2">
        <f t="shared" si="424"/>
        <v>0</v>
      </c>
      <c r="AK3031" s="2">
        <f t="shared" si="420"/>
        <v>-1</v>
      </c>
      <c r="AL3031" s="5">
        <f t="shared" si="421"/>
        <v>-0.2</v>
      </c>
    </row>
    <row r="3032" spans="1:38" x14ac:dyDescent="0.2">
      <c r="A3032" s="2">
        <v>2026</v>
      </c>
      <c r="B3032" s="2">
        <v>1</v>
      </c>
      <c r="D3032" s="2" t="s">
        <v>843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418</v>
      </c>
      <c r="K3032" s="2" t="s">
        <v>844</v>
      </c>
      <c r="L3032" s="2" t="s">
        <v>418</v>
      </c>
      <c r="M3032" s="2" t="s">
        <v>41</v>
      </c>
      <c r="O3032" s="2" t="s">
        <v>2370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5</v>
      </c>
      <c r="U3032" s="2">
        <v>1.1499999999999999</v>
      </c>
      <c r="V3032" s="2">
        <v>6.15</v>
      </c>
      <c r="W3032" s="2">
        <v>6</v>
      </c>
      <c r="X3032" s="5">
        <f t="shared" si="425"/>
        <v>-0.2</v>
      </c>
      <c r="Z3032" s="2" t="s">
        <v>169</v>
      </c>
      <c r="AA3032" s="2" t="s">
        <v>169</v>
      </c>
      <c r="AF3032" s="2">
        <f t="shared" si="423"/>
        <v>0</v>
      </c>
      <c r="AJ3032" s="2">
        <f t="shared" si="424"/>
        <v>0</v>
      </c>
      <c r="AK3032" s="2">
        <f t="shared" si="420"/>
        <v>-1</v>
      </c>
      <c r="AL3032" s="5">
        <f t="shared" si="421"/>
        <v>-0.2</v>
      </c>
    </row>
    <row r="3033" spans="1:38" x14ac:dyDescent="0.2">
      <c r="A3033" s="2">
        <v>2026</v>
      </c>
      <c r="B3033" s="2">
        <v>1</v>
      </c>
      <c r="D3033" s="2" t="s">
        <v>1290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W3033" s="2">
        <v>6</v>
      </c>
      <c r="X3033" s="5">
        <f t="shared" si="425"/>
        <v>-0.33333333333333331</v>
      </c>
      <c r="Z3033" s="2" t="s">
        <v>169</v>
      </c>
      <c r="AA3033" s="2" t="s">
        <v>169</v>
      </c>
      <c r="AF3033" s="2">
        <f t="shared" si="423"/>
        <v>0</v>
      </c>
      <c r="AJ3033" s="2">
        <f t="shared" si="424"/>
        <v>0</v>
      </c>
      <c r="AK3033" s="2">
        <f t="shared" si="420"/>
        <v>-1.5</v>
      </c>
      <c r="AL3033" s="5">
        <f t="shared" si="421"/>
        <v>-0.33333333333333331</v>
      </c>
    </row>
    <row r="3034" spans="1:38" x14ac:dyDescent="0.2">
      <c r="A3034" s="2">
        <v>2026</v>
      </c>
      <c r="B3034" s="2">
        <v>1</v>
      </c>
      <c r="D3034" s="2" t="s">
        <v>1098</v>
      </c>
      <c r="M3034" s="2" t="s">
        <v>40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100</v>
      </c>
      <c r="U3034" s="2">
        <v>23</v>
      </c>
      <c r="V3034" s="2">
        <v>123</v>
      </c>
      <c r="W3034" s="2">
        <v>150</v>
      </c>
      <c r="X3034" s="5">
        <f t="shared" si="425"/>
        <v>-0.5</v>
      </c>
      <c r="Z3034" s="2" t="s">
        <v>169</v>
      </c>
      <c r="AA3034" s="2" t="s">
        <v>169</v>
      </c>
      <c r="AF3034" s="2">
        <f t="shared" si="423"/>
        <v>0</v>
      </c>
      <c r="AJ3034" s="2">
        <f t="shared" si="424"/>
        <v>0</v>
      </c>
      <c r="AK3034" s="2">
        <f t="shared" si="420"/>
        <v>-50</v>
      </c>
      <c r="AL3034" s="5">
        <f t="shared" si="421"/>
        <v>-0.5</v>
      </c>
    </row>
    <row r="3035" spans="1:38" x14ac:dyDescent="0.2">
      <c r="A3035" s="2">
        <v>2026</v>
      </c>
      <c r="B3035" s="2">
        <v>1</v>
      </c>
      <c r="D3035" s="2" t="s">
        <v>2372</v>
      </c>
      <c r="P3035" s="2" t="s">
        <v>169</v>
      </c>
      <c r="Q3035" s="2" t="s">
        <v>170</v>
      </c>
      <c r="R3035" s="2" t="s">
        <v>170</v>
      </c>
      <c r="S3035" s="2">
        <v>1</v>
      </c>
      <c r="T3035" s="2">
        <v>8</v>
      </c>
      <c r="U3035" s="2">
        <v>1.84</v>
      </c>
      <c r="V3035" s="2">
        <v>9.84</v>
      </c>
      <c r="W3035" s="2">
        <v>6</v>
      </c>
      <c r="X3035" s="5">
        <f t="shared" si="425"/>
        <v>0.25</v>
      </c>
      <c r="Z3035" s="2" t="s">
        <v>169</v>
      </c>
      <c r="AA3035" s="2" t="s">
        <v>169</v>
      </c>
      <c r="AF3035" s="2">
        <f t="shared" si="423"/>
        <v>0</v>
      </c>
      <c r="AJ3035" s="2">
        <f t="shared" si="424"/>
        <v>0</v>
      </c>
      <c r="AK3035" s="2">
        <f t="shared" si="420"/>
        <v>2</v>
      </c>
      <c r="AL3035" s="5">
        <f t="shared" si="421"/>
        <v>0.25</v>
      </c>
    </row>
    <row r="3036" spans="1:38" x14ac:dyDescent="0.2">
      <c r="A3036" s="2">
        <v>2026</v>
      </c>
      <c r="B3036" s="2">
        <v>1</v>
      </c>
      <c r="D3036" s="2" t="s">
        <v>530</v>
      </c>
      <c r="E3036" s="2" t="s">
        <v>108</v>
      </c>
      <c r="F3036" s="2" t="s">
        <v>531</v>
      </c>
      <c r="G3036" s="2">
        <v>502139552</v>
      </c>
      <c r="H3036" s="2" t="s">
        <v>40</v>
      </c>
      <c r="I3036" s="2" t="s">
        <v>339</v>
      </c>
      <c r="J3036" s="2" t="s">
        <v>532</v>
      </c>
      <c r="L3036" s="2" t="s">
        <v>339</v>
      </c>
      <c r="M3036" s="2" t="s">
        <v>40</v>
      </c>
      <c r="P3036" s="2" t="s">
        <v>40</v>
      </c>
      <c r="Q3036" s="2" t="s">
        <v>140</v>
      </c>
      <c r="R3036" s="2" t="s">
        <v>141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119</v>
      </c>
      <c r="AA3036" s="2" t="s">
        <v>142</v>
      </c>
      <c r="AF3036" s="2">
        <f t="shared" si="423"/>
        <v>0</v>
      </c>
      <c r="AJ3036" s="2">
        <f t="shared" si="424"/>
        <v>0</v>
      </c>
    </row>
    <row r="3037" spans="1:38" x14ac:dyDescent="0.2">
      <c r="A3037" s="2">
        <v>2026</v>
      </c>
      <c r="B3037" s="2">
        <v>1</v>
      </c>
      <c r="D3037" s="2" t="s">
        <v>1992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426">(T3037-W3037)/T3037</f>
        <v>1</v>
      </c>
      <c r="Z3037" s="2" t="s">
        <v>117</v>
      </c>
      <c r="AA3037" s="2" t="s">
        <v>1310</v>
      </c>
      <c r="AF3037" s="2">
        <f t="shared" si="423"/>
        <v>0</v>
      </c>
      <c r="AJ3037" s="2">
        <f t="shared" si="424"/>
        <v>0</v>
      </c>
      <c r="AK3037" s="2">
        <f t="shared" ref="AK3037:AK3084" si="427">T3037-W3037</f>
        <v>588.54999999999995</v>
      </c>
      <c r="AL3037" s="5">
        <f t="shared" ref="AL3037:AL3074" si="428">(T3037-W3037)/T3037</f>
        <v>1</v>
      </c>
    </row>
    <row r="3038" spans="1:38" x14ac:dyDescent="0.2">
      <c r="A3038" s="2">
        <v>2026</v>
      </c>
      <c r="B3038" s="2">
        <v>1</v>
      </c>
      <c r="D3038" s="2" t="s">
        <v>1877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26"/>
        <v>#DIV/0!</v>
      </c>
      <c r="Z3038" s="2" t="s">
        <v>117</v>
      </c>
      <c r="AA3038" s="2" t="s">
        <v>1310</v>
      </c>
      <c r="AF3038" s="2">
        <f t="shared" si="423"/>
        <v>0</v>
      </c>
      <c r="AJ3038" s="2">
        <f t="shared" si="424"/>
        <v>0</v>
      </c>
      <c r="AK3038" s="2">
        <f t="shared" si="427"/>
        <v>0</v>
      </c>
      <c r="AL3038" s="5" t="e">
        <f t="shared" si="428"/>
        <v>#DIV/0!</v>
      </c>
    </row>
    <row r="3039" spans="1:38" x14ac:dyDescent="0.2">
      <c r="A3039" s="2">
        <v>2026</v>
      </c>
      <c r="B3039" s="2">
        <v>1</v>
      </c>
      <c r="D3039" s="2" t="s">
        <v>2397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426"/>
        <v>#DIV/0!</v>
      </c>
      <c r="Z3039" s="2" t="s">
        <v>117</v>
      </c>
      <c r="AA3039" s="2" t="s">
        <v>1310</v>
      </c>
      <c r="AF3039" s="2">
        <f t="shared" si="423"/>
        <v>0</v>
      </c>
      <c r="AJ3039" s="2">
        <f t="shared" si="424"/>
        <v>0</v>
      </c>
      <c r="AK3039" s="2">
        <f t="shared" si="427"/>
        <v>0</v>
      </c>
      <c r="AL3039" s="5" t="e">
        <f t="shared" si="428"/>
        <v>#DIV/0!</v>
      </c>
    </row>
    <row r="3040" spans="1:38" x14ac:dyDescent="0.2">
      <c r="A3040" s="2">
        <v>2026</v>
      </c>
      <c r="B3040" s="2">
        <v>1</v>
      </c>
      <c r="C3040" s="2" t="s">
        <v>3473</v>
      </c>
      <c r="D3040" s="2" t="s">
        <v>674</v>
      </c>
      <c r="E3040" s="2" t="s">
        <v>38</v>
      </c>
      <c r="F3040" s="2" t="s">
        <v>39</v>
      </c>
      <c r="G3040" s="2">
        <v>502616695</v>
      </c>
      <c r="H3040" s="2" t="s">
        <v>40</v>
      </c>
      <c r="I3040" s="2" t="s">
        <v>1623</v>
      </c>
      <c r="J3040" s="2" t="s">
        <v>3169</v>
      </c>
      <c r="L3040" s="2" t="s">
        <v>339</v>
      </c>
      <c r="M3040" s="2" t="s">
        <v>40</v>
      </c>
      <c r="P3040" s="2" t="s">
        <v>187</v>
      </c>
      <c r="Q3040" s="2" t="s">
        <v>1308</v>
      </c>
      <c r="R3040" s="2" t="s">
        <v>1309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426"/>
        <v>1</v>
      </c>
      <c r="Z3040" s="2" t="s">
        <v>117</v>
      </c>
      <c r="AA3040" s="2" t="s">
        <v>1310</v>
      </c>
      <c r="AF3040" s="2">
        <f t="shared" si="423"/>
        <v>0</v>
      </c>
      <c r="AJ3040" s="2">
        <f t="shared" si="424"/>
        <v>0</v>
      </c>
      <c r="AK3040" s="2">
        <f t="shared" si="427"/>
        <v>940</v>
      </c>
      <c r="AL3040" s="5">
        <f t="shared" si="428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80</v>
      </c>
      <c r="O3041" s="2" t="s">
        <v>2456</v>
      </c>
      <c r="P3041" s="2" t="s">
        <v>93</v>
      </c>
      <c r="Q3041" s="2" t="s">
        <v>94</v>
      </c>
      <c r="R3041" s="2" t="s">
        <v>95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42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23"/>
        <v>0</v>
      </c>
      <c r="AJ3041" s="2">
        <f t="shared" si="424"/>
        <v>0</v>
      </c>
      <c r="AK3041" s="2">
        <f t="shared" si="427"/>
        <v>0</v>
      </c>
      <c r="AL3041" s="5">
        <f t="shared" si="428"/>
        <v>0</v>
      </c>
    </row>
    <row r="3042" spans="1:38" x14ac:dyDescent="0.2">
      <c r="A3042" s="2">
        <v>2026</v>
      </c>
      <c r="B3042" s="2">
        <v>1</v>
      </c>
      <c r="D3042" s="2" t="s">
        <v>144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145</v>
      </c>
      <c r="J3042" s="2" t="s">
        <v>146</v>
      </c>
      <c r="L3042" s="2" t="s">
        <v>99</v>
      </c>
      <c r="M3042" s="2" t="s">
        <v>41</v>
      </c>
      <c r="O3042" s="2" t="s">
        <v>2398</v>
      </c>
      <c r="P3042" s="2" t="s">
        <v>93</v>
      </c>
      <c r="Q3042" s="2" t="s">
        <v>94</v>
      </c>
      <c r="R3042" s="2" t="s">
        <v>95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42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23"/>
        <v>0</v>
      </c>
      <c r="AJ3042" s="2">
        <f t="shared" si="424"/>
        <v>0</v>
      </c>
      <c r="AK3042" s="2">
        <f t="shared" si="427"/>
        <v>0</v>
      </c>
      <c r="AL3042" s="5">
        <f t="shared" si="428"/>
        <v>0</v>
      </c>
    </row>
    <row r="3043" spans="1:38" x14ac:dyDescent="0.2">
      <c r="A3043" s="2">
        <v>2026</v>
      </c>
      <c r="B3043" s="2">
        <v>1</v>
      </c>
      <c r="D3043" s="2" t="s">
        <v>2391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2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23"/>
        <v>0</v>
      </c>
      <c r="AJ3043" s="2">
        <f t="shared" si="424"/>
        <v>0</v>
      </c>
      <c r="AK3043" s="2">
        <f t="shared" si="427"/>
        <v>0</v>
      </c>
      <c r="AL3043" s="5">
        <f t="shared" si="428"/>
        <v>0</v>
      </c>
    </row>
    <row r="3044" spans="1:38" x14ac:dyDescent="0.2">
      <c r="A3044" s="2">
        <v>2026</v>
      </c>
      <c r="B3044" s="2">
        <v>1</v>
      </c>
      <c r="C3044" s="2" t="s">
        <v>3451</v>
      </c>
      <c r="D3044" s="2" t="s">
        <v>198</v>
      </c>
      <c r="E3044" s="2" t="s">
        <v>108</v>
      </c>
      <c r="F3044" s="2" t="s">
        <v>39</v>
      </c>
      <c r="G3044" s="2">
        <v>507541120</v>
      </c>
      <c r="H3044" s="2" t="s">
        <v>40</v>
      </c>
      <c r="I3044" s="2" t="s">
        <v>199</v>
      </c>
      <c r="J3044" s="2" t="s">
        <v>200</v>
      </c>
      <c r="L3044" s="2" t="s">
        <v>201</v>
      </c>
      <c r="M3044" s="2" t="s">
        <v>41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2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23"/>
        <v>0</v>
      </c>
      <c r="AJ3044" s="2">
        <f t="shared" si="424"/>
        <v>0</v>
      </c>
      <c r="AK3044" s="2">
        <f t="shared" si="427"/>
        <v>0</v>
      </c>
      <c r="AL3044" s="5">
        <f t="shared" si="428"/>
        <v>0</v>
      </c>
    </row>
    <row r="3045" spans="1:38" x14ac:dyDescent="0.2">
      <c r="A3045" s="2">
        <v>2026</v>
      </c>
      <c r="B3045" s="2">
        <v>1</v>
      </c>
      <c r="D3045" s="2" t="s">
        <v>314</v>
      </c>
      <c r="E3045" s="2" t="s">
        <v>108</v>
      </c>
      <c r="G3045" s="2">
        <v>503270520</v>
      </c>
      <c r="H3045" s="2" t="s">
        <v>40</v>
      </c>
      <c r="I3045" s="2" t="s">
        <v>315</v>
      </c>
      <c r="J3045" s="2" t="s">
        <v>316</v>
      </c>
      <c r="L3045" s="2" t="s">
        <v>99</v>
      </c>
      <c r="M3045" s="2" t="s">
        <v>80</v>
      </c>
      <c r="P3045" s="2" t="s">
        <v>93</v>
      </c>
      <c r="Q3045" s="2" t="s">
        <v>94</v>
      </c>
      <c r="R3045" s="2" t="s">
        <v>95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42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23"/>
        <v>0</v>
      </c>
      <c r="AJ3045" s="2">
        <f t="shared" si="424"/>
        <v>0</v>
      </c>
      <c r="AK3045" s="2">
        <f t="shared" si="427"/>
        <v>0</v>
      </c>
      <c r="AL3045" s="5">
        <f t="shared" si="428"/>
        <v>0</v>
      </c>
    </row>
    <row r="3046" spans="1:38" x14ac:dyDescent="0.2">
      <c r="A3046" s="2">
        <v>2026</v>
      </c>
      <c r="B3046" s="2">
        <v>1</v>
      </c>
      <c r="D3046" s="2" t="s">
        <v>319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99</v>
      </c>
      <c r="J3046" s="2" t="s">
        <v>320</v>
      </c>
      <c r="L3046" s="2" t="s">
        <v>99</v>
      </c>
      <c r="M3046" s="2" t="s">
        <v>80</v>
      </c>
      <c r="O3046" s="2" t="s">
        <v>2417</v>
      </c>
      <c r="P3046" s="2" t="s">
        <v>93</v>
      </c>
      <c r="Q3046" s="2" t="s">
        <v>94</v>
      </c>
      <c r="R3046" s="2" t="s">
        <v>95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426"/>
        <v>0</v>
      </c>
      <c r="Z3046" s="2" t="s">
        <v>3226</v>
      </c>
      <c r="AA3046" s="2" t="s">
        <v>96</v>
      </c>
      <c r="AB3046" s="2" t="s">
        <v>76</v>
      </c>
      <c r="AC3046" s="2" t="s">
        <v>93</v>
      </c>
      <c r="AF3046" s="2">
        <f t="shared" si="423"/>
        <v>0</v>
      </c>
      <c r="AJ3046" s="2">
        <f t="shared" si="424"/>
        <v>0</v>
      </c>
      <c r="AK3046" s="2">
        <f t="shared" si="427"/>
        <v>0</v>
      </c>
      <c r="AL3046" s="5">
        <f t="shared" si="428"/>
        <v>0</v>
      </c>
    </row>
    <row r="3047" spans="1:38" x14ac:dyDescent="0.2">
      <c r="A3047" s="2">
        <v>2026</v>
      </c>
      <c r="B3047" s="2">
        <v>2</v>
      </c>
      <c r="D3047" s="2" t="s">
        <v>689</v>
      </c>
      <c r="E3047" s="2" t="s">
        <v>108</v>
      </c>
      <c r="F3047" s="2" t="s">
        <v>39</v>
      </c>
      <c r="G3047" s="2">
        <v>503589950</v>
      </c>
      <c r="H3047" s="2" t="s">
        <v>41</v>
      </c>
      <c r="I3047" s="2" t="s">
        <v>610</v>
      </c>
      <c r="J3047" s="2" t="s">
        <v>690</v>
      </c>
      <c r="K3047" s="2">
        <v>913036545</v>
      </c>
      <c r="L3047" s="2" t="s">
        <v>177</v>
      </c>
      <c r="M3047" s="2" t="s">
        <v>41</v>
      </c>
      <c r="O3047" s="2" t="s">
        <v>2416</v>
      </c>
      <c r="P3047" s="2" t="s">
        <v>43</v>
      </c>
      <c r="Q3047" s="2" t="s">
        <v>234</v>
      </c>
      <c r="R3047" s="2" t="s">
        <v>235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426"/>
        <v>0.49849305555555556</v>
      </c>
      <c r="Z3047" s="2" t="s">
        <v>3226</v>
      </c>
      <c r="AA3047" s="2" t="s">
        <v>46</v>
      </c>
      <c r="AB3047" s="2" t="s">
        <v>56</v>
      </c>
      <c r="AC3047" s="2" t="s">
        <v>57</v>
      </c>
      <c r="AF3047" s="2">
        <f t="shared" si="423"/>
        <v>0</v>
      </c>
      <c r="AG3047" s="2">
        <v>7.2217000000000002</v>
      </c>
      <c r="AH3047" s="2">
        <v>14.4</v>
      </c>
      <c r="AJ3047" s="2">
        <f t="shared" si="424"/>
        <v>0</v>
      </c>
      <c r="AK3047" s="2">
        <f t="shared" si="427"/>
        <v>7.1783000000000001</v>
      </c>
      <c r="AL3047" s="5">
        <f t="shared" si="428"/>
        <v>0.49849305555555556</v>
      </c>
    </row>
    <row r="3048" spans="1:38" x14ac:dyDescent="0.2">
      <c r="A3048" s="2">
        <v>2026</v>
      </c>
      <c r="B3048" s="2">
        <v>1</v>
      </c>
      <c r="D3048" s="2" t="s">
        <v>981</v>
      </c>
      <c r="E3048" s="2" t="s">
        <v>108</v>
      </c>
      <c r="F3048" s="2" t="s">
        <v>717</v>
      </c>
      <c r="G3048" s="2">
        <v>500594309</v>
      </c>
      <c r="H3048" s="2" t="s">
        <v>290</v>
      </c>
      <c r="I3048" s="2" t="s">
        <v>982</v>
      </c>
      <c r="J3048" s="2" t="s">
        <v>983</v>
      </c>
      <c r="L3048" s="2" t="s">
        <v>293</v>
      </c>
      <c r="M3048" s="2" t="s">
        <v>80</v>
      </c>
      <c r="O3048" s="2" t="s">
        <v>2426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2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23"/>
        <v>0</v>
      </c>
      <c r="AG3048" s="2">
        <v>1.48</v>
      </c>
      <c r="AH3048" s="2">
        <v>1.48</v>
      </c>
      <c r="AJ3048" s="2">
        <f t="shared" si="424"/>
        <v>0</v>
      </c>
      <c r="AK3048" s="2">
        <f t="shared" si="427"/>
        <v>0</v>
      </c>
      <c r="AL3048" s="5">
        <f t="shared" si="428"/>
        <v>0</v>
      </c>
    </row>
    <row r="3049" spans="1:38" x14ac:dyDescent="0.2">
      <c r="A3049" s="2">
        <v>2026</v>
      </c>
      <c r="B3049" s="2">
        <v>1</v>
      </c>
      <c r="D3049" s="2" t="s">
        <v>2008</v>
      </c>
      <c r="E3049" s="2" t="s">
        <v>38</v>
      </c>
      <c r="F3049" s="2" t="s">
        <v>39</v>
      </c>
      <c r="L3049" s="2" t="s">
        <v>571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42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23"/>
        <v>0</v>
      </c>
      <c r="AJ3049" s="2">
        <f t="shared" si="424"/>
        <v>0</v>
      </c>
      <c r="AK3049" s="2">
        <f t="shared" si="427"/>
        <v>0</v>
      </c>
      <c r="AL3049" s="5">
        <f t="shared" si="428"/>
        <v>0</v>
      </c>
    </row>
    <row r="3050" spans="1:38" x14ac:dyDescent="0.2">
      <c r="A3050" s="2">
        <v>2026</v>
      </c>
      <c r="B3050" s="2">
        <v>1</v>
      </c>
      <c r="C3050" s="2" t="s">
        <v>3326</v>
      </c>
      <c r="D3050" s="2" t="s">
        <v>1009</v>
      </c>
      <c r="E3050" s="2" t="s">
        <v>108</v>
      </c>
      <c r="F3050" s="2" t="s">
        <v>39</v>
      </c>
      <c r="G3050" s="2">
        <v>507063481</v>
      </c>
      <c r="H3050" s="2" t="s">
        <v>290</v>
      </c>
      <c r="I3050" s="2" t="s">
        <v>1010</v>
      </c>
      <c r="J3050" s="2" t="s">
        <v>1011</v>
      </c>
      <c r="L3050" s="2" t="s">
        <v>293</v>
      </c>
      <c r="M3050" s="2" t="s">
        <v>80</v>
      </c>
      <c r="P3050" s="2" t="s">
        <v>93</v>
      </c>
      <c r="Q3050" s="2" t="s">
        <v>94</v>
      </c>
      <c r="R3050" s="2" t="s">
        <v>95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42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23"/>
        <v>0</v>
      </c>
      <c r="AJ3050" s="2">
        <f t="shared" si="424"/>
        <v>0</v>
      </c>
      <c r="AK3050" s="2">
        <f t="shared" si="427"/>
        <v>0</v>
      </c>
      <c r="AL3050" s="5">
        <f t="shared" si="428"/>
        <v>0</v>
      </c>
    </row>
    <row r="3051" spans="1:38" x14ac:dyDescent="0.2">
      <c r="A3051" s="2">
        <v>2026</v>
      </c>
      <c r="B3051" s="2">
        <v>1</v>
      </c>
      <c r="D3051" s="2" t="s">
        <v>428</v>
      </c>
      <c r="E3051" s="2" t="s">
        <v>38</v>
      </c>
      <c r="G3051" s="2">
        <v>500820384</v>
      </c>
      <c r="H3051" s="2" t="s">
        <v>40</v>
      </c>
      <c r="I3051" s="2" t="s">
        <v>429</v>
      </c>
      <c r="J3051" s="2" t="s">
        <v>430</v>
      </c>
      <c r="L3051" s="2" t="s">
        <v>99</v>
      </c>
      <c r="M3051" s="2" t="s">
        <v>80</v>
      </c>
      <c r="O3051" s="2" t="s">
        <v>2457</v>
      </c>
      <c r="P3051" s="2" t="s">
        <v>93</v>
      </c>
      <c r="Q3051" s="2" t="s">
        <v>94</v>
      </c>
      <c r="R3051" s="2" t="s">
        <v>95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42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23"/>
        <v>0</v>
      </c>
      <c r="AJ3051" s="2">
        <f t="shared" si="424"/>
        <v>0</v>
      </c>
      <c r="AK3051" s="2">
        <f t="shared" si="427"/>
        <v>0</v>
      </c>
      <c r="AL3051" s="5">
        <f t="shared" si="428"/>
        <v>0</v>
      </c>
    </row>
    <row r="3052" spans="1:38" x14ac:dyDescent="0.2">
      <c r="A3052" s="2">
        <v>2026</v>
      </c>
      <c r="B3052" s="2">
        <v>1</v>
      </c>
      <c r="D3052" s="2" t="s">
        <v>1553</v>
      </c>
      <c r="E3052" s="2" t="s">
        <v>108</v>
      </c>
      <c r="F3052" s="2" t="s">
        <v>717</v>
      </c>
      <c r="G3052" s="2">
        <v>500975914</v>
      </c>
      <c r="H3052" s="2" t="s">
        <v>41</v>
      </c>
      <c r="I3052" s="2" t="s">
        <v>1554</v>
      </c>
      <c r="J3052" s="2" t="s">
        <v>1555</v>
      </c>
      <c r="L3052" s="2" t="s">
        <v>177</v>
      </c>
      <c r="M3052" s="2" t="s">
        <v>41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2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23"/>
        <v>0</v>
      </c>
      <c r="AJ3052" s="2">
        <f t="shared" si="424"/>
        <v>0</v>
      </c>
      <c r="AK3052" s="2">
        <f t="shared" si="427"/>
        <v>0</v>
      </c>
      <c r="AL3052" s="5">
        <f t="shared" si="428"/>
        <v>0</v>
      </c>
    </row>
    <row r="3053" spans="1:38" x14ac:dyDescent="0.2">
      <c r="A3053" s="2">
        <v>2026</v>
      </c>
      <c r="B3053" s="2">
        <v>1</v>
      </c>
      <c r="D3053" s="2" t="s">
        <v>1376</v>
      </c>
      <c r="E3053" s="2" t="s">
        <v>183</v>
      </c>
      <c r="F3053" s="2" t="s">
        <v>366</v>
      </c>
      <c r="L3053" s="2" t="s">
        <v>571</v>
      </c>
      <c r="M3053" s="2" t="s">
        <v>80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2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23"/>
        <v>0</v>
      </c>
      <c r="AJ3053" s="2">
        <f t="shared" si="424"/>
        <v>0</v>
      </c>
      <c r="AK3053" s="2">
        <f t="shared" si="427"/>
        <v>0</v>
      </c>
      <c r="AL3053" s="5">
        <f t="shared" si="428"/>
        <v>0</v>
      </c>
    </row>
    <row r="3054" spans="1:38" x14ac:dyDescent="0.2">
      <c r="A3054" s="2">
        <v>2026</v>
      </c>
      <c r="B3054" s="2">
        <v>1</v>
      </c>
      <c r="C3054" s="2" t="s">
        <v>3326</v>
      </c>
      <c r="D3054" s="2" t="s">
        <v>1017</v>
      </c>
      <c r="E3054" s="2" t="s">
        <v>108</v>
      </c>
      <c r="F3054" s="2" t="s">
        <v>477</v>
      </c>
      <c r="G3054" s="2">
        <v>505647338</v>
      </c>
      <c r="H3054" s="2" t="s">
        <v>290</v>
      </c>
      <c r="I3054" s="2" t="s">
        <v>1018</v>
      </c>
      <c r="J3054" s="2" t="s">
        <v>1019</v>
      </c>
      <c r="L3054" s="2" t="s">
        <v>293</v>
      </c>
      <c r="M3054" s="2" t="s">
        <v>80</v>
      </c>
      <c r="O3054" s="2" t="s">
        <v>2392</v>
      </c>
      <c r="P3054" s="2" t="s">
        <v>93</v>
      </c>
      <c r="Q3054" s="2" t="s">
        <v>94</v>
      </c>
      <c r="R3054" s="2" t="s">
        <v>95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42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23"/>
        <v>0</v>
      </c>
      <c r="AG3054" s="2">
        <v>1.48</v>
      </c>
      <c r="AH3054" s="2">
        <v>1.48</v>
      </c>
      <c r="AJ3054" s="2">
        <f t="shared" si="424"/>
        <v>0</v>
      </c>
      <c r="AK3054" s="2">
        <f t="shared" si="427"/>
        <v>0</v>
      </c>
      <c r="AL3054" s="5">
        <f t="shared" si="428"/>
        <v>0</v>
      </c>
    </row>
    <row r="3055" spans="1:38" x14ac:dyDescent="0.2">
      <c r="A3055" s="2">
        <v>2026</v>
      </c>
      <c r="B3055" s="2">
        <v>1</v>
      </c>
      <c r="D3055" s="2" t="s">
        <v>816</v>
      </c>
      <c r="E3055" s="2" t="s">
        <v>38</v>
      </c>
      <c r="F3055" s="2" t="s">
        <v>39</v>
      </c>
      <c r="L3055" s="2" t="s">
        <v>480</v>
      </c>
      <c r="P3055" s="2" t="s">
        <v>93</v>
      </c>
      <c r="Q3055" s="2" t="s">
        <v>94</v>
      </c>
      <c r="R3055" s="2" t="s">
        <v>95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42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23"/>
        <v>0</v>
      </c>
      <c r="AJ3055" s="2">
        <f t="shared" si="424"/>
        <v>0</v>
      </c>
      <c r="AK3055" s="2">
        <f t="shared" si="427"/>
        <v>0</v>
      </c>
      <c r="AL3055" s="5">
        <f t="shared" si="428"/>
        <v>0</v>
      </c>
    </row>
    <row r="3056" spans="1:38" x14ac:dyDescent="0.2">
      <c r="A3056" s="2">
        <v>2026</v>
      </c>
      <c r="B3056" s="2">
        <v>1</v>
      </c>
      <c r="D3056" s="2" t="s">
        <v>1564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2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23"/>
        <v>0</v>
      </c>
      <c r="AJ3056" s="2">
        <f t="shared" si="424"/>
        <v>0</v>
      </c>
      <c r="AK3056" s="2">
        <f t="shared" si="427"/>
        <v>0</v>
      </c>
      <c r="AL3056" s="5">
        <f t="shared" si="428"/>
        <v>0</v>
      </c>
    </row>
    <row r="3057" spans="1:38" x14ac:dyDescent="0.2">
      <c r="A3057" s="2">
        <v>2026</v>
      </c>
      <c r="B3057" s="2">
        <v>1</v>
      </c>
      <c r="D3057" s="2" t="s">
        <v>1026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1027</v>
      </c>
      <c r="J3057" s="2" t="s">
        <v>1028</v>
      </c>
      <c r="K3057" s="2">
        <v>963046242</v>
      </c>
      <c r="L3057" s="2" t="s">
        <v>177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2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23"/>
        <v>0</v>
      </c>
      <c r="AJ3057" s="2">
        <f t="shared" si="424"/>
        <v>0</v>
      </c>
      <c r="AK3057" s="2">
        <f t="shared" si="427"/>
        <v>0</v>
      </c>
      <c r="AL3057" s="5">
        <f t="shared" si="428"/>
        <v>0</v>
      </c>
    </row>
    <row r="3058" spans="1:38" x14ac:dyDescent="0.2">
      <c r="A3058" s="2">
        <v>2026</v>
      </c>
      <c r="B3058" s="2">
        <v>1</v>
      </c>
      <c r="D3058" s="2" t="s">
        <v>1593</v>
      </c>
      <c r="E3058" s="2" t="s">
        <v>108</v>
      </c>
      <c r="F3058" s="2" t="s">
        <v>395</v>
      </c>
      <c r="G3058" s="2">
        <v>500314594</v>
      </c>
      <c r="H3058" s="2" t="s">
        <v>40</v>
      </c>
      <c r="I3058" s="2" t="s">
        <v>1594</v>
      </c>
      <c r="J3058" s="2" t="s">
        <v>1595</v>
      </c>
      <c r="L3058" s="2" t="s">
        <v>201</v>
      </c>
      <c r="M3058" s="2" t="s">
        <v>80</v>
      </c>
      <c r="O3058" s="2" t="s">
        <v>2393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2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23"/>
        <v>0</v>
      </c>
      <c r="AG3058" s="2">
        <v>1.48</v>
      </c>
      <c r="AH3058" s="2">
        <v>1.48</v>
      </c>
      <c r="AJ3058" s="2">
        <f t="shared" si="424"/>
        <v>0</v>
      </c>
      <c r="AK3058" s="2">
        <f t="shared" si="427"/>
        <v>0</v>
      </c>
      <c r="AL3058" s="5">
        <f t="shared" si="428"/>
        <v>0</v>
      </c>
    </row>
    <row r="3059" spans="1:38" x14ac:dyDescent="0.2">
      <c r="A3059" s="2">
        <v>2026</v>
      </c>
      <c r="B3059" s="2">
        <v>1</v>
      </c>
      <c r="D3059" s="2" t="s">
        <v>2403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2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23"/>
        <v>0</v>
      </c>
      <c r="AJ3059" s="2">
        <f t="shared" si="424"/>
        <v>0</v>
      </c>
      <c r="AK3059" s="2">
        <f t="shared" si="427"/>
        <v>0</v>
      </c>
      <c r="AL3059" s="5">
        <f t="shared" si="428"/>
        <v>0</v>
      </c>
    </row>
    <row r="3060" spans="1:38" x14ac:dyDescent="0.2">
      <c r="A3060" s="2">
        <v>2026</v>
      </c>
      <c r="B3060" s="2">
        <v>1</v>
      </c>
      <c r="D3060" s="2" t="s">
        <v>530</v>
      </c>
      <c r="E3060" s="2" t="s">
        <v>108</v>
      </c>
      <c r="F3060" s="2" t="s">
        <v>531</v>
      </c>
      <c r="G3060" s="2">
        <v>502139552</v>
      </c>
      <c r="H3060" s="2" t="s">
        <v>40</v>
      </c>
      <c r="I3060" s="2" t="s">
        <v>339</v>
      </c>
      <c r="J3060" s="2" t="s">
        <v>532</v>
      </c>
      <c r="L3060" s="2" t="s">
        <v>339</v>
      </c>
      <c r="M3060" s="2" t="s">
        <v>80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2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23"/>
        <v>0</v>
      </c>
      <c r="AJ3060" s="2">
        <f t="shared" si="424"/>
        <v>0</v>
      </c>
      <c r="AK3060" s="2">
        <f t="shared" si="427"/>
        <v>0</v>
      </c>
      <c r="AL3060" s="5">
        <f t="shared" si="428"/>
        <v>0</v>
      </c>
    </row>
    <row r="3061" spans="1:38" x14ac:dyDescent="0.2">
      <c r="A3061" s="2">
        <v>2026</v>
      </c>
      <c r="B3061" s="2">
        <v>1</v>
      </c>
      <c r="C3061" s="2" t="s">
        <v>3326</v>
      </c>
      <c r="D3061" s="2" t="s">
        <v>1073</v>
      </c>
      <c r="E3061" s="2" t="s">
        <v>108</v>
      </c>
      <c r="F3061" s="2" t="s">
        <v>39</v>
      </c>
      <c r="L3061" s="2" t="s">
        <v>461</v>
      </c>
      <c r="M3061" s="2" t="s">
        <v>41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2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23"/>
        <v>0</v>
      </c>
      <c r="AJ3061" s="2">
        <f t="shared" si="424"/>
        <v>0</v>
      </c>
      <c r="AK3061" s="2">
        <f t="shared" si="427"/>
        <v>0</v>
      </c>
      <c r="AL3061" s="5">
        <f t="shared" si="428"/>
        <v>0</v>
      </c>
    </row>
    <row r="3062" spans="1:38" x14ac:dyDescent="0.2">
      <c r="A3062" s="2">
        <v>2026</v>
      </c>
      <c r="B3062" s="2">
        <v>1</v>
      </c>
      <c r="D3062" s="2" t="s">
        <v>1418</v>
      </c>
      <c r="E3062" s="2" t="s">
        <v>108</v>
      </c>
      <c r="F3062" s="2" t="s">
        <v>39</v>
      </c>
      <c r="G3062" s="2">
        <v>502696338</v>
      </c>
      <c r="H3062" s="2" t="s">
        <v>40</v>
      </c>
      <c r="I3062" s="2" t="s">
        <v>2411</v>
      </c>
      <c r="J3062" s="2" t="s">
        <v>2412</v>
      </c>
      <c r="L3062" s="2" t="s">
        <v>201</v>
      </c>
      <c r="M3062" s="2" t="s">
        <v>80</v>
      </c>
      <c r="O3062" s="2" t="s">
        <v>2413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2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23"/>
        <v>0</v>
      </c>
      <c r="AJ3062" s="2">
        <f t="shared" si="424"/>
        <v>0</v>
      </c>
      <c r="AK3062" s="2">
        <f t="shared" si="427"/>
        <v>0</v>
      </c>
      <c r="AL3062" s="5">
        <f t="shared" si="428"/>
        <v>0</v>
      </c>
    </row>
    <row r="3063" spans="1:38" x14ac:dyDescent="0.2">
      <c r="A3063" s="2">
        <v>2026</v>
      </c>
      <c r="B3063" s="2">
        <v>1</v>
      </c>
      <c r="D3063" s="2" t="s">
        <v>1419</v>
      </c>
      <c r="E3063" s="2" t="s">
        <v>108</v>
      </c>
      <c r="F3063" s="2" t="s">
        <v>39</v>
      </c>
      <c r="G3063" s="2">
        <v>513795855</v>
      </c>
      <c r="H3063" s="2" t="s">
        <v>41</v>
      </c>
      <c r="I3063" s="2" t="s">
        <v>1272</v>
      </c>
      <c r="J3063" s="2" t="s">
        <v>2394</v>
      </c>
      <c r="L3063" s="2" t="s">
        <v>177</v>
      </c>
      <c r="M3063" s="2" t="s">
        <v>41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2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23"/>
        <v>0</v>
      </c>
      <c r="AJ3063" s="2">
        <f t="shared" si="424"/>
        <v>0</v>
      </c>
      <c r="AK3063" s="2">
        <f t="shared" si="427"/>
        <v>0</v>
      </c>
      <c r="AL3063" s="5">
        <f t="shared" si="428"/>
        <v>0</v>
      </c>
    </row>
    <row r="3064" spans="1:38" x14ac:dyDescent="0.2">
      <c r="A3064" s="2">
        <v>2026</v>
      </c>
      <c r="B3064" s="2">
        <v>1</v>
      </c>
      <c r="D3064" s="2" t="s">
        <v>549</v>
      </c>
      <c r="E3064" s="2" t="s">
        <v>108</v>
      </c>
      <c r="F3064" s="2" t="s">
        <v>395</v>
      </c>
      <c r="G3064" s="2">
        <v>503641790</v>
      </c>
      <c r="H3064" s="2" t="s">
        <v>40</v>
      </c>
      <c r="I3064" s="2" t="s">
        <v>550</v>
      </c>
      <c r="J3064" s="2" t="s">
        <v>551</v>
      </c>
      <c r="K3064" s="2">
        <v>917753665</v>
      </c>
      <c r="L3064" s="2" t="s">
        <v>99</v>
      </c>
      <c r="M3064" s="2" t="s">
        <v>80</v>
      </c>
      <c r="O3064" s="2" t="s">
        <v>2395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2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23"/>
        <v>0</v>
      </c>
      <c r="AG3064" s="2">
        <v>1.48</v>
      </c>
      <c r="AH3064" s="2">
        <v>1.48</v>
      </c>
      <c r="AJ3064" s="2">
        <f t="shared" si="424"/>
        <v>0</v>
      </c>
      <c r="AK3064" s="2">
        <f t="shared" si="427"/>
        <v>0</v>
      </c>
      <c r="AL3064" s="5">
        <f t="shared" si="428"/>
        <v>0</v>
      </c>
    </row>
    <row r="3065" spans="1:38" x14ac:dyDescent="0.2">
      <c r="A3065" s="2">
        <v>2026</v>
      </c>
      <c r="B3065" s="2">
        <v>1</v>
      </c>
      <c r="D3065" s="2" t="s">
        <v>894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2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23"/>
        <v>0</v>
      </c>
      <c r="AJ3065" s="2">
        <f t="shared" si="424"/>
        <v>0</v>
      </c>
      <c r="AK3065" s="2">
        <f t="shared" si="427"/>
        <v>0</v>
      </c>
      <c r="AL3065" s="5">
        <f t="shared" si="428"/>
        <v>0</v>
      </c>
    </row>
    <row r="3066" spans="1:38" x14ac:dyDescent="0.2">
      <c r="A3066" s="2">
        <v>2026</v>
      </c>
      <c r="B3066" s="2">
        <v>1</v>
      </c>
      <c r="D3066" s="2" t="s">
        <v>2396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2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23"/>
        <v>0</v>
      </c>
      <c r="AJ3066" s="2">
        <f t="shared" si="424"/>
        <v>0</v>
      </c>
      <c r="AK3066" s="2">
        <f t="shared" si="427"/>
        <v>0</v>
      </c>
      <c r="AL3066" s="5">
        <f t="shared" si="428"/>
        <v>0</v>
      </c>
    </row>
    <row r="3067" spans="1:38" x14ac:dyDescent="0.2">
      <c r="A3067" s="2">
        <v>2026</v>
      </c>
      <c r="B3067" s="2">
        <v>1</v>
      </c>
      <c r="D3067" s="2" t="s">
        <v>1942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2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23"/>
        <v>0</v>
      </c>
      <c r="AJ3067" s="2">
        <f t="shared" si="424"/>
        <v>0</v>
      </c>
      <c r="AK3067" s="2">
        <f t="shared" si="427"/>
        <v>0</v>
      </c>
      <c r="AL3067" s="5">
        <f t="shared" si="428"/>
        <v>0</v>
      </c>
    </row>
    <row r="3068" spans="1:38" x14ac:dyDescent="0.2">
      <c r="A3068" s="2">
        <v>2026</v>
      </c>
      <c r="B3068" s="2">
        <v>1</v>
      </c>
      <c r="D3068" s="2" t="s">
        <v>582</v>
      </c>
      <c r="E3068" s="2" t="s">
        <v>108</v>
      </c>
      <c r="F3068" s="2" t="s">
        <v>39</v>
      </c>
      <c r="G3068" s="2">
        <v>503850276</v>
      </c>
      <c r="H3068" s="2" t="s">
        <v>40</v>
      </c>
      <c r="I3068" s="2" t="s">
        <v>583</v>
      </c>
      <c r="J3068" s="2" t="s">
        <v>584</v>
      </c>
      <c r="L3068" s="2" t="s">
        <v>201</v>
      </c>
      <c r="M3068" s="2" t="s">
        <v>80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2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23"/>
        <v>0</v>
      </c>
      <c r="AJ3068" s="2">
        <f t="shared" si="424"/>
        <v>0</v>
      </c>
      <c r="AK3068" s="2">
        <f t="shared" si="427"/>
        <v>0</v>
      </c>
      <c r="AL3068" s="5">
        <f t="shared" si="428"/>
        <v>0</v>
      </c>
    </row>
    <row r="3069" spans="1:38" x14ac:dyDescent="0.2">
      <c r="A3069" s="2">
        <v>2026</v>
      </c>
      <c r="B3069" s="2">
        <v>1</v>
      </c>
      <c r="D3069" s="2" t="s">
        <v>606</v>
      </c>
      <c r="E3069" s="2" t="s">
        <v>108</v>
      </c>
      <c r="F3069" s="2" t="s">
        <v>39</v>
      </c>
      <c r="G3069" s="2">
        <v>504822187</v>
      </c>
      <c r="H3069" s="2" t="s">
        <v>109</v>
      </c>
      <c r="I3069" s="2" t="s">
        <v>607</v>
      </c>
      <c r="J3069" s="2" t="s">
        <v>608</v>
      </c>
      <c r="K3069" s="2">
        <v>966216853</v>
      </c>
      <c r="L3069" s="2" t="s">
        <v>461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2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23"/>
        <v>0</v>
      </c>
      <c r="AJ3069" s="2">
        <f t="shared" si="424"/>
        <v>0</v>
      </c>
      <c r="AK3069" s="2">
        <f t="shared" si="427"/>
        <v>0</v>
      </c>
      <c r="AL3069" s="5">
        <f t="shared" si="428"/>
        <v>0</v>
      </c>
    </row>
    <row r="3070" spans="1:38" x14ac:dyDescent="0.2">
      <c r="A3070" s="2">
        <v>2026</v>
      </c>
      <c r="B3070" s="2">
        <v>1</v>
      </c>
      <c r="D3070" s="2" t="s">
        <v>1295</v>
      </c>
      <c r="E3070" s="2" t="s">
        <v>183</v>
      </c>
      <c r="F3070" s="2" t="s">
        <v>366</v>
      </c>
      <c r="G3070" s="2">
        <v>500625654</v>
      </c>
      <c r="H3070" s="2" t="s">
        <v>290</v>
      </c>
      <c r="I3070" s="2" t="s">
        <v>339</v>
      </c>
      <c r="J3070" s="2" t="s">
        <v>1296</v>
      </c>
      <c r="L3070" s="2" t="s">
        <v>339</v>
      </c>
      <c r="M3070" s="2" t="s">
        <v>80</v>
      </c>
      <c r="O3070" s="2" t="s">
        <v>2419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2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23"/>
        <v>0</v>
      </c>
      <c r="AG3070" s="2">
        <v>1.48</v>
      </c>
      <c r="AH3070" s="2">
        <v>1.48</v>
      </c>
      <c r="AJ3070" s="2">
        <f t="shared" si="424"/>
        <v>0</v>
      </c>
      <c r="AK3070" s="2">
        <f t="shared" si="427"/>
        <v>0</v>
      </c>
      <c r="AL3070" s="5">
        <f t="shared" si="428"/>
        <v>0</v>
      </c>
    </row>
    <row r="3071" spans="1:38" x14ac:dyDescent="0.2">
      <c r="A3071" s="2">
        <v>2026</v>
      </c>
      <c r="B3071" s="2">
        <v>1</v>
      </c>
      <c r="D3071" s="2" t="s">
        <v>633</v>
      </c>
      <c r="E3071" s="2" t="s">
        <v>183</v>
      </c>
      <c r="F3071" s="2" t="s">
        <v>366</v>
      </c>
      <c r="H3071" s="2" t="s">
        <v>290</v>
      </c>
      <c r="L3071" s="2" t="s">
        <v>339</v>
      </c>
      <c r="M3071" s="2" t="s">
        <v>80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2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23"/>
        <v>0</v>
      </c>
      <c r="AJ3071" s="2">
        <f t="shared" si="424"/>
        <v>0</v>
      </c>
      <c r="AK3071" s="2">
        <f t="shared" si="427"/>
        <v>0</v>
      </c>
      <c r="AL3071" s="5">
        <f t="shared" si="428"/>
        <v>0</v>
      </c>
    </row>
    <row r="3072" spans="1:38" x14ac:dyDescent="0.2">
      <c r="A3072" s="2">
        <v>2026</v>
      </c>
      <c r="B3072" s="2">
        <v>1</v>
      </c>
      <c r="D3072" s="2" t="s">
        <v>2397</v>
      </c>
      <c r="E3072" s="2" t="s">
        <v>183</v>
      </c>
      <c r="F3072" s="2" t="s">
        <v>366</v>
      </c>
      <c r="H3072" s="2" t="s">
        <v>290</v>
      </c>
      <c r="L3072" s="2" t="s">
        <v>339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2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23"/>
        <v>0</v>
      </c>
      <c r="AJ3072" s="2">
        <f t="shared" si="424"/>
        <v>0</v>
      </c>
      <c r="AK3072" s="2">
        <f t="shared" si="427"/>
        <v>0</v>
      </c>
      <c r="AL3072" s="5">
        <f t="shared" si="428"/>
        <v>0</v>
      </c>
    </row>
    <row r="3073" spans="1:38" x14ac:dyDescent="0.2">
      <c r="A3073" s="2">
        <v>2026</v>
      </c>
      <c r="B3073" s="2">
        <v>1</v>
      </c>
      <c r="D3073" s="2" t="s">
        <v>677</v>
      </c>
      <c r="E3073" s="2" t="s">
        <v>108</v>
      </c>
      <c r="F3073" s="2" t="s">
        <v>39</v>
      </c>
      <c r="G3073" s="2">
        <v>505764636</v>
      </c>
      <c r="H3073" s="2" t="s">
        <v>290</v>
      </c>
      <c r="I3073" s="2" t="s">
        <v>678</v>
      </c>
      <c r="J3073" s="2" t="s">
        <v>679</v>
      </c>
      <c r="L3073" s="2" t="s">
        <v>339</v>
      </c>
      <c r="M3073" s="2" t="s">
        <v>80</v>
      </c>
      <c r="O3073" s="2" t="s">
        <v>2425</v>
      </c>
      <c r="P3073" s="2" t="s">
        <v>93</v>
      </c>
      <c r="Q3073" s="2" t="s">
        <v>94</v>
      </c>
      <c r="R3073" s="2" t="s">
        <v>95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426"/>
        <v>0</v>
      </c>
      <c r="Z3073" s="2" t="s">
        <v>3226</v>
      </c>
      <c r="AA3073" s="2" t="s">
        <v>96</v>
      </c>
      <c r="AB3073" s="2" t="s">
        <v>76</v>
      </c>
      <c r="AC3073" s="2" t="s">
        <v>93</v>
      </c>
      <c r="AF3073" s="2">
        <f t="shared" si="423"/>
        <v>0</v>
      </c>
      <c r="AJ3073" s="2">
        <f t="shared" si="424"/>
        <v>0</v>
      </c>
      <c r="AK3073" s="2">
        <f t="shared" si="427"/>
        <v>0</v>
      </c>
      <c r="AL3073" s="5">
        <f t="shared" si="428"/>
        <v>0</v>
      </c>
    </row>
    <row r="3074" spans="1:38" x14ac:dyDescent="0.2">
      <c r="A3074" s="2">
        <v>2026</v>
      </c>
      <c r="B3074" s="2">
        <v>1</v>
      </c>
      <c r="D3074" s="2" t="s">
        <v>1884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117</v>
      </c>
      <c r="AA3074" s="2" t="s">
        <v>317</v>
      </c>
      <c r="AF3074" s="2">
        <f t="shared" ref="AF3074:AF3137" si="429">AJ3074</f>
        <v>0</v>
      </c>
      <c r="AJ3074" s="2">
        <f t="shared" ref="AJ3074:AJ3137" si="430">AI3074*T3074</f>
        <v>0</v>
      </c>
      <c r="AK3074" s="2">
        <f t="shared" si="427"/>
        <v>0</v>
      </c>
      <c r="AL3074" s="5" t="e">
        <f t="shared" si="428"/>
        <v>#DIV/0!</v>
      </c>
    </row>
    <row r="3075" spans="1:38" x14ac:dyDescent="0.2">
      <c r="A3075" s="2">
        <v>2026</v>
      </c>
      <c r="B3075" s="2">
        <v>1</v>
      </c>
      <c r="C3075" s="2" t="s">
        <v>3451</v>
      </c>
      <c r="D3075" s="2" t="s">
        <v>1009</v>
      </c>
      <c r="E3075" s="2" t="s">
        <v>108</v>
      </c>
      <c r="F3075" s="2" t="s">
        <v>39</v>
      </c>
      <c r="G3075" s="2">
        <v>507063481</v>
      </c>
      <c r="H3075" s="2" t="s">
        <v>290</v>
      </c>
      <c r="I3075" s="2" t="s">
        <v>1010</v>
      </c>
      <c r="J3075" s="2" t="s">
        <v>1011</v>
      </c>
      <c r="L3075" s="2" t="s">
        <v>293</v>
      </c>
      <c r="M3075" s="2" t="s">
        <v>40</v>
      </c>
      <c r="P3075" s="2" t="s">
        <v>114</v>
      </c>
      <c r="Q3075" s="2" t="s">
        <v>408</v>
      </c>
      <c r="R3075" s="2" t="s">
        <v>409</v>
      </c>
      <c r="S3075" s="2">
        <v>1</v>
      </c>
      <c r="T3075" s="2">
        <v>0</v>
      </c>
      <c r="U3075" s="2">
        <v>0</v>
      </c>
      <c r="V3075" s="2">
        <v>0</v>
      </c>
      <c r="Z3075" s="2" t="s">
        <v>117</v>
      </c>
      <c r="AA3075" s="2" t="s">
        <v>317</v>
      </c>
      <c r="AF3075" s="2">
        <f t="shared" si="429"/>
        <v>0</v>
      </c>
      <c r="AJ3075" s="2">
        <f t="shared" si="430"/>
        <v>0</v>
      </c>
      <c r="AK3075" s="2">
        <f t="shared" si="427"/>
        <v>0</v>
      </c>
    </row>
    <row r="3076" spans="1:38" x14ac:dyDescent="0.2">
      <c r="A3076" s="2">
        <v>2026</v>
      </c>
      <c r="B3076" s="2">
        <v>1</v>
      </c>
      <c r="D3076" s="2" t="s">
        <v>2333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431">(T3076-W3076)/T3076</f>
        <v>1</v>
      </c>
      <c r="Z3076" s="2" t="s">
        <v>119</v>
      </c>
      <c r="AA3076" s="2" t="s">
        <v>3379</v>
      </c>
      <c r="AF3076" s="2">
        <f t="shared" si="429"/>
        <v>0</v>
      </c>
      <c r="AJ3076" s="2">
        <f t="shared" si="430"/>
        <v>0</v>
      </c>
      <c r="AK3076" s="2">
        <f t="shared" si="427"/>
        <v>2.4500000000000002</v>
      </c>
      <c r="AL3076" s="5">
        <f t="shared" ref="AL3076:AL3084" si="432">(T3076-W3076)/T3076</f>
        <v>1</v>
      </c>
    </row>
    <row r="3077" spans="1:38" x14ac:dyDescent="0.2">
      <c r="A3077" s="2">
        <v>2026</v>
      </c>
      <c r="B3077" s="2">
        <v>1</v>
      </c>
      <c r="D3077" s="2" t="s">
        <v>775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776</v>
      </c>
      <c r="J3077" s="2" t="s">
        <v>777</v>
      </c>
      <c r="L3077" s="2" t="s">
        <v>339</v>
      </c>
      <c r="M3077" s="2" t="s">
        <v>40</v>
      </c>
      <c r="O3077" s="2" t="s">
        <v>2304</v>
      </c>
      <c r="P3077" s="2" t="s">
        <v>40</v>
      </c>
      <c r="Q3077" s="2" t="s">
        <v>363</v>
      </c>
      <c r="R3077" s="2" t="s">
        <v>364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431"/>
        <v>1</v>
      </c>
      <c r="Z3077" s="2" t="s">
        <v>117</v>
      </c>
      <c r="AA3077" s="2" t="s">
        <v>118</v>
      </c>
      <c r="AF3077" s="2">
        <f t="shared" si="429"/>
        <v>0</v>
      </c>
      <c r="AJ3077" s="2">
        <f t="shared" si="430"/>
        <v>0</v>
      </c>
      <c r="AK3077" s="2">
        <f t="shared" si="427"/>
        <v>2296.8000000000002</v>
      </c>
      <c r="AL3077" s="5">
        <f t="shared" si="432"/>
        <v>1</v>
      </c>
    </row>
    <row r="3078" spans="1:38" x14ac:dyDescent="0.2">
      <c r="A3078" s="2">
        <v>2026</v>
      </c>
      <c r="B3078" s="2">
        <v>1</v>
      </c>
      <c r="D3078" s="2" t="s">
        <v>500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501</v>
      </c>
      <c r="J3078" s="2" t="s">
        <v>502</v>
      </c>
      <c r="K3078" s="2">
        <v>918010109</v>
      </c>
      <c r="L3078" s="2" t="s">
        <v>99</v>
      </c>
      <c r="O3078" s="2" t="s">
        <v>2458</v>
      </c>
      <c r="P3078" s="2" t="s">
        <v>40</v>
      </c>
      <c r="Q3078" s="2" t="s">
        <v>363</v>
      </c>
      <c r="R3078" s="2" t="s">
        <v>364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431"/>
        <v>1</v>
      </c>
      <c r="Z3078" s="2" t="s">
        <v>3226</v>
      </c>
      <c r="AA3078" s="2" t="s">
        <v>119</v>
      </c>
      <c r="AF3078" s="2">
        <f t="shared" si="429"/>
        <v>0</v>
      </c>
      <c r="AJ3078" s="2">
        <f t="shared" si="430"/>
        <v>0</v>
      </c>
      <c r="AK3078" s="2">
        <f t="shared" si="427"/>
        <v>267.8</v>
      </c>
      <c r="AL3078" s="5">
        <f t="shared" si="432"/>
        <v>1</v>
      </c>
    </row>
    <row r="3079" spans="1:38" x14ac:dyDescent="0.2">
      <c r="A3079" s="2">
        <v>2026</v>
      </c>
      <c r="B3079" s="2">
        <v>1</v>
      </c>
      <c r="D3079" s="2" t="s">
        <v>617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618</v>
      </c>
      <c r="J3079" s="2" t="s">
        <v>619</v>
      </c>
      <c r="L3079" s="2" t="s">
        <v>418</v>
      </c>
      <c r="M3079" s="2" t="s">
        <v>40</v>
      </c>
      <c r="O3079" s="2" t="s">
        <v>2459</v>
      </c>
      <c r="P3079" s="2" t="s">
        <v>114</v>
      </c>
      <c r="Q3079" s="2" t="s">
        <v>2225</v>
      </c>
      <c r="R3079" s="2" t="s">
        <v>2226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431"/>
        <v>0.52444444444444449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29"/>
        <v>0</v>
      </c>
      <c r="AG3079" s="2">
        <v>5.35</v>
      </c>
      <c r="AJ3079" s="2">
        <f t="shared" si="430"/>
        <v>0</v>
      </c>
      <c r="AK3079" s="2">
        <f t="shared" si="427"/>
        <v>5.9</v>
      </c>
      <c r="AL3079" s="5">
        <f t="shared" si="432"/>
        <v>0.52444444444444449</v>
      </c>
    </row>
    <row r="3080" spans="1:38" x14ac:dyDescent="0.2">
      <c r="A3080" s="2">
        <v>2026</v>
      </c>
      <c r="B3080" s="2">
        <v>2</v>
      </c>
      <c r="D3080" s="2" t="s">
        <v>2451</v>
      </c>
      <c r="E3080" s="2" t="s">
        <v>108</v>
      </c>
      <c r="F3080" s="2" t="s">
        <v>39</v>
      </c>
      <c r="G3080" s="2">
        <v>513015213</v>
      </c>
      <c r="H3080" s="2" t="s">
        <v>109</v>
      </c>
      <c r="I3080" s="2" t="s">
        <v>2452</v>
      </c>
      <c r="J3080" s="2" t="s">
        <v>2453</v>
      </c>
      <c r="K3080" s="2">
        <v>967554174</v>
      </c>
      <c r="L3080" s="2" t="s">
        <v>133</v>
      </c>
      <c r="M3080" s="2" t="s">
        <v>40</v>
      </c>
      <c r="O3080" s="2" t="s">
        <v>2454</v>
      </c>
      <c r="P3080" s="2" t="s">
        <v>114</v>
      </c>
      <c r="Q3080" s="2" t="s">
        <v>2297</v>
      </c>
      <c r="R3080" s="2" t="s">
        <v>2298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431"/>
        <v>0.51653610293857011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29"/>
        <v>0</v>
      </c>
      <c r="AG3080" s="2">
        <v>136.38999999999999</v>
      </c>
      <c r="AJ3080" s="2">
        <f t="shared" si="430"/>
        <v>0</v>
      </c>
      <c r="AK3080" s="2">
        <f t="shared" si="427"/>
        <v>145.72000000000003</v>
      </c>
      <c r="AL3080" s="5">
        <f t="shared" si="432"/>
        <v>0.51653610293857011</v>
      </c>
    </row>
    <row r="3081" spans="1:38" x14ac:dyDescent="0.2">
      <c r="A3081" s="2">
        <v>2026</v>
      </c>
      <c r="B3081" s="2">
        <v>1</v>
      </c>
      <c r="D3081" s="2" t="s">
        <v>781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782</v>
      </c>
      <c r="J3081" s="2" t="s">
        <v>783</v>
      </c>
      <c r="K3081" s="2">
        <v>917341136</v>
      </c>
      <c r="L3081" s="2" t="s">
        <v>99</v>
      </c>
      <c r="M3081" s="2" t="s">
        <v>40</v>
      </c>
      <c r="O3081" s="2" t="s">
        <v>2460</v>
      </c>
      <c r="P3081" s="2" t="s">
        <v>114</v>
      </c>
      <c r="Q3081" s="2" t="s">
        <v>2216</v>
      </c>
      <c r="R3081" s="2" t="s">
        <v>1429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431"/>
        <v>0.54050192061459668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29"/>
        <v>0</v>
      </c>
      <c r="AG3081" s="2">
        <v>17.9434</v>
      </c>
      <c r="AJ3081" s="2">
        <f t="shared" si="430"/>
        <v>0</v>
      </c>
      <c r="AK3081" s="2">
        <f t="shared" si="427"/>
        <v>21.106599999999997</v>
      </c>
      <c r="AL3081" s="5">
        <f t="shared" si="432"/>
        <v>0.54050192061459668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2461</v>
      </c>
      <c r="R3082" s="2" t="s">
        <v>2462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431"/>
        <v>0.51254601821352452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29"/>
        <v>0</v>
      </c>
      <c r="AG3082" s="2">
        <v>25.157499999999999</v>
      </c>
      <c r="AJ3082" s="2">
        <f t="shared" si="430"/>
        <v>0</v>
      </c>
      <c r="AK3082" s="2">
        <f t="shared" si="427"/>
        <v>26.452500000000001</v>
      </c>
      <c r="AL3082" s="5">
        <f t="shared" si="432"/>
        <v>0.51254601821352452</v>
      </c>
    </row>
    <row r="3083" spans="1:38" x14ac:dyDescent="0.2">
      <c r="A3083" s="2">
        <v>2026</v>
      </c>
      <c r="B3083" s="2">
        <v>2</v>
      </c>
      <c r="D3083" s="2" t="s">
        <v>2451</v>
      </c>
      <c r="E3083" s="2" t="s">
        <v>108</v>
      </c>
      <c r="F3083" s="2" t="s">
        <v>39</v>
      </c>
      <c r="G3083" s="2">
        <v>513015213</v>
      </c>
      <c r="H3083" s="2" t="s">
        <v>109</v>
      </c>
      <c r="I3083" s="2" t="s">
        <v>2452</v>
      </c>
      <c r="J3083" s="2" t="s">
        <v>2453</v>
      </c>
      <c r="K3083" s="2">
        <v>967554174</v>
      </c>
      <c r="L3083" s="2" t="s">
        <v>133</v>
      </c>
      <c r="M3083" s="2" t="s">
        <v>40</v>
      </c>
      <c r="O3083" s="2" t="s">
        <v>2454</v>
      </c>
      <c r="P3083" s="2" t="s">
        <v>114</v>
      </c>
      <c r="Q3083" s="2" t="s">
        <v>1374</v>
      </c>
      <c r="R3083" s="2" t="s">
        <v>1375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431"/>
        <v>0.52574687207421911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29"/>
        <v>0</v>
      </c>
      <c r="AG3083" s="2">
        <v>27.86</v>
      </c>
      <c r="AJ3083" s="2">
        <f t="shared" si="430"/>
        <v>0</v>
      </c>
      <c r="AK3083" s="2">
        <f t="shared" si="427"/>
        <v>61.769999999999996</v>
      </c>
      <c r="AL3083" s="5">
        <f t="shared" si="432"/>
        <v>0.52574687207421911</v>
      </c>
    </row>
    <row r="3084" spans="1:38" x14ac:dyDescent="0.2">
      <c r="A3084" s="2">
        <v>2026</v>
      </c>
      <c r="B3084" s="2">
        <v>1</v>
      </c>
      <c r="D3084" s="2" t="s">
        <v>781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782</v>
      </c>
      <c r="J3084" s="2" t="s">
        <v>783</v>
      </c>
      <c r="K3084" s="2">
        <v>917341136</v>
      </c>
      <c r="L3084" s="2" t="s">
        <v>99</v>
      </c>
      <c r="M3084" s="2" t="s">
        <v>40</v>
      </c>
      <c r="O3084" s="2" t="s">
        <v>2463</v>
      </c>
      <c r="P3084" s="2" t="s">
        <v>114</v>
      </c>
      <c r="Q3084" s="2" t="s">
        <v>2193</v>
      </c>
      <c r="R3084" s="2" t="s">
        <v>2194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431"/>
        <v>0.43878086419753093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29"/>
        <v>0</v>
      </c>
      <c r="AG3084" s="2">
        <v>7.2733999999999996</v>
      </c>
      <c r="AJ3084" s="2">
        <f t="shared" si="430"/>
        <v>0</v>
      </c>
      <c r="AK3084" s="2">
        <f t="shared" si="427"/>
        <v>5.6866000000000012</v>
      </c>
      <c r="AL3084" s="5">
        <f t="shared" si="432"/>
        <v>0.43878086419753093</v>
      </c>
    </row>
    <row r="3085" spans="1:38" x14ac:dyDescent="0.2">
      <c r="A3085" s="2">
        <v>2026</v>
      </c>
      <c r="B3085" s="2">
        <v>1</v>
      </c>
      <c r="D3085" s="2" t="s">
        <v>289</v>
      </c>
      <c r="E3085" s="2" t="s">
        <v>108</v>
      </c>
      <c r="F3085" s="2" t="s">
        <v>39</v>
      </c>
      <c r="G3085" s="2">
        <v>508428300</v>
      </c>
      <c r="H3085" s="2" t="s">
        <v>290</v>
      </c>
      <c r="I3085" s="2" t="s">
        <v>291</v>
      </c>
      <c r="J3085" s="2" t="s">
        <v>292</v>
      </c>
      <c r="K3085" s="2">
        <v>917165642</v>
      </c>
      <c r="L3085" s="2" t="s">
        <v>293</v>
      </c>
      <c r="M3085" s="2" t="s">
        <v>40</v>
      </c>
      <c r="O3085" s="2" t="s">
        <v>2443</v>
      </c>
      <c r="P3085" s="2" t="s">
        <v>114</v>
      </c>
      <c r="Q3085" s="2" t="s">
        <v>1514</v>
      </c>
      <c r="R3085" s="2" t="s">
        <v>1515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29"/>
        <v>0</v>
      </c>
      <c r="AG3085" s="2">
        <v>11.246700000000001</v>
      </c>
      <c r="AJ3085" s="2">
        <f t="shared" si="430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403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2476</v>
      </c>
      <c r="J3086" s="2" t="s">
        <v>3122</v>
      </c>
      <c r="K3086" s="2">
        <v>965864665</v>
      </c>
      <c r="L3086" s="2" t="s">
        <v>344</v>
      </c>
      <c r="M3086" s="2" t="s">
        <v>40</v>
      </c>
      <c r="O3086" s="2" t="s">
        <v>2477</v>
      </c>
      <c r="P3086" s="2" t="s">
        <v>114</v>
      </c>
      <c r="Q3086" s="2" t="s">
        <v>1514</v>
      </c>
      <c r="R3086" s="2" t="s">
        <v>1515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29"/>
        <v>0</v>
      </c>
      <c r="AG3086" s="2">
        <v>11.246700000000001</v>
      </c>
      <c r="AJ3086" s="2">
        <f t="shared" si="430"/>
        <v>0</v>
      </c>
      <c r="AK3086" s="2">
        <f t="shared" ref="AK3086:AK3098" si="433">T3086-W3086</f>
        <v>12.543299999999999</v>
      </c>
      <c r="AL3086" s="5">
        <f t="shared" ref="AL3086:AL3098" si="434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2464</v>
      </c>
      <c r="P3087" s="2" t="s">
        <v>114</v>
      </c>
      <c r="Q3087" s="2" t="s">
        <v>2465</v>
      </c>
      <c r="R3087" s="2" t="s">
        <v>2466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29"/>
        <v>0</v>
      </c>
      <c r="AG3087" s="2">
        <v>38.56</v>
      </c>
      <c r="AJ3087" s="2">
        <f t="shared" si="430"/>
        <v>0</v>
      </c>
      <c r="AK3087" s="2">
        <f t="shared" si="433"/>
        <v>28.289999999999992</v>
      </c>
      <c r="AL3087" s="5">
        <f t="shared" si="434"/>
        <v>0.42318623784592363</v>
      </c>
    </row>
    <row r="3088" spans="1:38" x14ac:dyDescent="0.2">
      <c r="A3088" s="2">
        <v>2026</v>
      </c>
      <c r="B3088" s="2">
        <v>2</v>
      </c>
      <c r="D3088" s="2" t="s">
        <v>643</v>
      </c>
      <c r="E3088" s="2" t="s">
        <v>108</v>
      </c>
      <c r="F3088" s="2" t="s">
        <v>477</v>
      </c>
      <c r="G3088" s="2">
        <v>509056946</v>
      </c>
      <c r="H3088" s="2" t="s">
        <v>109</v>
      </c>
      <c r="I3088" s="2" t="s">
        <v>644</v>
      </c>
      <c r="J3088" s="2" t="s">
        <v>645</v>
      </c>
      <c r="K3088" s="2">
        <v>964495536</v>
      </c>
      <c r="L3088" s="2" t="s">
        <v>112</v>
      </c>
      <c r="M3088" s="2" t="s">
        <v>40</v>
      </c>
      <c r="O3088" s="2" t="s">
        <v>2467</v>
      </c>
      <c r="P3088" s="2" t="s">
        <v>114</v>
      </c>
      <c r="Q3088" s="2" t="s">
        <v>2468</v>
      </c>
      <c r="R3088" s="2" t="s">
        <v>2469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29"/>
        <v>0</v>
      </c>
      <c r="AG3088" s="2">
        <v>84.95</v>
      </c>
      <c r="AJ3088" s="2">
        <f t="shared" si="430"/>
        <v>0</v>
      </c>
      <c r="AK3088" s="2">
        <f t="shared" si="433"/>
        <v>66.95</v>
      </c>
      <c r="AL3088" s="5">
        <f t="shared" si="434"/>
        <v>0.44075049374588543</v>
      </c>
    </row>
    <row r="3089" spans="1:38" x14ac:dyDescent="0.2">
      <c r="A3089" s="2">
        <v>2026</v>
      </c>
      <c r="B3089" s="2">
        <v>2</v>
      </c>
      <c r="C3089" s="2" t="s">
        <v>3454</v>
      </c>
      <c r="D3089" s="2" t="s">
        <v>624</v>
      </c>
      <c r="E3089" s="2" t="s">
        <v>38</v>
      </c>
      <c r="F3089" s="2" t="s">
        <v>39</v>
      </c>
      <c r="G3089" s="2" t="s">
        <v>625</v>
      </c>
      <c r="H3089" s="2" t="s">
        <v>40</v>
      </c>
      <c r="I3089" s="2" t="s">
        <v>626</v>
      </c>
      <c r="J3089" s="2" t="s">
        <v>627</v>
      </c>
      <c r="L3089" s="2" t="s">
        <v>626</v>
      </c>
      <c r="M3089" s="2" t="s">
        <v>40</v>
      </c>
      <c r="O3089" s="2" t="s">
        <v>2470</v>
      </c>
      <c r="P3089" s="2" t="s">
        <v>114</v>
      </c>
      <c r="Q3089" s="2" t="s">
        <v>2471</v>
      </c>
      <c r="R3089" s="2" t="s">
        <v>2472</v>
      </c>
      <c r="S3089" s="2">
        <v>1</v>
      </c>
      <c r="T3089" s="2">
        <v>544.55999999999995</v>
      </c>
      <c r="V3089" s="2">
        <f>T3089</f>
        <v>544.55999999999995</v>
      </c>
      <c r="W3089" s="2">
        <v>314.88499999999999</v>
      </c>
      <c r="X3089" s="5">
        <f>(T3089-W3089)/T3089</f>
        <v>0.42176252387248414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29"/>
        <v>0</v>
      </c>
      <c r="AG3089" s="2">
        <v>314.88499999999999</v>
      </c>
      <c r="AJ3089" s="2">
        <f t="shared" si="430"/>
        <v>0</v>
      </c>
      <c r="AK3089" s="2">
        <f t="shared" si="433"/>
        <v>229.67499999999995</v>
      </c>
      <c r="AL3089" s="5">
        <f t="shared" si="434"/>
        <v>0.42176252387248414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2473</v>
      </c>
      <c r="P3090" s="2" t="s">
        <v>114</v>
      </c>
      <c r="Q3090" s="2" t="s">
        <v>514</v>
      </c>
      <c r="R3090" s="2" t="s">
        <v>515</v>
      </c>
      <c r="S3090" s="2">
        <v>0</v>
      </c>
      <c r="T3090" s="2">
        <v>0</v>
      </c>
      <c r="U3090" s="2">
        <v>0</v>
      </c>
      <c r="V3090" s="2">
        <v>0</v>
      </c>
      <c r="W3090" s="2">
        <v>0</v>
      </c>
      <c r="X3090" s="5">
        <v>0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29"/>
        <v>0</v>
      </c>
      <c r="AJ3090" s="2">
        <f t="shared" si="430"/>
        <v>0</v>
      </c>
      <c r="AK3090" s="2">
        <f t="shared" si="433"/>
        <v>0</v>
      </c>
      <c r="AL3090" s="5">
        <v>0</v>
      </c>
    </row>
    <row r="3091" spans="1:38" x14ac:dyDescent="0.2">
      <c r="A3091" s="2">
        <v>2026</v>
      </c>
      <c r="B3091" s="2">
        <v>1</v>
      </c>
      <c r="D3091" s="2" t="s">
        <v>775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776</v>
      </c>
      <c r="J3091" s="2" t="s">
        <v>777</v>
      </c>
      <c r="L3091" s="2" t="s">
        <v>339</v>
      </c>
      <c r="M3091" s="2" t="s">
        <v>40</v>
      </c>
      <c r="O3091" s="2" t="s">
        <v>2474</v>
      </c>
      <c r="P3091" s="2" t="s">
        <v>114</v>
      </c>
      <c r="Q3091" s="2" t="s">
        <v>356</v>
      </c>
      <c r="R3091" s="2" t="s">
        <v>357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435">(T3091-W3091)/T3091</f>
        <v>0.52387659418472288</v>
      </c>
      <c r="Z3091" s="2" t="s">
        <v>117</v>
      </c>
      <c r="AA3091" s="2" t="s">
        <v>118</v>
      </c>
      <c r="AB3091" s="2" t="s">
        <v>119</v>
      </c>
      <c r="AC3091" s="2" t="s">
        <v>114</v>
      </c>
      <c r="AF3091" s="2">
        <f t="shared" si="429"/>
        <v>0</v>
      </c>
      <c r="AG3091" s="2">
        <v>246.77</v>
      </c>
      <c r="AJ3091" s="2">
        <f t="shared" si="430"/>
        <v>0</v>
      </c>
      <c r="AK3091" s="2">
        <f t="shared" si="433"/>
        <v>271.52</v>
      </c>
      <c r="AL3091" s="5">
        <f t="shared" si="434"/>
        <v>0.52387659418472288</v>
      </c>
    </row>
    <row r="3092" spans="1:38" x14ac:dyDescent="0.2">
      <c r="A3092" s="2">
        <v>2026</v>
      </c>
      <c r="B3092" s="2">
        <v>2</v>
      </c>
      <c r="D3092" s="2" t="s">
        <v>308</v>
      </c>
      <c r="E3092" s="2" t="s">
        <v>108</v>
      </c>
      <c r="F3092" s="2" t="s">
        <v>39</v>
      </c>
      <c r="G3092" s="2">
        <v>503724300</v>
      </c>
      <c r="H3092" s="2" t="s">
        <v>109</v>
      </c>
      <c r="I3092" s="2" t="s">
        <v>3114</v>
      </c>
      <c r="J3092" s="2" t="s">
        <v>3115</v>
      </c>
      <c r="L3092" s="2" t="s">
        <v>112</v>
      </c>
      <c r="M3092" s="2" t="s">
        <v>40</v>
      </c>
      <c r="O3092" s="2" t="s">
        <v>2475</v>
      </c>
      <c r="P3092" s="2" t="s">
        <v>114</v>
      </c>
      <c r="Q3092" s="2" t="s">
        <v>877</v>
      </c>
      <c r="R3092" s="2" t="s">
        <v>878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435"/>
        <v>0.22075949367088604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29"/>
        <v>0</v>
      </c>
      <c r="AG3092" s="2">
        <v>615.6</v>
      </c>
      <c r="AJ3092" s="2">
        <f t="shared" si="430"/>
        <v>0</v>
      </c>
      <c r="AK3092" s="2">
        <f t="shared" si="433"/>
        <v>174.39999999999998</v>
      </c>
      <c r="AL3092" s="5">
        <f t="shared" si="434"/>
        <v>0.22075949367088604</v>
      </c>
    </row>
    <row r="3093" spans="1:38" x14ac:dyDescent="0.2">
      <c r="A3093" s="2">
        <v>2026</v>
      </c>
      <c r="B3093" s="2">
        <v>1</v>
      </c>
      <c r="D3093" s="2" t="s">
        <v>781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782</v>
      </c>
      <c r="J3093" s="2" t="s">
        <v>783</v>
      </c>
      <c r="K3093" s="2">
        <v>917341136</v>
      </c>
      <c r="L3093" s="2" t="s">
        <v>99</v>
      </c>
      <c r="M3093" s="2" t="s">
        <v>40</v>
      </c>
      <c r="O3093" s="2" t="s">
        <v>2463</v>
      </c>
      <c r="P3093" s="2" t="s">
        <v>114</v>
      </c>
      <c r="Q3093" s="2" t="s">
        <v>953</v>
      </c>
      <c r="R3093" s="2" t="s">
        <v>954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435"/>
        <v>0.40942028985507245</v>
      </c>
      <c r="Z3093" s="2" t="s">
        <v>117</v>
      </c>
      <c r="AA3093" s="2" t="s">
        <v>578</v>
      </c>
      <c r="AB3093" s="2" t="s">
        <v>119</v>
      </c>
      <c r="AC3093" s="2" t="s">
        <v>114</v>
      </c>
      <c r="AF3093" s="2">
        <f t="shared" si="429"/>
        <v>0</v>
      </c>
      <c r="AG3093" s="2">
        <f>14.4+0.27</f>
        <v>14.67</v>
      </c>
      <c r="AJ3093" s="2">
        <f t="shared" si="430"/>
        <v>0</v>
      </c>
      <c r="AK3093" s="2">
        <f t="shared" si="433"/>
        <v>30.509999999999998</v>
      </c>
      <c r="AL3093" s="5">
        <f t="shared" si="434"/>
        <v>0.40942028985507245</v>
      </c>
    </row>
    <row r="3094" spans="1:38" x14ac:dyDescent="0.2">
      <c r="A3094" s="2">
        <v>2026</v>
      </c>
      <c r="B3094" s="2">
        <v>2</v>
      </c>
      <c r="D3094" s="2" t="s">
        <v>403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2476</v>
      </c>
      <c r="J3094" s="2" t="s">
        <v>3122</v>
      </c>
      <c r="K3094" s="2">
        <v>965864665</v>
      </c>
      <c r="L3094" s="2" t="s">
        <v>344</v>
      </c>
      <c r="M3094" s="2" t="s">
        <v>40</v>
      </c>
      <c r="O3094" s="2" t="s">
        <v>2477</v>
      </c>
      <c r="P3094" s="2" t="s">
        <v>114</v>
      </c>
      <c r="Q3094" s="2" t="s">
        <v>1079</v>
      </c>
      <c r="R3094" s="2" t="s">
        <v>1080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435"/>
        <v>0.51006711409395977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29"/>
        <v>0</v>
      </c>
      <c r="AG3094" s="2">
        <v>37.96</v>
      </c>
      <c r="AJ3094" s="2">
        <f t="shared" si="430"/>
        <v>0</v>
      </c>
      <c r="AK3094" s="2">
        <f t="shared" si="433"/>
        <v>39.520000000000003</v>
      </c>
      <c r="AL3094" s="5">
        <f t="shared" si="434"/>
        <v>0.51006711409395977</v>
      </c>
    </row>
    <row r="3095" spans="1:38" x14ac:dyDescent="0.2">
      <c r="A3095" s="2">
        <v>2026</v>
      </c>
      <c r="B3095" s="2">
        <v>1</v>
      </c>
      <c r="D3095" s="2" t="s">
        <v>1150</v>
      </c>
      <c r="E3095" s="2" t="s">
        <v>108</v>
      </c>
      <c r="F3095" s="2" t="s">
        <v>39</v>
      </c>
      <c r="G3095" s="2">
        <v>504039733</v>
      </c>
      <c r="H3095" s="2" t="s">
        <v>109</v>
      </c>
      <c r="I3095" s="2" t="s">
        <v>2478</v>
      </c>
      <c r="J3095" s="2" t="s">
        <v>1473</v>
      </c>
      <c r="K3095" s="2">
        <v>938183284</v>
      </c>
      <c r="L3095" s="2" t="s">
        <v>133</v>
      </c>
      <c r="M3095" s="2" t="s">
        <v>40</v>
      </c>
      <c r="O3095" s="2" t="s">
        <v>2479</v>
      </c>
      <c r="P3095" s="2" t="s">
        <v>114</v>
      </c>
      <c r="Q3095" s="2" t="s">
        <v>2480</v>
      </c>
      <c r="R3095" s="2" t="s">
        <v>1387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435"/>
        <v>0.52381156500492942</v>
      </c>
      <c r="Z3095" s="2" t="s">
        <v>117</v>
      </c>
      <c r="AA3095" s="2" t="s">
        <v>118</v>
      </c>
      <c r="AB3095" s="2" t="s">
        <v>119</v>
      </c>
      <c r="AC3095" s="2" t="s">
        <v>114</v>
      </c>
      <c r="AF3095" s="2">
        <f t="shared" si="429"/>
        <v>0</v>
      </c>
      <c r="AG3095" s="2">
        <v>222.18</v>
      </c>
      <c r="AJ3095" s="2">
        <f t="shared" si="430"/>
        <v>0</v>
      </c>
      <c r="AK3095" s="2">
        <f t="shared" si="433"/>
        <v>244.39999999999998</v>
      </c>
      <c r="AL3095" s="5">
        <f t="shared" si="434"/>
        <v>0.52381156500492942</v>
      </c>
    </row>
    <row r="3096" spans="1:38" x14ac:dyDescent="0.2">
      <c r="A3096" s="2">
        <v>2026</v>
      </c>
      <c r="B3096" s="2">
        <v>2</v>
      </c>
      <c r="C3096" s="2" t="s">
        <v>3454</v>
      </c>
      <c r="D3096" s="2" t="s">
        <v>624</v>
      </c>
      <c r="E3096" s="2" t="s">
        <v>38</v>
      </c>
      <c r="F3096" s="2" t="s">
        <v>39</v>
      </c>
      <c r="G3096" s="2" t="s">
        <v>625</v>
      </c>
      <c r="H3096" s="2" t="s">
        <v>40</v>
      </c>
      <c r="I3096" s="2" t="s">
        <v>626</v>
      </c>
      <c r="J3096" s="2" t="s">
        <v>627</v>
      </c>
      <c r="L3096" s="2" t="s">
        <v>626</v>
      </c>
      <c r="M3096" s="2" t="s">
        <v>40</v>
      </c>
      <c r="O3096" s="2" t="s">
        <v>2470</v>
      </c>
      <c r="P3096" s="2" t="s">
        <v>114</v>
      </c>
      <c r="Q3096" s="2" t="s">
        <v>904</v>
      </c>
      <c r="R3096" s="2" t="s">
        <v>905</v>
      </c>
      <c r="S3096" s="2">
        <v>1</v>
      </c>
      <c r="T3096" s="2">
        <v>465.7</v>
      </c>
      <c r="V3096" s="2">
        <f>T3096</f>
        <v>465.7</v>
      </c>
      <c r="W3096" s="2">
        <v>345.20339999999999</v>
      </c>
      <c r="X3096" s="5">
        <f t="shared" si="435"/>
        <v>0.25874296757569254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29"/>
        <v>0</v>
      </c>
      <c r="AG3096" s="2">
        <v>342.22</v>
      </c>
      <c r="AJ3096" s="2">
        <f t="shared" si="430"/>
        <v>0</v>
      </c>
      <c r="AK3096" s="2">
        <f t="shared" si="433"/>
        <v>120.4966</v>
      </c>
      <c r="AL3096" s="5">
        <f t="shared" si="434"/>
        <v>0.25874296757569254</v>
      </c>
    </row>
    <row r="3097" spans="1:38" x14ac:dyDescent="0.2">
      <c r="A3097" s="2">
        <v>2026</v>
      </c>
      <c r="B3097" s="2">
        <v>2</v>
      </c>
      <c r="D3097" s="2" t="s">
        <v>2287</v>
      </c>
      <c r="E3097" s="2" t="s">
        <v>108</v>
      </c>
      <c r="F3097" s="2" t="s">
        <v>39</v>
      </c>
      <c r="G3097" s="2">
        <v>513889248</v>
      </c>
      <c r="H3097" s="2" t="s">
        <v>40</v>
      </c>
      <c r="I3097" s="2" t="s">
        <v>583</v>
      </c>
      <c r="J3097" s="2" t="s">
        <v>2288</v>
      </c>
      <c r="L3097" s="2" t="s">
        <v>201</v>
      </c>
      <c r="M3097" s="2" t="s">
        <v>40</v>
      </c>
      <c r="O3097" s="2" t="s">
        <v>2289</v>
      </c>
      <c r="P3097" s="2" t="s">
        <v>114</v>
      </c>
      <c r="Q3097" s="2" t="s">
        <v>179</v>
      </c>
      <c r="R3097" s="2" t="s">
        <v>180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435"/>
        <v>0.50869440869440863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29"/>
        <v>0</v>
      </c>
      <c r="AG3097" s="2">
        <v>343.38569999999999</v>
      </c>
      <c r="AJ3097" s="2">
        <f t="shared" si="430"/>
        <v>0</v>
      </c>
      <c r="AK3097" s="2">
        <f t="shared" si="433"/>
        <v>355.72999999999996</v>
      </c>
      <c r="AL3097" s="5">
        <f t="shared" si="434"/>
        <v>0.50869440869440863</v>
      </c>
    </row>
    <row r="3098" spans="1:38" x14ac:dyDescent="0.2">
      <c r="A3098" s="2">
        <v>2026</v>
      </c>
      <c r="B3098" s="2">
        <v>2</v>
      </c>
      <c r="D3098" s="2" t="s">
        <v>2290</v>
      </c>
      <c r="E3098" s="2" t="s">
        <v>38</v>
      </c>
      <c r="G3098" s="2">
        <v>509800696</v>
      </c>
      <c r="H3098" s="2" t="s">
        <v>290</v>
      </c>
      <c r="I3098" s="2" t="s">
        <v>2291</v>
      </c>
      <c r="J3098" s="2" t="s">
        <v>2292</v>
      </c>
      <c r="K3098" s="2">
        <v>930444437</v>
      </c>
      <c r="L3098" s="2" t="s">
        <v>2291</v>
      </c>
      <c r="M3098" s="2" t="s">
        <v>40</v>
      </c>
      <c r="O3098" s="2" t="s">
        <v>2293</v>
      </c>
      <c r="P3098" s="2" t="s">
        <v>114</v>
      </c>
      <c r="Q3098" s="2" t="s">
        <v>179</v>
      </c>
      <c r="R3098" s="2" t="s">
        <v>180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435"/>
        <v>0.42678395061728397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29"/>
        <v>0</v>
      </c>
      <c r="AG3098" s="2">
        <v>343.38569999999999</v>
      </c>
      <c r="AJ3098" s="2">
        <f t="shared" si="430"/>
        <v>0</v>
      </c>
      <c r="AK3098" s="2">
        <f t="shared" si="433"/>
        <v>511.62860000000001</v>
      </c>
      <c r="AL3098" s="5">
        <f t="shared" si="434"/>
        <v>0.42678395061728397</v>
      </c>
    </row>
    <row r="3099" spans="1:38" x14ac:dyDescent="0.2">
      <c r="A3099" s="2">
        <v>2026</v>
      </c>
      <c r="B3099" s="2">
        <v>2</v>
      </c>
      <c r="D3099" s="2" t="s">
        <v>2327</v>
      </c>
      <c r="I3099" s="2" t="s">
        <v>804</v>
      </c>
      <c r="L3099" s="2" t="s">
        <v>99</v>
      </c>
      <c r="M3099" s="2" t="s">
        <v>40</v>
      </c>
      <c r="O3099" s="2" t="s">
        <v>2481</v>
      </c>
      <c r="P3099" s="2" t="s">
        <v>114</v>
      </c>
      <c r="Q3099" s="2" t="s">
        <v>179</v>
      </c>
      <c r="R3099" s="2" t="s">
        <v>180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29"/>
        <v>0</v>
      </c>
      <c r="AG3099" s="2">
        <v>343.38569999999999</v>
      </c>
      <c r="AJ3099" s="2">
        <f t="shared" si="430"/>
        <v>0</v>
      </c>
    </row>
    <row r="3100" spans="1:38" x14ac:dyDescent="0.2">
      <c r="A3100" s="2">
        <v>2026</v>
      </c>
      <c r="B3100" s="2">
        <v>2</v>
      </c>
      <c r="D3100" s="2" t="s">
        <v>2482</v>
      </c>
      <c r="M3100" s="2" t="s">
        <v>40</v>
      </c>
      <c r="O3100" s="2" t="s">
        <v>2483</v>
      </c>
      <c r="P3100" s="2" t="s">
        <v>114</v>
      </c>
      <c r="Q3100" s="2" t="s">
        <v>179</v>
      </c>
      <c r="R3100" s="2" t="s">
        <v>180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436">(T3100-W3100)/T3100</f>
        <v>0.50440440440440437</v>
      </c>
      <c r="Z3100" s="2" t="s">
        <v>117</v>
      </c>
      <c r="AA3100" s="2" t="s">
        <v>181</v>
      </c>
      <c r="AB3100" s="2" t="s">
        <v>119</v>
      </c>
      <c r="AC3100" s="2" t="s">
        <v>114</v>
      </c>
      <c r="AF3100" s="2">
        <f t="shared" si="429"/>
        <v>0</v>
      </c>
      <c r="AG3100" s="2">
        <v>343.38569999999999</v>
      </c>
      <c r="AJ3100" s="2">
        <f t="shared" si="430"/>
        <v>0</v>
      </c>
      <c r="AK3100" s="2">
        <f t="shared" ref="AK3100:AK3131" si="437">T3100-W3100</f>
        <v>352.72999999999996</v>
      </c>
      <c r="AL3100" s="5">
        <f t="shared" ref="AL3100:AL3109" si="438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744</v>
      </c>
      <c r="E3101" s="2" t="s">
        <v>108</v>
      </c>
      <c r="F3101" s="2" t="s">
        <v>39</v>
      </c>
      <c r="G3101" s="2">
        <v>509181163</v>
      </c>
      <c r="H3101" s="2" t="s">
        <v>40</v>
      </c>
      <c r="I3101" s="2" t="s">
        <v>745</v>
      </c>
      <c r="J3101" s="2" t="s">
        <v>746</v>
      </c>
      <c r="K3101" s="2">
        <v>962372760</v>
      </c>
      <c r="L3101" s="2" t="s">
        <v>201</v>
      </c>
      <c r="M3101" s="2" t="s">
        <v>40</v>
      </c>
      <c r="O3101" s="2" t="s">
        <v>2484</v>
      </c>
      <c r="P3101" s="2" t="s">
        <v>114</v>
      </c>
      <c r="Q3101" s="2" t="s">
        <v>1424</v>
      </c>
      <c r="R3101" s="2" t="s">
        <v>1425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436"/>
        <v>0.45541480842983673</v>
      </c>
      <c r="Z3101" s="2" t="s">
        <v>117</v>
      </c>
      <c r="AA3101" s="2" t="s">
        <v>616</v>
      </c>
      <c r="AB3101" s="2" t="s">
        <v>957</v>
      </c>
      <c r="AC3101" s="2" t="s">
        <v>114</v>
      </c>
      <c r="AF3101" s="2">
        <f t="shared" si="429"/>
        <v>0</v>
      </c>
      <c r="AG3101" s="2">
        <f>868.26+3.61</f>
        <v>871.87</v>
      </c>
      <c r="AJ3101" s="2">
        <f t="shared" si="430"/>
        <v>0</v>
      </c>
      <c r="AK3101" s="2">
        <f t="shared" si="437"/>
        <v>729.11</v>
      </c>
      <c r="AL3101" s="5">
        <f t="shared" si="438"/>
        <v>0.45541480842983673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2485</v>
      </c>
      <c r="P3102" s="2" t="s">
        <v>114</v>
      </c>
      <c r="Q3102" s="2" t="s">
        <v>2486</v>
      </c>
      <c r="R3102" s="2" t="s">
        <v>2487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436"/>
        <v>0.52137606996650543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29"/>
        <v>0</v>
      </c>
      <c r="AG3102" s="2">
        <v>102.88249999999999</v>
      </c>
      <c r="AJ3102" s="2">
        <f t="shared" si="430"/>
        <v>0</v>
      </c>
      <c r="AK3102" s="2">
        <f t="shared" si="437"/>
        <v>112.075</v>
      </c>
      <c r="AL3102" s="5">
        <f t="shared" si="438"/>
        <v>0.52137606996650543</v>
      </c>
    </row>
    <row r="3103" spans="1:38" x14ac:dyDescent="0.2">
      <c r="A3103" s="2">
        <v>2026</v>
      </c>
      <c r="B3103" s="2">
        <v>2</v>
      </c>
      <c r="D3103" s="2" t="s">
        <v>558</v>
      </c>
      <c r="E3103" s="2" t="s">
        <v>108</v>
      </c>
      <c r="F3103" s="2" t="s">
        <v>39</v>
      </c>
      <c r="G3103" s="2">
        <v>506517233</v>
      </c>
      <c r="H3103" s="2" t="s">
        <v>80</v>
      </c>
      <c r="I3103" s="2" t="s">
        <v>559</v>
      </c>
      <c r="J3103" s="2" t="s">
        <v>560</v>
      </c>
      <c r="L3103" s="2" t="s">
        <v>133</v>
      </c>
      <c r="M3103" s="2" t="s">
        <v>40</v>
      </c>
      <c r="O3103" s="2" t="s">
        <v>2488</v>
      </c>
      <c r="P3103" s="2" t="s">
        <v>114</v>
      </c>
      <c r="Q3103" s="2" t="s">
        <v>2489</v>
      </c>
      <c r="R3103" s="2" t="s">
        <v>2490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436"/>
        <v>0.47089947089947093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29"/>
        <v>0</v>
      </c>
      <c r="AG3103" s="2">
        <v>15</v>
      </c>
      <c r="AJ3103" s="2">
        <f t="shared" si="430"/>
        <v>0</v>
      </c>
      <c r="AK3103" s="2">
        <f t="shared" si="437"/>
        <v>13.350000000000001</v>
      </c>
      <c r="AL3103" s="5">
        <f t="shared" si="438"/>
        <v>0.47089947089947093</v>
      </c>
    </row>
    <row r="3104" spans="1:38" x14ac:dyDescent="0.2">
      <c r="A3104" s="2">
        <v>2026</v>
      </c>
      <c r="B3104" s="2">
        <v>2</v>
      </c>
      <c r="D3104" s="2" t="s">
        <v>2491</v>
      </c>
      <c r="M3104" s="2" t="s">
        <v>40</v>
      </c>
      <c r="O3104" s="2" t="s">
        <v>2492</v>
      </c>
      <c r="P3104" s="2" t="s">
        <v>114</v>
      </c>
      <c r="Q3104" s="2" t="s">
        <v>2493</v>
      </c>
      <c r="R3104" s="2" t="s">
        <v>2494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436"/>
        <v>0.50481099656357387</v>
      </c>
      <c r="Z3104" s="2" t="s">
        <v>117</v>
      </c>
      <c r="AA3104" s="2" t="s">
        <v>118</v>
      </c>
      <c r="AB3104" s="2" t="s">
        <v>119</v>
      </c>
      <c r="AC3104" s="2" t="s">
        <v>114</v>
      </c>
      <c r="AF3104" s="2">
        <f t="shared" si="429"/>
        <v>0</v>
      </c>
      <c r="AG3104" s="2">
        <v>43.23</v>
      </c>
      <c r="AJ3104" s="2">
        <f t="shared" si="430"/>
        <v>0</v>
      </c>
      <c r="AK3104" s="2">
        <f t="shared" si="437"/>
        <v>44.07</v>
      </c>
      <c r="AL3104" s="5">
        <f t="shared" si="438"/>
        <v>0.50481099656357387</v>
      </c>
    </row>
    <row r="3105" spans="1:38" x14ac:dyDescent="0.2">
      <c r="A3105" s="2">
        <v>2026</v>
      </c>
      <c r="B3105" s="2">
        <v>2</v>
      </c>
      <c r="C3105" s="2" t="s">
        <v>3320</v>
      </c>
      <c r="D3105" s="2" t="s">
        <v>485</v>
      </c>
      <c r="E3105" s="2" t="s">
        <v>108</v>
      </c>
      <c r="F3105" s="2" t="s">
        <v>39</v>
      </c>
      <c r="G3105" s="2">
        <v>506834689</v>
      </c>
      <c r="H3105" s="2" t="s">
        <v>41</v>
      </c>
      <c r="I3105" s="2" t="s">
        <v>486</v>
      </c>
      <c r="J3105" s="2" t="s">
        <v>487</v>
      </c>
      <c r="K3105" s="2">
        <v>919866237</v>
      </c>
      <c r="L3105" s="2" t="s">
        <v>461</v>
      </c>
      <c r="M3105" s="2" t="s">
        <v>41</v>
      </c>
      <c r="P3105" s="2" t="s">
        <v>114</v>
      </c>
      <c r="Q3105" s="2" t="s">
        <v>2495</v>
      </c>
      <c r="R3105" s="2" t="s">
        <v>2496</v>
      </c>
      <c r="S3105" s="2">
        <v>1</v>
      </c>
      <c r="T3105" s="2">
        <v>1190</v>
      </c>
      <c r="U3105" s="2">
        <v>273.7</v>
      </c>
      <c r="V3105" s="2">
        <v>1463.7</v>
      </c>
      <c r="W3105" s="2">
        <f>806.74+33.49</f>
        <v>840.23</v>
      </c>
      <c r="X3105" s="5">
        <f t="shared" si="436"/>
        <v>0.29392436974789915</v>
      </c>
      <c r="Z3105" s="2" t="s">
        <v>104</v>
      </c>
      <c r="AA3105" s="2" t="s">
        <v>578</v>
      </c>
      <c r="AB3105" s="2" t="s">
        <v>119</v>
      </c>
      <c r="AC3105" s="2" t="s">
        <v>114</v>
      </c>
      <c r="AF3105" s="2">
        <f t="shared" si="429"/>
        <v>0</v>
      </c>
      <c r="AJ3105" s="2">
        <f t="shared" si="430"/>
        <v>0</v>
      </c>
      <c r="AK3105" s="2">
        <f t="shared" si="437"/>
        <v>349.77</v>
      </c>
      <c r="AL3105" s="5">
        <f t="shared" si="438"/>
        <v>0.29392436974789915</v>
      </c>
    </row>
    <row r="3106" spans="1:38" x14ac:dyDescent="0.2">
      <c r="A3106" s="2">
        <v>2026</v>
      </c>
      <c r="B3106" s="2">
        <v>2</v>
      </c>
      <c r="D3106" s="2" t="s">
        <v>781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782</v>
      </c>
      <c r="J3106" s="2" t="s">
        <v>783</v>
      </c>
      <c r="K3106" s="2">
        <v>917341136</v>
      </c>
      <c r="L3106" s="2" t="s">
        <v>99</v>
      </c>
      <c r="P3106" s="2" t="s">
        <v>114</v>
      </c>
      <c r="Q3106" s="2" t="s">
        <v>1332</v>
      </c>
      <c r="R3106" s="2" t="s">
        <v>1333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436"/>
        <v>1</v>
      </c>
      <c r="Z3106" s="2" t="s">
        <v>117</v>
      </c>
      <c r="AF3106" s="2">
        <f t="shared" si="429"/>
        <v>0</v>
      </c>
      <c r="AJ3106" s="2">
        <f t="shared" si="430"/>
        <v>0</v>
      </c>
      <c r="AK3106" s="2">
        <f t="shared" si="437"/>
        <v>60.1</v>
      </c>
      <c r="AL3106" s="5">
        <f t="shared" si="438"/>
        <v>1</v>
      </c>
    </row>
    <row r="3107" spans="1:38" x14ac:dyDescent="0.2">
      <c r="A3107" s="2">
        <v>2026</v>
      </c>
      <c r="B3107" s="2">
        <v>2</v>
      </c>
      <c r="C3107" s="2" t="s">
        <v>3320</v>
      </c>
      <c r="D3107" s="2" t="s">
        <v>2442</v>
      </c>
      <c r="E3107" s="2" t="s">
        <v>108</v>
      </c>
      <c r="F3107" s="2" t="s">
        <v>39</v>
      </c>
      <c r="L3107" s="2" t="s">
        <v>398</v>
      </c>
      <c r="M3107" s="2" t="s">
        <v>40</v>
      </c>
      <c r="P3107" s="2" t="s">
        <v>114</v>
      </c>
      <c r="Q3107" s="2" t="s">
        <v>2497</v>
      </c>
      <c r="R3107" s="2" t="s">
        <v>2498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W3107" s="2">
        <f>1191.84+22.08</f>
        <v>1213.9199999999998</v>
      </c>
      <c r="X3107" s="5">
        <f t="shared" si="436"/>
        <v>0.67665876461657304</v>
      </c>
      <c r="Z3107" s="2" t="s">
        <v>117</v>
      </c>
      <c r="AA3107" s="2" t="s">
        <v>118</v>
      </c>
      <c r="AB3107" s="2" t="s">
        <v>119</v>
      </c>
      <c r="AC3107" s="2" t="s">
        <v>114</v>
      </c>
      <c r="AF3107" s="2">
        <f t="shared" si="429"/>
        <v>0</v>
      </c>
      <c r="AJ3107" s="2">
        <f t="shared" si="430"/>
        <v>0</v>
      </c>
      <c r="AK3107" s="2">
        <f t="shared" si="437"/>
        <v>2540.38</v>
      </c>
      <c r="AL3107" s="5">
        <f t="shared" si="438"/>
        <v>0.67665876461657304</v>
      </c>
    </row>
    <row r="3108" spans="1:38" x14ac:dyDescent="0.2">
      <c r="A3108" s="2">
        <v>2026</v>
      </c>
      <c r="B3108" s="2">
        <v>2</v>
      </c>
      <c r="D3108" s="2" t="s">
        <v>332</v>
      </c>
      <c r="E3108" s="2" t="s">
        <v>108</v>
      </c>
      <c r="F3108" s="2" t="s">
        <v>39</v>
      </c>
      <c r="G3108" s="2">
        <v>513493557</v>
      </c>
      <c r="H3108" s="2" t="s">
        <v>41</v>
      </c>
      <c r="I3108" s="2" t="s">
        <v>279</v>
      </c>
      <c r="J3108" s="2" t="s">
        <v>333</v>
      </c>
      <c r="L3108" s="2" t="s">
        <v>177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436"/>
        <v>1</v>
      </c>
      <c r="Z3108" s="2" t="s">
        <v>117</v>
      </c>
      <c r="AF3108" s="2">
        <f t="shared" si="429"/>
        <v>0</v>
      </c>
      <c r="AJ3108" s="2">
        <f t="shared" si="430"/>
        <v>0</v>
      </c>
      <c r="AK3108" s="2">
        <f t="shared" si="437"/>
        <v>79.47</v>
      </c>
      <c r="AL3108" s="5">
        <f t="shared" si="438"/>
        <v>1</v>
      </c>
    </row>
    <row r="3109" spans="1:38" x14ac:dyDescent="0.2">
      <c r="A3109" s="2">
        <v>2026</v>
      </c>
      <c r="B3109" s="2">
        <v>2</v>
      </c>
      <c r="D3109" s="2" t="s">
        <v>574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177</v>
      </c>
      <c r="J3109" s="2" t="s">
        <v>575</v>
      </c>
      <c r="L3109" s="2" t="s">
        <v>177</v>
      </c>
      <c r="M3109" s="2" t="s">
        <v>40</v>
      </c>
      <c r="O3109" s="2" t="s">
        <v>2499</v>
      </c>
      <c r="P3109" s="2" t="s">
        <v>114</v>
      </c>
      <c r="Q3109" s="2" t="s">
        <v>576</v>
      </c>
      <c r="R3109" s="2" t="s">
        <v>577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436"/>
        <v>0.68289920724801811</v>
      </c>
      <c r="Z3109" s="2" t="s">
        <v>117</v>
      </c>
      <c r="AA3109" s="2" t="s">
        <v>578</v>
      </c>
      <c r="AB3109" s="2" t="s">
        <v>119</v>
      </c>
      <c r="AC3109" s="2" t="s">
        <v>114</v>
      </c>
      <c r="AF3109" s="2">
        <f t="shared" si="429"/>
        <v>0</v>
      </c>
      <c r="AG3109" s="2">
        <v>25.2</v>
      </c>
      <c r="AJ3109" s="2">
        <f t="shared" si="430"/>
        <v>0</v>
      </c>
      <c r="AK3109" s="2">
        <f t="shared" si="437"/>
        <v>54.269999999999996</v>
      </c>
      <c r="AL3109" s="5">
        <f t="shared" si="438"/>
        <v>0.68289920724801811</v>
      </c>
    </row>
    <row r="3110" spans="1:38" x14ac:dyDescent="0.2">
      <c r="A3110" s="2">
        <v>2026</v>
      </c>
      <c r="B3110" s="2">
        <v>2</v>
      </c>
      <c r="C3110" s="2" t="s">
        <v>3320</v>
      </c>
      <c r="D3110" s="2" t="s">
        <v>485</v>
      </c>
      <c r="E3110" s="2" t="s">
        <v>108</v>
      </c>
      <c r="F3110" s="2" t="s">
        <v>39</v>
      </c>
      <c r="G3110" s="2">
        <v>506834689</v>
      </c>
      <c r="H3110" s="2" t="s">
        <v>41</v>
      </c>
      <c r="I3110" s="2" t="s">
        <v>486</v>
      </c>
      <c r="J3110" s="2" t="s">
        <v>487</v>
      </c>
      <c r="K3110" s="2">
        <v>919866237</v>
      </c>
      <c r="L3110" s="2" t="s">
        <v>461</v>
      </c>
      <c r="M3110" s="2" t="s">
        <v>41</v>
      </c>
      <c r="P3110" s="2" t="s">
        <v>114</v>
      </c>
      <c r="Q3110" s="2" t="s">
        <v>1522</v>
      </c>
      <c r="R3110" s="2" t="s">
        <v>1523</v>
      </c>
      <c r="S3110" s="2">
        <v>1</v>
      </c>
      <c r="T3110" s="2">
        <v>0</v>
      </c>
      <c r="U3110" s="2">
        <v>0</v>
      </c>
      <c r="V3110" s="2">
        <v>0</v>
      </c>
      <c r="Z3110" s="2" t="s">
        <v>104</v>
      </c>
      <c r="AA3110" s="2" t="s">
        <v>578</v>
      </c>
      <c r="AB3110" s="2" t="s">
        <v>119</v>
      </c>
      <c r="AC3110" s="2" t="s">
        <v>114</v>
      </c>
      <c r="AF3110" s="2">
        <f t="shared" si="429"/>
        <v>0</v>
      </c>
      <c r="AJ3110" s="2">
        <f t="shared" si="430"/>
        <v>0</v>
      </c>
      <c r="AK3110" s="2">
        <f t="shared" si="437"/>
        <v>0</v>
      </c>
    </row>
    <row r="3111" spans="1:38" x14ac:dyDescent="0.2">
      <c r="A3111" s="2">
        <v>2026</v>
      </c>
      <c r="B3111" s="2">
        <v>2</v>
      </c>
      <c r="D3111" s="2" t="s">
        <v>1354</v>
      </c>
      <c r="E3111" s="2" t="s">
        <v>108</v>
      </c>
      <c r="F3111" s="2" t="s">
        <v>395</v>
      </c>
      <c r="G3111" s="2">
        <v>502401010</v>
      </c>
      <c r="H3111" s="2" t="s">
        <v>290</v>
      </c>
      <c r="I3111" s="2" t="s">
        <v>2500</v>
      </c>
      <c r="J3111" s="2" t="s">
        <v>2501</v>
      </c>
      <c r="L3111" s="2" t="s">
        <v>293</v>
      </c>
      <c r="P3111" s="2" t="s">
        <v>114</v>
      </c>
      <c r="Q3111" s="2" t="s">
        <v>2502</v>
      </c>
      <c r="R3111" s="2" t="s">
        <v>2503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439">(T3111-W3111)/T3111</f>
        <v>1</v>
      </c>
      <c r="Z3111" s="2" t="s">
        <v>117</v>
      </c>
      <c r="AF3111" s="2">
        <f t="shared" si="429"/>
        <v>0</v>
      </c>
      <c r="AJ3111" s="2">
        <f t="shared" si="430"/>
        <v>0</v>
      </c>
      <c r="AK3111" s="2">
        <f t="shared" si="437"/>
        <v>1594.72</v>
      </c>
      <c r="AL3111" s="5">
        <f t="shared" ref="AL3111:AL3129" si="440">(T3111-W3111)/T3111</f>
        <v>1</v>
      </c>
    </row>
    <row r="3112" spans="1:38" x14ac:dyDescent="0.2">
      <c r="A3112" s="2">
        <v>2026</v>
      </c>
      <c r="B3112" s="2">
        <v>2</v>
      </c>
      <c r="C3112" s="2" t="s">
        <v>3320</v>
      </c>
      <c r="D3112" s="2" t="s">
        <v>3242</v>
      </c>
      <c r="E3112" s="2" t="s">
        <v>752</v>
      </c>
      <c r="F3112" s="2" t="s">
        <v>39</v>
      </c>
      <c r="L3112" s="2" t="s">
        <v>344</v>
      </c>
      <c r="M3112" s="2" t="s">
        <v>40</v>
      </c>
      <c r="O3112" s="2" t="s">
        <v>2504</v>
      </c>
      <c r="P3112" s="2" t="s">
        <v>114</v>
      </c>
      <c r="Q3112" s="2" t="s">
        <v>1183</v>
      </c>
      <c r="R3112" s="2" t="s">
        <v>1184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439"/>
        <v>0.3796834862385321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29"/>
        <v>0</v>
      </c>
      <c r="AG3112" s="2">
        <v>7437.5950000000003</v>
      </c>
      <c r="AJ3112" s="2">
        <f t="shared" si="430"/>
        <v>0</v>
      </c>
      <c r="AK3112" s="2">
        <f t="shared" si="437"/>
        <v>4552.4049999999997</v>
      </c>
      <c r="AL3112" s="5">
        <f t="shared" si="440"/>
        <v>0.3796834862385321</v>
      </c>
    </row>
    <row r="3113" spans="1:38" x14ac:dyDescent="0.2">
      <c r="A3113" s="2">
        <v>2026</v>
      </c>
      <c r="B3113" s="2">
        <v>2</v>
      </c>
      <c r="C3113" s="2" t="s">
        <v>3320</v>
      </c>
      <c r="D3113" s="2" t="s">
        <v>606</v>
      </c>
      <c r="E3113" s="2" t="s">
        <v>108</v>
      </c>
      <c r="F3113" s="2" t="s">
        <v>39</v>
      </c>
      <c r="G3113" s="2">
        <v>504822187</v>
      </c>
      <c r="H3113" s="2" t="s">
        <v>109</v>
      </c>
      <c r="I3113" s="2" t="s">
        <v>607</v>
      </c>
      <c r="J3113" s="2" t="s">
        <v>608</v>
      </c>
      <c r="K3113" s="2">
        <v>966216853</v>
      </c>
      <c r="L3113" s="2" t="s">
        <v>461</v>
      </c>
      <c r="M3113" s="2" t="s">
        <v>41</v>
      </c>
      <c r="P3113" s="2" t="s">
        <v>114</v>
      </c>
      <c r="Q3113" s="2" t="s">
        <v>836</v>
      </c>
      <c r="R3113" s="2" t="s">
        <v>837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439"/>
        <v>0.31451894210150111</v>
      </c>
      <c r="Z3113" s="2" t="s">
        <v>104</v>
      </c>
      <c r="AA3113" s="2" t="s">
        <v>414</v>
      </c>
      <c r="AB3113" s="2" t="s">
        <v>151</v>
      </c>
      <c r="AC3113" s="2" t="s">
        <v>114</v>
      </c>
      <c r="AF3113" s="2">
        <f t="shared" si="429"/>
        <v>0</v>
      </c>
      <c r="AJ3113" s="2">
        <f t="shared" si="430"/>
        <v>0</v>
      </c>
      <c r="AK3113" s="2">
        <f t="shared" si="437"/>
        <v>4400.1200000000008</v>
      </c>
      <c r="AL3113" s="5">
        <f t="shared" si="440"/>
        <v>0.31451894210150111</v>
      </c>
    </row>
    <row r="3114" spans="1:38" x14ac:dyDescent="0.2">
      <c r="A3114" s="2">
        <v>2026</v>
      </c>
      <c r="B3114" s="2">
        <v>1</v>
      </c>
      <c r="C3114" s="2" t="s">
        <v>3326</v>
      </c>
      <c r="D3114" s="2" t="s">
        <v>3241</v>
      </c>
      <c r="E3114" s="2" t="s">
        <v>108</v>
      </c>
      <c r="F3114" s="2" t="s">
        <v>39</v>
      </c>
      <c r="L3114" s="2" t="s">
        <v>360</v>
      </c>
      <c r="M3114" s="2" t="s">
        <v>109</v>
      </c>
      <c r="O3114" s="2" t="s">
        <v>2505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39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29"/>
        <v>0</v>
      </c>
      <c r="AG3114" s="2">
        <f>6193.4+275.33</f>
        <v>6468.73</v>
      </c>
      <c r="AJ3114" s="2">
        <f t="shared" si="430"/>
        <v>0</v>
      </c>
      <c r="AK3114" s="2">
        <f t="shared" si="437"/>
        <v>2461.2700000000004</v>
      </c>
      <c r="AL3114" s="5">
        <f t="shared" si="440"/>
        <v>0.27561814109742444</v>
      </c>
    </row>
    <row r="3115" spans="1:38" x14ac:dyDescent="0.2">
      <c r="A3115" s="2">
        <v>2026</v>
      </c>
      <c r="B3115" s="2">
        <v>2</v>
      </c>
      <c r="C3115" s="2" t="s">
        <v>3320</v>
      </c>
      <c r="D3115" s="2" t="s">
        <v>3243</v>
      </c>
      <c r="E3115" s="2" t="s">
        <v>108</v>
      </c>
      <c r="F3115" s="2" t="s">
        <v>39</v>
      </c>
      <c r="L3115" s="2" t="s">
        <v>177</v>
      </c>
      <c r="M3115" s="2" t="s">
        <v>41</v>
      </c>
      <c r="O3115" s="2" t="s">
        <v>2506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39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29"/>
        <v>0</v>
      </c>
      <c r="AG3115" s="2">
        <v>6468.73</v>
      </c>
      <c r="AJ3115" s="2">
        <f t="shared" si="430"/>
        <v>0</v>
      </c>
      <c r="AK3115" s="2">
        <f t="shared" si="437"/>
        <v>2461.2700000000004</v>
      </c>
      <c r="AL3115" s="5">
        <f t="shared" si="440"/>
        <v>0.27561814109742444</v>
      </c>
    </row>
    <row r="3116" spans="1:38" x14ac:dyDescent="0.2">
      <c r="A3116" s="2">
        <v>2026</v>
      </c>
      <c r="B3116" s="2">
        <v>2</v>
      </c>
      <c r="C3116" s="2" t="s">
        <v>3320</v>
      </c>
      <c r="D3116" s="2" t="s">
        <v>1120</v>
      </c>
      <c r="E3116" s="2" t="s">
        <v>108</v>
      </c>
      <c r="F3116" s="2" t="s">
        <v>39</v>
      </c>
      <c r="G3116" s="2">
        <v>504923765</v>
      </c>
      <c r="H3116" s="2" t="s">
        <v>109</v>
      </c>
      <c r="I3116" s="2" t="s">
        <v>3244</v>
      </c>
      <c r="J3116" s="2" t="s">
        <v>3245</v>
      </c>
      <c r="K3116" s="2">
        <v>96179412</v>
      </c>
      <c r="L3116" s="2" t="s">
        <v>461</v>
      </c>
      <c r="M3116" s="2" t="s">
        <v>40</v>
      </c>
      <c r="O3116" s="2" t="s">
        <v>3246</v>
      </c>
      <c r="P3116" s="2" t="s">
        <v>114</v>
      </c>
      <c r="Q3116" s="2" t="s">
        <v>955</v>
      </c>
      <c r="R3116" s="2" t="s">
        <v>956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439"/>
        <v>0.27561814109742444</v>
      </c>
      <c r="Z3116" s="2" t="s">
        <v>104</v>
      </c>
      <c r="AA3116" s="2" t="s">
        <v>616</v>
      </c>
      <c r="AB3116" s="2" t="s">
        <v>957</v>
      </c>
      <c r="AC3116" s="2" t="s">
        <v>114</v>
      </c>
      <c r="AF3116" s="2">
        <f t="shared" si="429"/>
        <v>0</v>
      </c>
      <c r="AG3116" s="2">
        <v>6468.73</v>
      </c>
      <c r="AJ3116" s="2">
        <f t="shared" si="430"/>
        <v>0</v>
      </c>
      <c r="AK3116" s="2">
        <f t="shared" si="437"/>
        <v>2461.2700000000004</v>
      </c>
      <c r="AL3116" s="5">
        <f t="shared" si="440"/>
        <v>0.27561814109742444</v>
      </c>
    </row>
    <row r="3117" spans="1:38" x14ac:dyDescent="0.2">
      <c r="A3117" s="2">
        <v>2026</v>
      </c>
      <c r="B3117" s="2">
        <v>2</v>
      </c>
      <c r="D3117" s="2" t="s">
        <v>2507</v>
      </c>
      <c r="P3117" s="2" t="s">
        <v>114</v>
      </c>
      <c r="Q3117" s="2" t="s">
        <v>879</v>
      </c>
      <c r="R3117" s="2" t="s">
        <v>880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439"/>
        <v>0.26665473940803525</v>
      </c>
      <c r="Z3117" s="2" t="s">
        <v>104</v>
      </c>
      <c r="AA3117" s="2" t="s">
        <v>616</v>
      </c>
      <c r="AB3117" s="2" t="s">
        <v>2508</v>
      </c>
      <c r="AC3117" s="2" t="s">
        <v>114</v>
      </c>
      <c r="AF3117" s="2">
        <f t="shared" si="429"/>
        <v>0</v>
      </c>
      <c r="AG3117" s="2">
        <f>3130.82+148.37</f>
        <v>3279.19</v>
      </c>
      <c r="AJ3117" s="2">
        <f t="shared" si="430"/>
        <v>0</v>
      </c>
      <c r="AK3117" s="2">
        <f t="shared" si="437"/>
        <v>1192.3600000000001</v>
      </c>
      <c r="AL3117" s="5">
        <f t="shared" si="440"/>
        <v>0.26665473940803525</v>
      </c>
    </row>
    <row r="3118" spans="1:38" x14ac:dyDescent="0.2">
      <c r="A3118" s="2">
        <v>2026</v>
      </c>
      <c r="B3118" s="2">
        <v>2</v>
      </c>
      <c r="C3118" s="2" t="s">
        <v>3320</v>
      </c>
      <c r="D3118" s="2" t="s">
        <v>3243</v>
      </c>
      <c r="E3118" s="2" t="s">
        <v>108</v>
      </c>
      <c r="F3118" s="2" t="s">
        <v>39</v>
      </c>
      <c r="L3118" s="2" t="s">
        <v>177</v>
      </c>
      <c r="M3118" s="2" t="s">
        <v>41</v>
      </c>
      <c r="O3118" s="2" t="s">
        <v>2506</v>
      </c>
      <c r="P3118" s="2" t="s">
        <v>114</v>
      </c>
      <c r="Q3118" s="2" t="s">
        <v>838</v>
      </c>
      <c r="R3118" s="2" t="s">
        <v>839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439"/>
        <v>0.22025174825174829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29"/>
        <v>0</v>
      </c>
      <c r="AG3118" s="2">
        <v>3345.125</v>
      </c>
      <c r="AJ3118" s="2">
        <f t="shared" si="430"/>
        <v>0</v>
      </c>
      <c r="AK3118" s="2">
        <f t="shared" si="437"/>
        <v>944.88000000000011</v>
      </c>
      <c r="AL3118" s="5">
        <f t="shared" si="440"/>
        <v>0.22025174825174829</v>
      </c>
    </row>
    <row r="3119" spans="1:38" x14ac:dyDescent="0.2">
      <c r="A3119" s="2">
        <v>2026</v>
      </c>
      <c r="B3119" s="2">
        <v>2</v>
      </c>
      <c r="C3119" s="2" t="s">
        <v>3320</v>
      </c>
      <c r="D3119" s="2" t="s">
        <v>485</v>
      </c>
      <c r="E3119" s="2" t="s">
        <v>108</v>
      </c>
      <c r="F3119" s="2" t="s">
        <v>39</v>
      </c>
      <c r="G3119" s="2">
        <v>506834689</v>
      </c>
      <c r="H3119" s="2" t="s">
        <v>41</v>
      </c>
      <c r="I3119" s="2" t="s">
        <v>486</v>
      </c>
      <c r="J3119" s="2" t="s">
        <v>487</v>
      </c>
      <c r="K3119" s="2">
        <v>919866237</v>
      </c>
      <c r="L3119" s="2" t="s">
        <v>461</v>
      </c>
      <c r="M3119" s="2" t="s">
        <v>41</v>
      </c>
      <c r="P3119" s="2" t="s">
        <v>114</v>
      </c>
      <c r="Q3119" s="2" t="s">
        <v>1578</v>
      </c>
      <c r="R3119" s="2" t="s">
        <v>1579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439"/>
        <v>0.36617897371714647</v>
      </c>
      <c r="Z3119" s="2" t="s">
        <v>104</v>
      </c>
      <c r="AA3119" s="2" t="s">
        <v>150</v>
      </c>
      <c r="AB3119" s="2" t="s">
        <v>151</v>
      </c>
      <c r="AC3119" s="2" t="s">
        <v>114</v>
      </c>
      <c r="AF3119" s="2">
        <f t="shared" si="429"/>
        <v>0</v>
      </c>
      <c r="AG3119" s="2">
        <f>4893.23+171</f>
        <v>5064.2299999999996</v>
      </c>
      <c r="AJ3119" s="2">
        <f t="shared" si="430"/>
        <v>0</v>
      </c>
      <c r="AK3119" s="2">
        <f t="shared" si="437"/>
        <v>2925.7700000000004</v>
      </c>
      <c r="AL3119" s="5">
        <f t="shared" si="440"/>
        <v>0.36617897371714647</v>
      </c>
    </row>
    <row r="3120" spans="1:38" x14ac:dyDescent="0.2">
      <c r="A3120" s="2">
        <v>2026</v>
      </c>
      <c r="B3120" s="2">
        <v>2</v>
      </c>
      <c r="D3120" s="2" t="s">
        <v>403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2476</v>
      </c>
      <c r="J3120" s="2" t="s">
        <v>3122</v>
      </c>
      <c r="K3120" s="2">
        <v>965864665</v>
      </c>
      <c r="L3120" s="2" t="s">
        <v>344</v>
      </c>
      <c r="M3120" s="2" t="s">
        <v>40</v>
      </c>
      <c r="O3120" s="2" t="s">
        <v>2477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39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29"/>
        <v>0</v>
      </c>
      <c r="AG3120" s="2">
        <v>23.9572</v>
      </c>
      <c r="AJ3120" s="2">
        <f t="shared" si="430"/>
        <v>0</v>
      </c>
      <c r="AK3120" s="2">
        <f t="shared" si="437"/>
        <v>44.902799999999999</v>
      </c>
      <c r="AL3120" s="5">
        <f t="shared" si="440"/>
        <v>0.65208829509149002</v>
      </c>
    </row>
    <row r="3121" spans="1:38" x14ac:dyDescent="0.2">
      <c r="A3121" s="2">
        <v>2026</v>
      </c>
      <c r="B3121" s="2">
        <v>2</v>
      </c>
      <c r="D3121" s="2" t="s">
        <v>2509</v>
      </c>
      <c r="P3121" s="2" t="s">
        <v>1604</v>
      </c>
      <c r="Q3121" s="2" t="s">
        <v>1766</v>
      </c>
      <c r="R3121" s="2" t="s">
        <v>1767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439"/>
        <v>0.65208829509149002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29"/>
        <v>0</v>
      </c>
      <c r="AG3121" s="2">
        <v>23.9572</v>
      </c>
      <c r="AJ3121" s="2">
        <f t="shared" si="430"/>
        <v>0</v>
      </c>
      <c r="AK3121" s="2">
        <f t="shared" si="437"/>
        <v>44.902799999999999</v>
      </c>
      <c r="AL3121" s="5">
        <f t="shared" si="440"/>
        <v>0.65208829509149002</v>
      </c>
    </row>
    <row r="3122" spans="1:38" x14ac:dyDescent="0.2">
      <c r="A3122" s="2">
        <v>2026</v>
      </c>
      <c r="B3122" s="2">
        <v>2</v>
      </c>
      <c r="D3122" s="2" t="s">
        <v>744</v>
      </c>
      <c r="E3122" s="2" t="s">
        <v>108</v>
      </c>
      <c r="F3122" s="2" t="s">
        <v>39</v>
      </c>
      <c r="G3122" s="2">
        <v>509181163</v>
      </c>
      <c r="H3122" s="2" t="s">
        <v>40</v>
      </c>
      <c r="I3122" s="2" t="s">
        <v>745</v>
      </c>
      <c r="J3122" s="2" t="s">
        <v>746</v>
      </c>
      <c r="K3122" s="2">
        <v>962372760</v>
      </c>
      <c r="L3122" s="2" t="s">
        <v>201</v>
      </c>
      <c r="M3122" s="2" t="s">
        <v>40</v>
      </c>
      <c r="P3122" s="2" t="s">
        <v>1604</v>
      </c>
      <c r="Q3122" s="2" t="s">
        <v>1602</v>
      </c>
      <c r="R3122" s="2" t="s">
        <v>1603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439"/>
        <v>0.8525994772001162</v>
      </c>
      <c r="Z3122" s="2" t="s">
        <v>117</v>
      </c>
      <c r="AA3122" s="2" t="s">
        <v>118</v>
      </c>
      <c r="AB3122" s="2" t="s">
        <v>119</v>
      </c>
      <c r="AC3122" s="2" t="s">
        <v>1604</v>
      </c>
      <c r="AF3122" s="2">
        <f t="shared" si="429"/>
        <v>0</v>
      </c>
      <c r="AG3122" s="2">
        <v>10.15</v>
      </c>
      <c r="AJ3122" s="2">
        <f t="shared" si="430"/>
        <v>0</v>
      </c>
      <c r="AK3122" s="2">
        <f t="shared" si="437"/>
        <v>58.71</v>
      </c>
      <c r="AL3122" s="5">
        <f t="shared" si="440"/>
        <v>0.8525994772001162</v>
      </c>
    </row>
    <row r="3123" spans="1:38" x14ac:dyDescent="0.2">
      <c r="A3123" s="2">
        <v>2026</v>
      </c>
      <c r="B3123" s="2">
        <v>2</v>
      </c>
      <c r="C3123" s="2" t="s">
        <v>3411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2511</v>
      </c>
      <c r="R3123" s="2" t="s">
        <v>2512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439"/>
        <v>6.6666666666666428E-3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29"/>
        <v>0</v>
      </c>
      <c r="AJ3123" s="2">
        <f t="shared" si="430"/>
        <v>0</v>
      </c>
      <c r="AK3123" s="2">
        <f t="shared" si="437"/>
        <v>9.9999999999999645E-2</v>
      </c>
      <c r="AL3123" s="5">
        <f t="shared" si="440"/>
        <v>6.6666666666666428E-3</v>
      </c>
    </row>
    <row r="3124" spans="1:38" x14ac:dyDescent="0.2">
      <c r="A3124" s="2">
        <v>2026</v>
      </c>
      <c r="B3124" s="2">
        <v>2</v>
      </c>
      <c r="C3124" s="2" t="s">
        <v>3411</v>
      </c>
      <c r="D3124" s="2" t="s">
        <v>2510</v>
      </c>
      <c r="E3124" s="2" t="s">
        <v>38</v>
      </c>
      <c r="F3124" s="2" t="s">
        <v>39</v>
      </c>
      <c r="L3124" s="2" t="s">
        <v>133</v>
      </c>
      <c r="M3124" s="2" t="s">
        <v>80</v>
      </c>
      <c r="P3124" s="2" t="s">
        <v>152</v>
      </c>
      <c r="Q3124" s="2" t="s">
        <v>153</v>
      </c>
      <c r="R3124" s="2" t="s">
        <v>154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439"/>
        <v>6.6666666666666666E-2</v>
      </c>
      <c r="Z3124" s="2" t="s">
        <v>3226</v>
      </c>
      <c r="AA3124" s="2" t="s">
        <v>155</v>
      </c>
      <c r="AB3124" s="2" t="s">
        <v>154</v>
      </c>
      <c r="AC3124" s="2" t="s">
        <v>152</v>
      </c>
      <c r="AF3124" s="2">
        <f t="shared" si="429"/>
        <v>0</v>
      </c>
      <c r="AJ3124" s="2">
        <f t="shared" si="430"/>
        <v>0</v>
      </c>
      <c r="AK3124" s="2">
        <f t="shared" si="437"/>
        <v>1</v>
      </c>
      <c r="AL3124" s="5">
        <f t="shared" si="440"/>
        <v>6.6666666666666666E-2</v>
      </c>
    </row>
    <row r="3125" spans="1:38" x14ac:dyDescent="0.2">
      <c r="A3125" s="2">
        <v>2026</v>
      </c>
      <c r="B3125" s="2">
        <v>2</v>
      </c>
      <c r="D3125" s="2" t="s">
        <v>2513</v>
      </c>
      <c r="M3125" s="2" t="s">
        <v>109</v>
      </c>
      <c r="P3125" s="2" t="s">
        <v>282</v>
      </c>
      <c r="Q3125" s="2" t="s">
        <v>2514</v>
      </c>
      <c r="R3125" s="2" t="s">
        <v>2515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439"/>
        <v>3.9240506329113925E-2</v>
      </c>
      <c r="Z3125" s="2" t="s">
        <v>104</v>
      </c>
      <c r="AA3125" s="2" t="s">
        <v>71</v>
      </c>
      <c r="AB3125" s="2" t="s">
        <v>119</v>
      </c>
      <c r="AC3125" s="2" t="s">
        <v>119</v>
      </c>
      <c r="AF3125" s="2">
        <f t="shared" si="429"/>
        <v>0</v>
      </c>
      <c r="AG3125" s="2">
        <v>759</v>
      </c>
      <c r="AJ3125" s="2">
        <f t="shared" si="430"/>
        <v>0</v>
      </c>
      <c r="AK3125" s="2">
        <f t="shared" si="437"/>
        <v>31</v>
      </c>
      <c r="AL3125" s="5">
        <f t="shared" si="440"/>
        <v>3.9240506329113925E-2</v>
      </c>
    </row>
    <row r="3126" spans="1:38" x14ac:dyDescent="0.2">
      <c r="A3126" s="2">
        <v>2026</v>
      </c>
      <c r="B3126" s="2">
        <v>2</v>
      </c>
      <c r="D3126" s="2" t="s">
        <v>2516</v>
      </c>
      <c r="E3126" s="2" t="s">
        <v>752</v>
      </c>
      <c r="F3126" s="2" t="s">
        <v>39</v>
      </c>
      <c r="G3126" s="2">
        <v>515570354</v>
      </c>
      <c r="H3126" s="2" t="s">
        <v>109</v>
      </c>
      <c r="I3126" s="2" t="s">
        <v>2517</v>
      </c>
      <c r="J3126" s="2" t="s">
        <v>2518</v>
      </c>
      <c r="K3126" s="2">
        <v>967032538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39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29"/>
        <v>0</v>
      </c>
      <c r="AG3126" s="2">
        <v>297</v>
      </c>
      <c r="AH3126" s="2">
        <v>595</v>
      </c>
      <c r="AJ3126" s="2">
        <f t="shared" si="430"/>
        <v>0</v>
      </c>
      <c r="AK3126" s="2">
        <f t="shared" si="437"/>
        <v>298</v>
      </c>
      <c r="AL3126" s="5">
        <f t="shared" si="440"/>
        <v>0.50084033613445378</v>
      </c>
    </row>
    <row r="3127" spans="1:38" x14ac:dyDescent="0.2">
      <c r="A3127" s="2">
        <v>2026</v>
      </c>
      <c r="B3127" s="2">
        <v>2</v>
      </c>
      <c r="D3127" s="2" t="s">
        <v>1575</v>
      </c>
      <c r="E3127" s="2" t="s">
        <v>38</v>
      </c>
      <c r="G3127" s="2">
        <v>505123177</v>
      </c>
      <c r="H3127" s="2" t="s">
        <v>109</v>
      </c>
      <c r="I3127" s="2" t="s">
        <v>2519</v>
      </c>
      <c r="J3127" s="2" t="s">
        <v>2520</v>
      </c>
      <c r="L3127" s="2" t="s">
        <v>398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39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29"/>
        <v>0</v>
      </c>
      <c r="AG3127" s="2">
        <v>297</v>
      </c>
      <c r="AH3127" s="2">
        <v>595</v>
      </c>
      <c r="AJ3127" s="2">
        <f t="shared" si="430"/>
        <v>0</v>
      </c>
      <c r="AK3127" s="2">
        <f t="shared" si="437"/>
        <v>298</v>
      </c>
      <c r="AL3127" s="5">
        <f t="shared" si="440"/>
        <v>0.50084033613445378</v>
      </c>
    </row>
    <row r="3128" spans="1:38" x14ac:dyDescent="0.2">
      <c r="A3128" s="2">
        <v>2026</v>
      </c>
      <c r="B3128" s="2">
        <v>2</v>
      </c>
      <c r="D3128" s="2" t="s">
        <v>2521</v>
      </c>
      <c r="E3128" s="2" t="s">
        <v>38</v>
      </c>
      <c r="G3128" s="2">
        <v>259186163</v>
      </c>
      <c r="H3128" s="2" t="s">
        <v>109</v>
      </c>
      <c r="I3128" s="2" t="s">
        <v>2522</v>
      </c>
      <c r="J3128" s="2" t="s">
        <v>2523</v>
      </c>
      <c r="L3128" s="2" t="s">
        <v>461</v>
      </c>
      <c r="M3128" s="2" t="s">
        <v>109</v>
      </c>
      <c r="P3128" s="2" t="s">
        <v>282</v>
      </c>
      <c r="Q3128" s="2" t="s">
        <v>1547</v>
      </c>
      <c r="R3128" s="2" t="s">
        <v>1548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439"/>
        <v>0.50084033613445378</v>
      </c>
      <c r="Z3128" s="2" t="s">
        <v>104</v>
      </c>
      <c r="AA3128" s="2" t="s">
        <v>387</v>
      </c>
      <c r="AB3128" s="2" t="s">
        <v>388</v>
      </c>
      <c r="AC3128" s="2" t="s">
        <v>389</v>
      </c>
      <c r="AF3128" s="2">
        <f t="shared" si="429"/>
        <v>0</v>
      </c>
      <c r="AG3128" s="2">
        <v>297</v>
      </c>
      <c r="AH3128" s="2">
        <v>595</v>
      </c>
      <c r="AJ3128" s="2">
        <f t="shared" si="430"/>
        <v>0</v>
      </c>
      <c r="AK3128" s="2">
        <f t="shared" si="437"/>
        <v>298</v>
      </c>
      <c r="AL3128" s="5">
        <f t="shared" si="440"/>
        <v>0.50084033613445378</v>
      </c>
    </row>
    <row r="3129" spans="1:38" x14ac:dyDescent="0.2">
      <c r="A3129" s="2">
        <v>2026</v>
      </c>
      <c r="B3129" s="2">
        <v>2</v>
      </c>
      <c r="D3129" s="2" t="s">
        <v>2516</v>
      </c>
      <c r="E3129" s="2" t="s">
        <v>752</v>
      </c>
      <c r="F3129" s="2" t="s">
        <v>39</v>
      </c>
      <c r="G3129" s="2">
        <v>515570354</v>
      </c>
      <c r="H3129" s="2" t="s">
        <v>109</v>
      </c>
      <c r="I3129" s="2" t="s">
        <v>2517</v>
      </c>
      <c r="J3129" s="2" t="s">
        <v>2518</v>
      </c>
      <c r="K3129" s="2">
        <v>967032538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441">14.5099*S3129</f>
        <v>159.60890000000001</v>
      </c>
      <c r="X3129" s="5">
        <f t="shared" si="439"/>
        <v>0.20195549999999998</v>
      </c>
      <c r="Z3129" s="2" t="s">
        <v>3226</v>
      </c>
      <c r="AA3129" s="2" t="s">
        <v>46</v>
      </c>
      <c r="AB3129" s="2" t="s">
        <v>60</v>
      </c>
      <c r="AC3129" s="2" t="s">
        <v>3331</v>
      </c>
      <c r="AF3129" s="2">
        <f t="shared" si="429"/>
        <v>0</v>
      </c>
      <c r="AJ3129" s="2">
        <f t="shared" si="430"/>
        <v>0</v>
      </c>
      <c r="AK3129" s="2">
        <f t="shared" si="437"/>
        <v>40.391099999999994</v>
      </c>
      <c r="AL3129" s="5">
        <f t="shared" si="440"/>
        <v>0.20195549999999998</v>
      </c>
    </row>
    <row r="3130" spans="1:38" x14ac:dyDescent="0.2">
      <c r="A3130" s="2">
        <v>2026</v>
      </c>
      <c r="B3130" s="2">
        <v>2</v>
      </c>
      <c r="D3130" s="2" t="s">
        <v>1575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441"/>
        <v>14.5099</v>
      </c>
      <c r="X3130" s="18">
        <v>-1</v>
      </c>
      <c r="Z3130" s="2" t="s">
        <v>3226</v>
      </c>
      <c r="AA3130" s="2" t="s">
        <v>46</v>
      </c>
      <c r="AB3130" s="2" t="s">
        <v>60</v>
      </c>
      <c r="AC3130" s="2" t="s">
        <v>3331</v>
      </c>
      <c r="AF3130" s="2">
        <f t="shared" si="429"/>
        <v>0</v>
      </c>
      <c r="AJ3130" s="2">
        <f t="shared" si="430"/>
        <v>0</v>
      </c>
      <c r="AK3130" s="2">
        <f t="shared" si="437"/>
        <v>-14.5099</v>
      </c>
      <c r="AL3130" s="18">
        <v>-1</v>
      </c>
    </row>
    <row r="3131" spans="1:38" x14ac:dyDescent="0.2">
      <c r="A3131" s="2">
        <v>2026</v>
      </c>
      <c r="B3131" s="2">
        <v>2</v>
      </c>
      <c r="D3131" s="2" t="s">
        <v>2521</v>
      </c>
      <c r="M3131" s="2" t="s">
        <v>109</v>
      </c>
      <c r="P3131" s="2" t="s">
        <v>282</v>
      </c>
      <c r="Q3131" s="2" t="s">
        <v>399</v>
      </c>
      <c r="R3131" s="2" t="s">
        <v>400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441"/>
        <v>145.09899999999999</v>
      </c>
      <c r="X3131" s="5">
        <f>(T3131-W3131)/T3131</f>
        <v>0.27450500000000005</v>
      </c>
      <c r="Z3131" s="2" t="s">
        <v>3226</v>
      </c>
      <c r="AA3131" s="2" t="s">
        <v>46</v>
      </c>
      <c r="AB3131" s="2" t="s">
        <v>60</v>
      </c>
      <c r="AC3131" s="2" t="s">
        <v>3331</v>
      </c>
      <c r="AF3131" s="2">
        <f t="shared" si="429"/>
        <v>0</v>
      </c>
      <c r="AJ3131" s="2">
        <f t="shared" si="430"/>
        <v>0</v>
      </c>
      <c r="AK3131" s="2">
        <f t="shared" si="437"/>
        <v>54.90100000000001</v>
      </c>
      <c r="AL3131" s="5">
        <f>(T3131-W3131)/T3131</f>
        <v>0.27450500000000005</v>
      </c>
    </row>
    <row r="3132" spans="1:38" x14ac:dyDescent="0.2">
      <c r="A3132" s="2">
        <v>2026</v>
      </c>
      <c r="B3132" s="2">
        <v>2</v>
      </c>
      <c r="D3132" s="2" t="s">
        <v>2516</v>
      </c>
      <c r="E3132" s="2" t="s">
        <v>752</v>
      </c>
      <c r="F3132" s="2" t="s">
        <v>39</v>
      </c>
      <c r="G3132" s="2">
        <v>515570354</v>
      </c>
      <c r="H3132" s="2" t="s">
        <v>109</v>
      </c>
      <c r="I3132" s="2" t="s">
        <v>2517</v>
      </c>
      <c r="J3132" s="2" t="s">
        <v>2518</v>
      </c>
      <c r="K3132" s="2">
        <v>967032538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441"/>
        <v>159.60890000000001</v>
      </c>
      <c r="X3132" s="5">
        <f>(T3132-W3132)/T3132</f>
        <v>0.20195549999999998</v>
      </c>
      <c r="Z3132" s="2" t="s">
        <v>3226</v>
      </c>
      <c r="AA3132" s="2" t="s">
        <v>46</v>
      </c>
      <c r="AB3132" s="2" t="s">
        <v>60</v>
      </c>
      <c r="AC3132" s="2" t="s">
        <v>3331</v>
      </c>
      <c r="AF3132" s="2">
        <f t="shared" si="429"/>
        <v>0</v>
      </c>
      <c r="AJ3132" s="2">
        <f t="shared" si="430"/>
        <v>0</v>
      </c>
      <c r="AK3132" s="2">
        <f t="shared" ref="AK3132:AK3157" si="442">T3132-W3132</f>
        <v>40.391099999999994</v>
      </c>
      <c r="AL3132" s="5">
        <f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1575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441"/>
        <v>14.5099</v>
      </c>
      <c r="X3133" s="19">
        <v>-1</v>
      </c>
      <c r="Z3133" s="2" t="s">
        <v>3226</v>
      </c>
      <c r="AA3133" s="2" t="s">
        <v>46</v>
      </c>
      <c r="AB3133" s="2" t="s">
        <v>60</v>
      </c>
      <c r="AC3133" s="2" t="s">
        <v>3331</v>
      </c>
      <c r="AF3133" s="2">
        <f t="shared" si="429"/>
        <v>0</v>
      </c>
      <c r="AJ3133" s="2">
        <f t="shared" si="430"/>
        <v>0</v>
      </c>
      <c r="AK3133" s="2">
        <f t="shared" si="442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2521</v>
      </c>
      <c r="M3134" s="2" t="s">
        <v>109</v>
      </c>
      <c r="P3134" s="2" t="s">
        <v>282</v>
      </c>
      <c r="Q3134" s="2" t="s">
        <v>401</v>
      </c>
      <c r="R3134" s="2" t="s">
        <v>402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441"/>
        <v>145.09899999999999</v>
      </c>
      <c r="X3134" s="5">
        <f t="shared" ref="X3134:X3154" si="443">(T3134-W3134)/T3134</f>
        <v>0.27450500000000005</v>
      </c>
      <c r="Z3134" s="2" t="s">
        <v>3226</v>
      </c>
      <c r="AA3134" s="2" t="s">
        <v>46</v>
      </c>
      <c r="AB3134" s="2" t="s">
        <v>60</v>
      </c>
      <c r="AC3134" s="2" t="s">
        <v>3331</v>
      </c>
      <c r="AF3134" s="2">
        <f t="shared" si="429"/>
        <v>0</v>
      </c>
      <c r="AJ3134" s="2">
        <f t="shared" si="430"/>
        <v>0</v>
      </c>
      <c r="AK3134" s="2">
        <f t="shared" si="442"/>
        <v>54.90100000000001</v>
      </c>
      <c r="AL3134" s="5">
        <f t="shared" ref="AL3134:AL3154" si="444">(T3134-W3134)/T3134</f>
        <v>0.27450500000000005</v>
      </c>
    </row>
    <row r="3135" spans="1:38" x14ac:dyDescent="0.2">
      <c r="A3135" s="2">
        <v>2026</v>
      </c>
      <c r="B3135" s="2">
        <v>2</v>
      </c>
      <c r="D3135" s="2" t="s">
        <v>581</v>
      </c>
      <c r="E3135" s="2" t="s">
        <v>38</v>
      </c>
      <c r="F3135" s="2" t="s">
        <v>39</v>
      </c>
      <c r="G3135" s="2">
        <v>518281272</v>
      </c>
      <c r="H3135" s="2" t="s">
        <v>41</v>
      </c>
      <c r="I3135" s="2" t="s">
        <v>1101</v>
      </c>
      <c r="J3135" s="2" t="s">
        <v>1102</v>
      </c>
      <c r="L3135" s="2" t="s">
        <v>177</v>
      </c>
      <c r="M3135" s="2" t="s">
        <v>41</v>
      </c>
      <c r="O3135" s="2" t="s">
        <v>2524</v>
      </c>
      <c r="P3135" s="2" t="s">
        <v>43</v>
      </c>
      <c r="Q3135" s="2" t="s">
        <v>351</v>
      </c>
      <c r="R3135" s="2" t="s">
        <v>352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443"/>
        <v>0.4919047619047619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29"/>
        <v>0</v>
      </c>
      <c r="AG3135" s="2">
        <v>10.67</v>
      </c>
      <c r="AH3135" s="2">
        <v>21</v>
      </c>
      <c r="AJ3135" s="2">
        <f t="shared" si="430"/>
        <v>0</v>
      </c>
      <c r="AK3135" s="2">
        <f t="shared" si="442"/>
        <v>20.66</v>
      </c>
      <c r="AL3135" s="5">
        <f t="shared" si="444"/>
        <v>0.4919047619047619</v>
      </c>
    </row>
    <row r="3136" spans="1:38" x14ac:dyDescent="0.2">
      <c r="A3136" s="2">
        <v>2026</v>
      </c>
      <c r="B3136" s="2">
        <v>2</v>
      </c>
      <c r="D3136" s="2" t="s">
        <v>781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782</v>
      </c>
      <c r="J3136" s="2" t="s">
        <v>783</v>
      </c>
      <c r="K3136" s="2">
        <v>917341136</v>
      </c>
      <c r="L3136" s="2" t="s">
        <v>99</v>
      </c>
      <c r="M3136" s="2" t="s">
        <v>80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445">6.6267*S3136</f>
        <v>6.6266999999999996</v>
      </c>
      <c r="X3136" s="5">
        <f t="shared" si="443"/>
        <v>0.44777500000000003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29"/>
        <v>0</v>
      </c>
      <c r="AG3136" s="2">
        <v>6.6266999999999996</v>
      </c>
      <c r="AH3136" s="2">
        <v>12</v>
      </c>
      <c r="AJ3136" s="2">
        <f t="shared" si="430"/>
        <v>0</v>
      </c>
      <c r="AK3136" s="2">
        <f t="shared" si="442"/>
        <v>5.3733000000000004</v>
      </c>
      <c r="AL3136" s="5">
        <f t="shared" si="444"/>
        <v>0.44777500000000003</v>
      </c>
    </row>
    <row r="3137" spans="1:38" x14ac:dyDescent="0.2">
      <c r="A3137" s="2">
        <v>2026</v>
      </c>
      <c r="B3137" s="2">
        <v>2</v>
      </c>
      <c r="D3137" s="2" t="s">
        <v>1021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1554</v>
      </c>
      <c r="J3137" s="2" t="s">
        <v>2525</v>
      </c>
      <c r="L3137" s="2" t="s">
        <v>177</v>
      </c>
      <c r="P3137" s="2" t="s">
        <v>43</v>
      </c>
      <c r="Q3137" s="2" t="s">
        <v>48</v>
      </c>
      <c r="R3137" s="2" t="s">
        <v>49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445"/>
        <v>6.6266999999999996</v>
      </c>
      <c r="X3137" s="5">
        <f t="shared" si="443"/>
        <v>0.49025384615384621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si="429"/>
        <v>0</v>
      </c>
      <c r="AG3137" s="2">
        <v>6.6266999999999996</v>
      </c>
      <c r="AH3137" s="2">
        <v>12</v>
      </c>
      <c r="AJ3137" s="2">
        <f t="shared" si="430"/>
        <v>0</v>
      </c>
      <c r="AK3137" s="2">
        <f t="shared" si="442"/>
        <v>6.3733000000000004</v>
      </c>
      <c r="AL3137" s="5">
        <f t="shared" si="444"/>
        <v>0.49025384615384621</v>
      </c>
    </row>
    <row r="3138" spans="1:38" x14ac:dyDescent="0.2">
      <c r="A3138" s="2">
        <v>2026</v>
      </c>
      <c r="B3138" s="2">
        <v>2</v>
      </c>
      <c r="D3138" s="2" t="s">
        <v>1397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3216</v>
      </c>
      <c r="J3138" s="2" t="s">
        <v>3215</v>
      </c>
      <c r="K3138" s="2">
        <v>913814877</v>
      </c>
      <c r="L3138" s="2" t="s">
        <v>201</v>
      </c>
      <c r="M3138" s="2" t="s">
        <v>80</v>
      </c>
      <c r="O3138" s="2" t="s">
        <v>3212</v>
      </c>
      <c r="P3138" s="2" t="s">
        <v>43</v>
      </c>
      <c r="Q3138" s="2" t="s">
        <v>48</v>
      </c>
      <c r="R3138" s="2" t="s">
        <v>49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445"/>
        <v>13.253399999999999</v>
      </c>
      <c r="X3138" s="5">
        <f t="shared" si="443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ref="AF3138:AF3201" si="446">AJ3138</f>
        <v>0</v>
      </c>
      <c r="AG3138" s="2">
        <v>6.6266999999999996</v>
      </c>
      <c r="AH3138" s="2">
        <v>12</v>
      </c>
      <c r="AJ3138" s="2">
        <f t="shared" ref="AJ3138:AJ3201" si="447">AI3138*T3138</f>
        <v>0</v>
      </c>
      <c r="AK3138" s="2">
        <f t="shared" si="442"/>
        <v>10.746600000000001</v>
      </c>
      <c r="AL3138" s="5">
        <f t="shared" si="444"/>
        <v>0.44777500000000003</v>
      </c>
    </row>
    <row r="3139" spans="1:38" x14ac:dyDescent="0.2">
      <c r="A3139" s="2">
        <v>2026</v>
      </c>
      <c r="B3139" s="2">
        <v>2</v>
      </c>
      <c r="D3139" s="2" t="s">
        <v>507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177</v>
      </c>
      <c r="J3139" s="2" t="s">
        <v>3133</v>
      </c>
      <c r="L3139" s="2" t="s">
        <v>177</v>
      </c>
      <c r="M3139" s="2" t="s">
        <v>41</v>
      </c>
      <c r="O3139" s="2" t="s">
        <v>3140</v>
      </c>
      <c r="P3139" s="2" t="s">
        <v>43</v>
      </c>
      <c r="Q3139" s="2" t="s">
        <v>48</v>
      </c>
      <c r="R3139" s="2" t="s">
        <v>49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445"/>
        <v>19.880099999999999</v>
      </c>
      <c r="X3139" s="5">
        <f t="shared" si="443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46"/>
        <v>0</v>
      </c>
      <c r="AG3139" s="2">
        <v>6.6266999999999996</v>
      </c>
      <c r="AH3139" s="2">
        <v>12</v>
      </c>
      <c r="AJ3139" s="2">
        <f t="shared" si="447"/>
        <v>0</v>
      </c>
      <c r="AK3139" s="2">
        <f t="shared" si="442"/>
        <v>16.119900000000001</v>
      </c>
      <c r="AL3139" s="5">
        <f t="shared" si="444"/>
        <v>0.44777500000000003</v>
      </c>
    </row>
    <row r="3140" spans="1:38" x14ac:dyDescent="0.2">
      <c r="A3140" s="2">
        <v>2026</v>
      </c>
      <c r="B3140" s="2">
        <v>2</v>
      </c>
      <c r="D3140" s="2" t="s">
        <v>2526</v>
      </c>
      <c r="P3140" s="2" t="s">
        <v>43</v>
      </c>
      <c r="Q3140" s="2" t="s">
        <v>48</v>
      </c>
      <c r="R3140" s="2" t="s">
        <v>49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445"/>
        <v>13.253399999999999</v>
      </c>
      <c r="X3140" s="5">
        <f t="shared" si="443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46"/>
        <v>0</v>
      </c>
      <c r="AG3140" s="2">
        <v>6.6266999999999996</v>
      </c>
      <c r="AH3140" s="2">
        <v>12</v>
      </c>
      <c r="AJ3140" s="2">
        <f t="shared" si="447"/>
        <v>0</v>
      </c>
      <c r="AK3140" s="2">
        <f t="shared" si="442"/>
        <v>10.746600000000001</v>
      </c>
      <c r="AL3140" s="5">
        <f t="shared" si="444"/>
        <v>0.44777500000000003</v>
      </c>
    </row>
    <row r="3141" spans="1:38" x14ac:dyDescent="0.2">
      <c r="A3141" s="2">
        <v>2026</v>
      </c>
      <c r="B3141" s="2">
        <v>2</v>
      </c>
      <c r="D3141" s="2" t="s">
        <v>617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618</v>
      </c>
      <c r="J3141" s="2" t="s">
        <v>619</v>
      </c>
      <c r="L3141" s="2" t="s">
        <v>418</v>
      </c>
      <c r="M3141" s="2" t="s">
        <v>41</v>
      </c>
      <c r="P3141" s="2" t="s">
        <v>43</v>
      </c>
      <c r="Q3141" s="2" t="s">
        <v>48</v>
      </c>
      <c r="R3141" s="2" t="s">
        <v>49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445"/>
        <v>6.6266999999999996</v>
      </c>
      <c r="X3141" s="5">
        <f t="shared" si="443"/>
        <v>0.44777500000000003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46"/>
        <v>0</v>
      </c>
      <c r="AG3141" s="2">
        <v>6.6266999999999996</v>
      </c>
      <c r="AH3141" s="2">
        <v>12</v>
      </c>
      <c r="AJ3141" s="2">
        <f t="shared" si="447"/>
        <v>0</v>
      </c>
      <c r="AK3141" s="2">
        <f t="shared" si="442"/>
        <v>5.3733000000000004</v>
      </c>
      <c r="AL3141" s="5">
        <f t="shared" si="444"/>
        <v>0.44777500000000003</v>
      </c>
    </row>
    <row r="3142" spans="1:38" x14ac:dyDescent="0.2">
      <c r="A3142" s="2">
        <v>2026</v>
      </c>
      <c r="B3142" s="2">
        <v>2</v>
      </c>
      <c r="C3142" s="2" t="s">
        <v>3411</v>
      </c>
      <c r="D3142" s="2" t="s">
        <v>1901</v>
      </c>
      <c r="E3142" s="2" t="s">
        <v>38</v>
      </c>
      <c r="F3142" s="2" t="s">
        <v>39</v>
      </c>
      <c r="G3142" s="2">
        <v>505757486</v>
      </c>
      <c r="L3142" s="2" t="s">
        <v>201</v>
      </c>
      <c r="M3142" s="2" t="s">
        <v>80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43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46"/>
        <v>0</v>
      </c>
      <c r="AJ3142" s="2">
        <f t="shared" si="447"/>
        <v>0</v>
      </c>
      <c r="AK3142" s="2">
        <f t="shared" si="442"/>
        <v>24.450000000000003</v>
      </c>
      <c r="AL3142" s="5">
        <f t="shared" si="444"/>
        <v>0.71491228070175439</v>
      </c>
    </row>
    <row r="3143" spans="1:38" x14ac:dyDescent="0.2">
      <c r="A3143" s="2">
        <v>2026</v>
      </c>
      <c r="B3143" s="2">
        <v>2</v>
      </c>
      <c r="D3143" s="2" t="s">
        <v>617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618</v>
      </c>
      <c r="J3143" s="2" t="s">
        <v>619</v>
      </c>
      <c r="L3143" s="2" t="s">
        <v>418</v>
      </c>
      <c r="M3143" s="2" t="s">
        <v>41</v>
      </c>
      <c r="P3143" s="2" t="s">
        <v>43</v>
      </c>
      <c r="Q3143" s="2" t="s">
        <v>1363</v>
      </c>
      <c r="R3143" s="2" t="s">
        <v>1364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W3143" s="2">
        <f>9.75*S3143</f>
        <v>9.75</v>
      </c>
      <c r="X3143" s="5">
        <f t="shared" si="443"/>
        <v>0.71491228070175439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46"/>
        <v>0</v>
      </c>
      <c r="AJ3143" s="2">
        <f t="shared" si="447"/>
        <v>0</v>
      </c>
      <c r="AK3143" s="2">
        <f t="shared" si="442"/>
        <v>24.450000000000003</v>
      </c>
      <c r="AL3143" s="5">
        <f t="shared" si="444"/>
        <v>0.71491228070175439</v>
      </c>
    </row>
    <row r="3144" spans="1:38" x14ac:dyDescent="0.2">
      <c r="A3144" s="2">
        <v>2026</v>
      </c>
      <c r="B3144" s="2">
        <v>2</v>
      </c>
      <c r="C3144" s="2" t="s">
        <v>3411</v>
      </c>
      <c r="D3144" s="2" t="s">
        <v>1901</v>
      </c>
      <c r="E3144" s="2" t="s">
        <v>38</v>
      </c>
      <c r="F3144" s="2" t="s">
        <v>39</v>
      </c>
      <c r="G3144" s="2">
        <v>505757486</v>
      </c>
      <c r="L3144" s="2" t="s">
        <v>201</v>
      </c>
      <c r="M3144" s="2" t="s">
        <v>80</v>
      </c>
      <c r="P3144" s="2" t="s">
        <v>43</v>
      </c>
      <c r="Q3144" s="2" t="s">
        <v>592</v>
      </c>
      <c r="R3144" s="2" t="s">
        <v>593</v>
      </c>
      <c r="S3144" s="2">
        <v>2</v>
      </c>
      <c r="T3144" s="2">
        <v>72</v>
      </c>
      <c r="U3144" s="2">
        <v>16.559999999999999</v>
      </c>
      <c r="V3144" s="2">
        <v>88.56</v>
      </c>
      <c r="W3144" s="2">
        <f>11.295*S3144</f>
        <v>22.59</v>
      </c>
      <c r="X3144" s="5">
        <f t="shared" si="443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46"/>
        <v>0</v>
      </c>
      <c r="AJ3144" s="2">
        <f t="shared" si="447"/>
        <v>0</v>
      </c>
      <c r="AK3144" s="2">
        <f t="shared" si="442"/>
        <v>49.41</v>
      </c>
      <c r="AL3144" s="5">
        <f t="shared" si="444"/>
        <v>0.68624999999999992</v>
      </c>
    </row>
    <row r="3145" spans="1:38" x14ac:dyDescent="0.2">
      <c r="A3145" s="2">
        <v>2026</v>
      </c>
      <c r="B3145" s="2">
        <v>2</v>
      </c>
      <c r="D3145" s="2" t="s">
        <v>617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618</v>
      </c>
      <c r="J3145" s="2" t="s">
        <v>619</v>
      </c>
      <c r="L3145" s="2" t="s">
        <v>418</v>
      </c>
      <c r="M3145" s="2" t="s">
        <v>41</v>
      </c>
      <c r="P3145" s="2" t="s">
        <v>43</v>
      </c>
      <c r="Q3145" s="2" t="s">
        <v>592</v>
      </c>
      <c r="R3145" s="2" t="s">
        <v>593</v>
      </c>
      <c r="S3145" s="2">
        <v>1</v>
      </c>
      <c r="T3145" s="2">
        <v>36</v>
      </c>
      <c r="U3145" s="2">
        <v>8.2800000000000011</v>
      </c>
      <c r="V3145" s="2">
        <v>44.28</v>
      </c>
      <c r="W3145" s="2">
        <f>11.295*S3145</f>
        <v>11.295</v>
      </c>
      <c r="X3145" s="5">
        <f t="shared" si="443"/>
        <v>0.68624999999999992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46"/>
        <v>0</v>
      </c>
      <c r="AJ3145" s="2">
        <f t="shared" si="447"/>
        <v>0</v>
      </c>
      <c r="AK3145" s="2">
        <f t="shared" si="442"/>
        <v>24.704999999999998</v>
      </c>
      <c r="AL3145" s="5">
        <f t="shared" si="444"/>
        <v>0.68624999999999992</v>
      </c>
    </row>
    <row r="3146" spans="1:38" x14ac:dyDescent="0.2">
      <c r="A3146" s="2">
        <v>2026</v>
      </c>
      <c r="B3146" s="2">
        <v>2</v>
      </c>
      <c r="D3146" s="2" t="s">
        <v>1113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1114</v>
      </c>
      <c r="J3146" s="2" t="s">
        <v>1115</v>
      </c>
      <c r="K3146" s="2">
        <v>914550474</v>
      </c>
      <c r="L3146" s="2" t="s">
        <v>99</v>
      </c>
      <c r="M3146" s="2" t="s">
        <v>80</v>
      </c>
      <c r="O3146" s="2" t="s">
        <v>2527</v>
      </c>
      <c r="P3146" s="2" t="s">
        <v>43</v>
      </c>
      <c r="Q3146" s="2" t="s">
        <v>160</v>
      </c>
      <c r="R3146" s="2" t="s">
        <v>161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443"/>
        <v>0.59037280701754391</v>
      </c>
      <c r="Z3146" s="2" t="s">
        <v>3226</v>
      </c>
      <c r="AA3146" s="2" t="s">
        <v>46</v>
      </c>
      <c r="AB3146" s="2" t="s">
        <v>47</v>
      </c>
      <c r="AC3146" s="2" t="s">
        <v>57</v>
      </c>
      <c r="AF3146" s="2">
        <f t="shared" si="446"/>
        <v>0</v>
      </c>
      <c r="AG3146" s="2">
        <v>3.7357999999999998</v>
      </c>
      <c r="AH3146" s="2">
        <v>9</v>
      </c>
      <c r="AJ3146" s="2">
        <f t="shared" si="447"/>
        <v>0</v>
      </c>
      <c r="AK3146" s="2">
        <f t="shared" si="442"/>
        <v>26.921000000000003</v>
      </c>
      <c r="AL3146" s="5">
        <f t="shared" si="444"/>
        <v>0.59037280701754391</v>
      </c>
    </row>
    <row r="3147" spans="1:38" x14ac:dyDescent="0.2">
      <c r="A3147" s="2">
        <v>2026</v>
      </c>
      <c r="B3147" s="2">
        <v>2</v>
      </c>
      <c r="D3147" s="2" t="s">
        <v>689</v>
      </c>
      <c r="E3147" s="2" t="s">
        <v>108</v>
      </c>
      <c r="F3147" s="2" t="s">
        <v>39</v>
      </c>
      <c r="G3147" s="2">
        <v>503589950</v>
      </c>
      <c r="H3147" s="2" t="s">
        <v>41</v>
      </c>
      <c r="I3147" s="2" t="s">
        <v>610</v>
      </c>
      <c r="J3147" s="2" t="s">
        <v>690</v>
      </c>
      <c r="K3147" s="2">
        <v>913036545</v>
      </c>
      <c r="L3147" s="2" t="s">
        <v>177</v>
      </c>
      <c r="M3147" s="2" t="s">
        <v>41</v>
      </c>
      <c r="O3147" s="2" t="s">
        <v>2416</v>
      </c>
      <c r="P3147" s="2" t="s">
        <v>43</v>
      </c>
      <c r="Q3147" s="2" t="s">
        <v>236</v>
      </c>
      <c r="R3147" s="2" t="s">
        <v>237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W3147" s="2">
        <f>9.075*S3147</f>
        <v>9.0749999999999993</v>
      </c>
      <c r="X3147" s="5">
        <f t="shared" si="443"/>
        <v>0.47844827586206895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46"/>
        <v>0</v>
      </c>
      <c r="AJ3147" s="2">
        <f t="shared" si="447"/>
        <v>0</v>
      </c>
      <c r="AK3147" s="2">
        <f t="shared" si="442"/>
        <v>8.3249999999999993</v>
      </c>
      <c r="AL3147" s="5">
        <f t="shared" si="444"/>
        <v>0.47844827586206895</v>
      </c>
    </row>
    <row r="3148" spans="1:38" x14ac:dyDescent="0.2">
      <c r="A3148" s="2">
        <v>2026</v>
      </c>
      <c r="B3148" s="2">
        <v>2</v>
      </c>
      <c r="D3148" s="2" t="s">
        <v>422</v>
      </c>
      <c r="E3148" s="2" t="s">
        <v>98</v>
      </c>
      <c r="F3148" s="2" t="s">
        <v>39</v>
      </c>
      <c r="G3148" s="2">
        <v>503523470</v>
      </c>
      <c r="H3148" s="2" t="s">
        <v>40</v>
      </c>
      <c r="I3148" s="2" t="s">
        <v>423</v>
      </c>
      <c r="J3148" s="2" t="s">
        <v>424</v>
      </c>
      <c r="L3148" s="2" t="s">
        <v>201</v>
      </c>
      <c r="M3148" s="2" t="s">
        <v>80</v>
      </c>
      <c r="P3148" s="2" t="s">
        <v>43</v>
      </c>
      <c r="Q3148" s="2" t="s">
        <v>232</v>
      </c>
      <c r="R3148" s="2" t="s">
        <v>233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443"/>
        <v>0.53121428571428575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46"/>
        <v>0</v>
      </c>
      <c r="AG3148" s="2">
        <v>5.9066999999999998</v>
      </c>
      <c r="AH3148" s="2">
        <v>12.6</v>
      </c>
      <c r="AJ3148" s="2">
        <f t="shared" si="447"/>
        <v>0</v>
      </c>
      <c r="AK3148" s="2">
        <f t="shared" si="442"/>
        <v>6.6932999999999998</v>
      </c>
      <c r="AL3148" s="5">
        <f t="shared" si="444"/>
        <v>0.53121428571428575</v>
      </c>
    </row>
    <row r="3149" spans="1:38" x14ac:dyDescent="0.2">
      <c r="A3149" s="2">
        <v>2026</v>
      </c>
      <c r="B3149" s="2">
        <v>2</v>
      </c>
      <c r="D3149" s="2" t="s">
        <v>689</v>
      </c>
      <c r="E3149" s="2" t="s">
        <v>108</v>
      </c>
      <c r="F3149" s="2" t="s">
        <v>39</v>
      </c>
      <c r="G3149" s="2">
        <v>503589950</v>
      </c>
      <c r="H3149" s="2" t="s">
        <v>41</v>
      </c>
      <c r="I3149" s="2" t="s">
        <v>610</v>
      </c>
      <c r="J3149" s="2" t="s">
        <v>690</v>
      </c>
      <c r="K3149" s="2">
        <v>913036545</v>
      </c>
      <c r="L3149" s="2" t="s">
        <v>177</v>
      </c>
      <c r="M3149" s="2" t="s">
        <v>41</v>
      </c>
      <c r="O3149" s="2" t="s">
        <v>2416</v>
      </c>
      <c r="P3149" s="2" t="s">
        <v>43</v>
      </c>
      <c r="Q3149" s="2" t="s">
        <v>238</v>
      </c>
      <c r="R3149" s="2" t="s">
        <v>239</v>
      </c>
      <c r="S3149" s="2">
        <v>1</v>
      </c>
      <c r="T3149" s="2">
        <v>21</v>
      </c>
      <c r="U3149" s="2">
        <v>4.83</v>
      </c>
      <c r="V3149" s="2">
        <v>25.83</v>
      </c>
      <c r="W3149" s="2">
        <f>11.045*S3149</f>
        <v>11.045</v>
      </c>
      <c r="X3149" s="5">
        <f t="shared" si="443"/>
        <v>0.47404761904761905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46"/>
        <v>0</v>
      </c>
      <c r="AJ3149" s="2">
        <f t="shared" si="447"/>
        <v>0</v>
      </c>
      <c r="AK3149" s="2">
        <f t="shared" si="442"/>
        <v>9.9550000000000001</v>
      </c>
      <c r="AL3149" s="5">
        <f t="shared" si="444"/>
        <v>0.47404761904761905</v>
      </c>
    </row>
    <row r="3150" spans="1:38" x14ac:dyDescent="0.2">
      <c r="A3150" s="2">
        <v>2026</v>
      </c>
      <c r="B3150" s="2">
        <v>2</v>
      </c>
      <c r="D3150" s="2" t="s">
        <v>422</v>
      </c>
      <c r="E3150" s="2" t="s">
        <v>98</v>
      </c>
      <c r="F3150" s="2" t="s">
        <v>39</v>
      </c>
      <c r="G3150" s="2">
        <v>503523470</v>
      </c>
      <c r="H3150" s="2" t="s">
        <v>40</v>
      </c>
      <c r="I3150" s="2" t="s">
        <v>423</v>
      </c>
      <c r="J3150" s="2" t="s">
        <v>424</v>
      </c>
      <c r="L3150" s="2" t="s">
        <v>201</v>
      </c>
      <c r="M3150" s="2" t="s">
        <v>80</v>
      </c>
      <c r="P3150" s="2" t="s">
        <v>43</v>
      </c>
      <c r="Q3150" s="2" t="s">
        <v>234</v>
      </c>
      <c r="R3150" s="2" t="s">
        <v>235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443"/>
        <v>0.49849305555555556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46"/>
        <v>0</v>
      </c>
      <c r="AG3150" s="2">
        <v>7.2217000000000002</v>
      </c>
      <c r="AH3150" s="2">
        <v>14.4</v>
      </c>
      <c r="AJ3150" s="2">
        <f t="shared" si="447"/>
        <v>0</v>
      </c>
      <c r="AK3150" s="2">
        <f t="shared" si="442"/>
        <v>7.1783000000000001</v>
      </c>
      <c r="AL3150" s="5">
        <f t="shared" si="444"/>
        <v>0.49849305555555556</v>
      </c>
    </row>
    <row r="3151" spans="1:38" x14ac:dyDescent="0.2">
      <c r="A3151" s="2">
        <v>2026</v>
      </c>
      <c r="B3151" s="2">
        <v>2</v>
      </c>
      <c r="D3151" s="2" t="s">
        <v>689</v>
      </c>
      <c r="E3151" s="2" t="s">
        <v>108</v>
      </c>
      <c r="F3151" s="2" t="s">
        <v>39</v>
      </c>
      <c r="G3151" s="2">
        <v>503589950</v>
      </c>
      <c r="H3151" s="2" t="s">
        <v>41</v>
      </c>
      <c r="I3151" s="2" t="s">
        <v>610</v>
      </c>
      <c r="J3151" s="2" t="s">
        <v>690</v>
      </c>
      <c r="K3151" s="2">
        <v>913036545</v>
      </c>
      <c r="L3151" s="2" t="s">
        <v>177</v>
      </c>
      <c r="M3151" s="2" t="s">
        <v>41</v>
      </c>
      <c r="O3151" s="2" t="s">
        <v>2416</v>
      </c>
      <c r="P3151" s="2" t="s">
        <v>43</v>
      </c>
      <c r="Q3151" s="2" t="s">
        <v>242</v>
      </c>
      <c r="R3151" s="2" t="s">
        <v>243</v>
      </c>
      <c r="S3151" s="2">
        <v>1</v>
      </c>
      <c r="T3151" s="2">
        <v>30</v>
      </c>
      <c r="U3151" s="2">
        <v>6.9</v>
      </c>
      <c r="V3151" s="2">
        <v>36.9</v>
      </c>
      <c r="W3151" s="2">
        <f>16.2249*S3151</f>
        <v>16.224900000000002</v>
      </c>
      <c r="X3151" s="5">
        <f t="shared" si="443"/>
        <v>0.45916999999999997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46"/>
        <v>0</v>
      </c>
      <c r="AJ3151" s="2">
        <f t="shared" si="447"/>
        <v>0</v>
      </c>
      <c r="AK3151" s="2">
        <f t="shared" si="442"/>
        <v>13.775099999999998</v>
      </c>
      <c r="AL3151" s="5">
        <f t="shared" si="444"/>
        <v>0.45916999999999997</v>
      </c>
    </row>
    <row r="3152" spans="1:38" x14ac:dyDescent="0.2">
      <c r="A3152" s="2">
        <v>2026</v>
      </c>
      <c r="B3152" s="2">
        <v>2</v>
      </c>
      <c r="D3152" s="2" t="s">
        <v>422</v>
      </c>
      <c r="E3152" s="2" t="s">
        <v>98</v>
      </c>
      <c r="F3152" s="2" t="s">
        <v>39</v>
      </c>
      <c r="G3152" s="2">
        <v>503523470</v>
      </c>
      <c r="H3152" s="2" t="s">
        <v>40</v>
      </c>
      <c r="I3152" s="2" t="s">
        <v>423</v>
      </c>
      <c r="J3152" s="2" t="s">
        <v>424</v>
      </c>
      <c r="L3152" s="2" t="s">
        <v>201</v>
      </c>
      <c r="M3152" s="2" t="s">
        <v>80</v>
      </c>
      <c r="P3152" s="2" t="s">
        <v>43</v>
      </c>
      <c r="Q3152" s="2" t="s">
        <v>236</v>
      </c>
      <c r="R3152" s="2" t="s">
        <v>237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W3152" s="2">
        <f>9.075*S3152</f>
        <v>9.0749999999999993</v>
      </c>
      <c r="X3152" s="5">
        <f t="shared" si="443"/>
        <v>0.47844827586206895</v>
      </c>
      <c r="Z3152" s="2" t="s">
        <v>3226</v>
      </c>
      <c r="AA3152" s="2" t="s">
        <v>46</v>
      </c>
      <c r="AB3152" s="2" t="s">
        <v>56</v>
      </c>
      <c r="AC3152" s="2" t="s">
        <v>57</v>
      </c>
      <c r="AF3152" s="2">
        <f t="shared" si="446"/>
        <v>0</v>
      </c>
      <c r="AJ3152" s="2">
        <f t="shared" si="447"/>
        <v>0</v>
      </c>
      <c r="AK3152" s="2">
        <f t="shared" si="442"/>
        <v>8.3249999999999993</v>
      </c>
      <c r="AL3152" s="5">
        <f t="shared" si="444"/>
        <v>0.47844827586206895</v>
      </c>
    </row>
    <row r="3153" spans="1:38" x14ac:dyDescent="0.2">
      <c r="A3153" s="2">
        <v>2026</v>
      </c>
      <c r="B3153" s="2">
        <v>3</v>
      </c>
      <c r="D3153" s="2" t="s">
        <v>689</v>
      </c>
      <c r="E3153" s="2" t="s">
        <v>108</v>
      </c>
      <c r="F3153" s="2" t="s">
        <v>39</v>
      </c>
      <c r="G3153" s="2">
        <v>503589950</v>
      </c>
      <c r="H3153" s="2" t="s">
        <v>41</v>
      </c>
      <c r="I3153" s="2" t="s">
        <v>610</v>
      </c>
      <c r="J3153" s="2" t="s">
        <v>690</v>
      </c>
      <c r="K3153" s="2">
        <v>913036545</v>
      </c>
      <c r="L3153" s="2" t="s">
        <v>177</v>
      </c>
      <c r="M3153" s="2" t="s">
        <v>40</v>
      </c>
      <c r="O3153" s="2" t="s">
        <v>2528</v>
      </c>
      <c r="P3153" s="2" t="s">
        <v>114</v>
      </c>
      <c r="Q3153" s="2" t="s">
        <v>2529</v>
      </c>
      <c r="R3153" s="2" t="s">
        <v>2530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443"/>
        <v>0.54191787054942553</v>
      </c>
      <c r="Z3153" s="2" t="s">
        <v>117</v>
      </c>
      <c r="AA3153" s="2" t="s">
        <v>118</v>
      </c>
      <c r="AB3153" s="2" t="s">
        <v>119</v>
      </c>
      <c r="AC3153" s="2" t="s">
        <v>114</v>
      </c>
      <c r="AF3153" s="2">
        <f t="shared" si="446"/>
        <v>0</v>
      </c>
      <c r="AG3153" s="2">
        <v>120.81</v>
      </c>
      <c r="AJ3153" s="2">
        <f t="shared" si="447"/>
        <v>0</v>
      </c>
      <c r="AK3153" s="2">
        <f t="shared" si="442"/>
        <v>142.92000000000002</v>
      </c>
      <c r="AL3153" s="5">
        <f t="shared" si="444"/>
        <v>0.54191787054942553</v>
      </c>
    </row>
    <row r="3154" spans="1:38" x14ac:dyDescent="0.2">
      <c r="A3154" s="2">
        <v>2026</v>
      </c>
      <c r="B3154" s="2">
        <v>2</v>
      </c>
      <c r="D3154" s="2" t="s">
        <v>422</v>
      </c>
      <c r="E3154" s="2" t="s">
        <v>98</v>
      </c>
      <c r="F3154" s="2" t="s">
        <v>39</v>
      </c>
      <c r="G3154" s="2">
        <v>503523470</v>
      </c>
      <c r="H3154" s="2" t="s">
        <v>40</v>
      </c>
      <c r="I3154" s="2" t="s">
        <v>423</v>
      </c>
      <c r="J3154" s="2" t="s">
        <v>424</v>
      </c>
      <c r="L3154" s="2" t="s">
        <v>201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1</v>
      </c>
      <c r="T3154" s="2">
        <v>21</v>
      </c>
      <c r="U3154" s="2">
        <v>4.83</v>
      </c>
      <c r="V3154" s="2">
        <v>25.83</v>
      </c>
      <c r="W3154" s="2">
        <f t="shared" ref="W3154:W3155" si="448">11.045*S3154</f>
        <v>11.045</v>
      </c>
      <c r="X3154" s="5">
        <f t="shared" si="443"/>
        <v>0.47404761904761905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46"/>
        <v>0</v>
      </c>
      <c r="AJ3154" s="2">
        <f t="shared" si="447"/>
        <v>0</v>
      </c>
      <c r="AK3154" s="2">
        <f t="shared" si="442"/>
        <v>9.9550000000000001</v>
      </c>
      <c r="AL3154" s="5">
        <f t="shared" si="444"/>
        <v>0.47404761904761905</v>
      </c>
    </row>
    <row r="3155" spans="1:38" x14ac:dyDescent="0.2">
      <c r="A3155" s="2">
        <v>2026</v>
      </c>
      <c r="B3155" s="2">
        <v>2</v>
      </c>
      <c r="D3155" s="2" t="s">
        <v>425</v>
      </c>
      <c r="E3155" s="2" t="s">
        <v>98</v>
      </c>
      <c r="F3155" s="2" t="s">
        <v>39</v>
      </c>
      <c r="G3155" s="2">
        <v>510613888</v>
      </c>
      <c r="H3155" s="2" t="s">
        <v>40</v>
      </c>
      <c r="I3155" s="2" t="s">
        <v>426</v>
      </c>
      <c r="J3155" s="2" t="s">
        <v>427</v>
      </c>
      <c r="L3155" s="2" t="s">
        <v>99</v>
      </c>
      <c r="M3155" s="2" t="s">
        <v>80</v>
      </c>
      <c r="P3155" s="2" t="s">
        <v>43</v>
      </c>
      <c r="Q3155" s="2" t="s">
        <v>238</v>
      </c>
      <c r="R3155" s="2" t="s">
        <v>239</v>
      </c>
      <c r="S3155" s="2">
        <v>0</v>
      </c>
      <c r="T3155" s="2">
        <v>0</v>
      </c>
      <c r="U3155" s="2">
        <v>0</v>
      </c>
      <c r="V3155" s="2">
        <v>0</v>
      </c>
      <c r="W3155" s="2">
        <f t="shared" si="448"/>
        <v>0</v>
      </c>
      <c r="X3155" s="5">
        <v>0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46"/>
        <v>0</v>
      </c>
      <c r="AJ3155" s="2">
        <f t="shared" si="447"/>
        <v>0</v>
      </c>
      <c r="AK3155" s="2">
        <f t="shared" si="442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422</v>
      </c>
      <c r="E3156" s="2" t="s">
        <v>98</v>
      </c>
      <c r="F3156" s="2" t="s">
        <v>39</v>
      </c>
      <c r="G3156" s="2">
        <v>503523470</v>
      </c>
      <c r="H3156" s="2" t="s">
        <v>40</v>
      </c>
      <c r="I3156" s="2" t="s">
        <v>423</v>
      </c>
      <c r="J3156" s="2" t="s">
        <v>424</v>
      </c>
      <c r="L3156" s="2" t="s">
        <v>201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W3156" s="2">
        <f t="shared" ref="W3156:W3157" si="449">13.4067*S3156</f>
        <v>13.406700000000001</v>
      </c>
      <c r="X3156" s="5">
        <f>(T3156-W3156)/T3156</f>
        <v>0.4679880952380952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46"/>
        <v>0</v>
      </c>
      <c r="AJ3156" s="2">
        <f t="shared" si="447"/>
        <v>0</v>
      </c>
      <c r="AK3156" s="2">
        <f t="shared" si="442"/>
        <v>11.793299999999999</v>
      </c>
      <c r="AL3156" s="5">
        <f>(T3156-W3156)/T3156</f>
        <v>0.4679880952380952</v>
      </c>
    </row>
    <row r="3157" spans="1:38" x14ac:dyDescent="0.2">
      <c r="A3157" s="2">
        <v>2026</v>
      </c>
      <c r="B3157" s="2">
        <v>2</v>
      </c>
      <c r="D3157" s="2" t="s">
        <v>425</v>
      </c>
      <c r="E3157" s="2" t="s">
        <v>98</v>
      </c>
      <c r="F3157" s="2" t="s">
        <v>39</v>
      </c>
      <c r="G3157" s="2">
        <v>510613888</v>
      </c>
      <c r="H3157" s="2" t="s">
        <v>40</v>
      </c>
      <c r="I3157" s="2" t="s">
        <v>426</v>
      </c>
      <c r="J3157" s="2" t="s">
        <v>427</v>
      </c>
      <c r="L3157" s="2" t="s">
        <v>99</v>
      </c>
      <c r="M3157" s="2" t="s">
        <v>80</v>
      </c>
      <c r="P3157" s="2" t="s">
        <v>43</v>
      </c>
      <c r="Q3157" s="2" t="s">
        <v>240</v>
      </c>
      <c r="R3157" s="2" t="s">
        <v>241</v>
      </c>
      <c r="S3157" s="2">
        <v>0</v>
      </c>
      <c r="T3157" s="2">
        <v>0</v>
      </c>
      <c r="U3157" s="2">
        <v>0</v>
      </c>
      <c r="V3157" s="2">
        <v>0</v>
      </c>
      <c r="W3157" s="2">
        <f t="shared" si="449"/>
        <v>0</v>
      </c>
      <c r="X3157" s="5">
        <v>0</v>
      </c>
      <c r="Z3157" s="2" t="s">
        <v>3226</v>
      </c>
      <c r="AA3157" s="2" t="s">
        <v>46</v>
      </c>
      <c r="AB3157" s="2" t="s">
        <v>56</v>
      </c>
      <c r="AC3157" s="2" t="s">
        <v>57</v>
      </c>
      <c r="AF3157" s="2">
        <f t="shared" si="446"/>
        <v>0</v>
      </c>
      <c r="AJ3157" s="2">
        <f t="shared" si="447"/>
        <v>0</v>
      </c>
      <c r="AK3157" s="2">
        <f t="shared" si="442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689</v>
      </c>
      <c r="E3158" s="2" t="s">
        <v>108</v>
      </c>
      <c r="F3158" s="2" t="s">
        <v>39</v>
      </c>
      <c r="G3158" s="2">
        <v>503589950</v>
      </c>
      <c r="H3158" s="2" t="s">
        <v>41</v>
      </c>
      <c r="I3158" s="2" t="s">
        <v>610</v>
      </c>
      <c r="J3158" s="2" t="s">
        <v>690</v>
      </c>
      <c r="K3158" s="2">
        <v>913036545</v>
      </c>
      <c r="L3158" s="2" t="s">
        <v>177</v>
      </c>
      <c r="M3158" s="2" t="s">
        <v>40</v>
      </c>
      <c r="O3158" s="2" t="s">
        <v>2441</v>
      </c>
      <c r="P3158" s="2" t="s">
        <v>114</v>
      </c>
      <c r="Q3158" s="2" t="s">
        <v>2099</v>
      </c>
      <c r="R3158" s="2" t="s">
        <v>2100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Z3158" s="2" t="s">
        <v>117</v>
      </c>
      <c r="AA3158" s="2" t="s">
        <v>118</v>
      </c>
      <c r="AB3158" s="2" t="s">
        <v>119</v>
      </c>
      <c r="AC3158" s="2" t="s">
        <v>114</v>
      </c>
      <c r="AF3158" s="2">
        <f t="shared" si="446"/>
        <v>0</v>
      </c>
      <c r="AG3158" s="2">
        <v>42.23</v>
      </c>
      <c r="AJ3158" s="2">
        <f t="shared" si="447"/>
        <v>0</v>
      </c>
    </row>
    <row r="3159" spans="1:38" x14ac:dyDescent="0.2">
      <c r="A3159" s="2">
        <v>2026</v>
      </c>
      <c r="B3159" s="2">
        <v>2</v>
      </c>
      <c r="D3159" s="2" t="s">
        <v>422</v>
      </c>
      <c r="E3159" s="2" t="s">
        <v>98</v>
      </c>
      <c r="F3159" s="2" t="s">
        <v>39</v>
      </c>
      <c r="G3159" s="2">
        <v>503523470</v>
      </c>
      <c r="H3159" s="2" t="s">
        <v>40</v>
      </c>
      <c r="I3159" s="2" t="s">
        <v>423</v>
      </c>
      <c r="J3159" s="2" t="s">
        <v>424</v>
      </c>
      <c r="L3159" s="2" t="s">
        <v>201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1</v>
      </c>
      <c r="T3159" s="2">
        <v>30</v>
      </c>
      <c r="U3159" s="2">
        <v>6.9</v>
      </c>
      <c r="V3159" s="2">
        <v>36.9</v>
      </c>
      <c r="W3159" s="2">
        <f t="shared" ref="W3159:W3160" si="450">16.2249*S3159</f>
        <v>16.224900000000002</v>
      </c>
      <c r="X3159" s="5">
        <f>(T3159-W3159)/T3159</f>
        <v>0.45916999999999997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46"/>
        <v>0</v>
      </c>
      <c r="AJ3159" s="2">
        <f t="shared" si="447"/>
        <v>0</v>
      </c>
      <c r="AK3159" s="2">
        <f>T3159-W3159</f>
        <v>13.775099999999998</v>
      </c>
      <c r="AL3159" s="5">
        <f>(T3159-W3159)/T3159</f>
        <v>0.45916999999999997</v>
      </c>
    </row>
    <row r="3160" spans="1:38" x14ac:dyDescent="0.2">
      <c r="A3160" s="2">
        <v>2026</v>
      </c>
      <c r="B3160" s="2">
        <v>2</v>
      </c>
      <c r="D3160" s="2" t="s">
        <v>425</v>
      </c>
      <c r="E3160" s="2" t="s">
        <v>98</v>
      </c>
      <c r="F3160" s="2" t="s">
        <v>39</v>
      </c>
      <c r="G3160" s="2">
        <v>510613888</v>
      </c>
      <c r="H3160" s="2" t="s">
        <v>40</v>
      </c>
      <c r="I3160" s="2" t="s">
        <v>426</v>
      </c>
      <c r="J3160" s="2" t="s">
        <v>427</v>
      </c>
      <c r="L3160" s="2" t="s">
        <v>99</v>
      </c>
      <c r="M3160" s="2" t="s">
        <v>80</v>
      </c>
      <c r="P3160" s="2" t="s">
        <v>43</v>
      </c>
      <c r="Q3160" s="2" t="s">
        <v>242</v>
      </c>
      <c r="R3160" s="2" t="s">
        <v>243</v>
      </c>
      <c r="S3160" s="2">
        <v>0</v>
      </c>
      <c r="T3160" s="2">
        <v>0</v>
      </c>
      <c r="U3160" s="2">
        <v>0</v>
      </c>
      <c r="V3160" s="2">
        <v>0</v>
      </c>
      <c r="W3160" s="2">
        <f t="shared" si="450"/>
        <v>0</v>
      </c>
      <c r="X3160" s="5">
        <v>0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46"/>
        <v>0</v>
      </c>
      <c r="AJ3160" s="2">
        <f t="shared" si="447"/>
        <v>0</v>
      </c>
      <c r="AK3160" s="2">
        <v>0</v>
      </c>
      <c r="AL3160" s="5"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54</v>
      </c>
      <c r="R3161" s="2" t="s">
        <v>55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451">(T3161-W3161)/T3161</f>
        <v>0.26896551724137935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46"/>
        <v>0</v>
      </c>
      <c r="AG3161" s="2">
        <v>10.6</v>
      </c>
      <c r="AH3161" s="2">
        <v>18</v>
      </c>
      <c r="AJ3161" s="2">
        <f t="shared" si="447"/>
        <v>0</v>
      </c>
      <c r="AK3161" s="2">
        <f t="shared" ref="AK3161:AK3192" si="452">T3161-W3161</f>
        <v>15.600000000000001</v>
      </c>
      <c r="AL3161" s="5">
        <f t="shared" ref="AL3161:AL3169" si="453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308</v>
      </c>
      <c r="E3162" s="2" t="s">
        <v>108</v>
      </c>
      <c r="F3162" s="2" t="s">
        <v>39</v>
      </c>
      <c r="G3162" s="2">
        <v>503724300</v>
      </c>
      <c r="H3162" s="2" t="s">
        <v>109</v>
      </c>
      <c r="I3162" s="2" t="s">
        <v>3114</v>
      </c>
      <c r="J3162" s="2" t="s">
        <v>3115</v>
      </c>
      <c r="L3162" s="2" t="s">
        <v>112</v>
      </c>
      <c r="M3162" s="2" t="s">
        <v>109</v>
      </c>
      <c r="O3162" s="2" t="s">
        <v>3118</v>
      </c>
      <c r="P3162" s="2" t="s">
        <v>43</v>
      </c>
      <c r="Q3162" s="2" t="s">
        <v>54</v>
      </c>
      <c r="R3162" s="2" t="s">
        <v>55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451"/>
        <v>0.41111111111111115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46"/>
        <v>0</v>
      </c>
      <c r="AG3162" s="2">
        <v>10.6</v>
      </c>
      <c r="AH3162" s="2">
        <v>18</v>
      </c>
      <c r="AJ3162" s="2">
        <f t="shared" si="447"/>
        <v>0</v>
      </c>
      <c r="AK3162" s="2">
        <f t="shared" si="452"/>
        <v>22.200000000000003</v>
      </c>
      <c r="AL3162" s="5">
        <f t="shared" si="453"/>
        <v>0.41111111111111115</v>
      </c>
    </row>
    <row r="3163" spans="1:38" x14ac:dyDescent="0.2">
      <c r="A3163" s="2">
        <v>2026</v>
      </c>
      <c r="B3163" s="2">
        <v>2</v>
      </c>
      <c r="D3163" s="2" t="s">
        <v>2531</v>
      </c>
      <c r="P3163" s="2" t="s">
        <v>43</v>
      </c>
      <c r="Q3163" s="2" t="s">
        <v>54</v>
      </c>
      <c r="R3163" s="2" t="s">
        <v>55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451"/>
        <v>0.24285714285714285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46"/>
        <v>0</v>
      </c>
      <c r="AG3163" s="2">
        <v>10.6</v>
      </c>
      <c r="AH3163" s="2">
        <v>18</v>
      </c>
      <c r="AJ3163" s="2">
        <f t="shared" si="447"/>
        <v>0</v>
      </c>
      <c r="AK3163" s="2">
        <f t="shared" si="452"/>
        <v>34</v>
      </c>
      <c r="AL3163" s="5">
        <f t="shared" si="453"/>
        <v>0.24285714285714285</v>
      </c>
    </row>
    <row r="3164" spans="1:38" x14ac:dyDescent="0.2">
      <c r="A3164" s="2">
        <v>2026</v>
      </c>
      <c r="B3164" s="2">
        <v>2</v>
      </c>
      <c r="D3164" s="2" t="s">
        <v>422</v>
      </c>
      <c r="E3164" s="2" t="s">
        <v>98</v>
      </c>
      <c r="F3164" s="2" t="s">
        <v>39</v>
      </c>
      <c r="G3164" s="2">
        <v>503523470</v>
      </c>
      <c r="H3164" s="2" t="s">
        <v>40</v>
      </c>
      <c r="I3164" s="2" t="s">
        <v>423</v>
      </c>
      <c r="J3164" s="2" t="s">
        <v>424</v>
      </c>
      <c r="L3164" s="2" t="s">
        <v>201</v>
      </c>
      <c r="M3164" s="2" t="s">
        <v>80</v>
      </c>
      <c r="P3164" s="2" t="s">
        <v>43</v>
      </c>
      <c r="Q3164" s="2" t="s">
        <v>54</v>
      </c>
      <c r="R3164" s="2" t="s">
        <v>55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451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46"/>
        <v>0</v>
      </c>
      <c r="AG3164" s="2">
        <v>10.6</v>
      </c>
      <c r="AH3164" s="2">
        <v>18</v>
      </c>
      <c r="AJ3164" s="2">
        <f t="shared" si="447"/>
        <v>0</v>
      </c>
      <c r="AK3164" s="2">
        <f t="shared" si="452"/>
        <v>7.4</v>
      </c>
      <c r="AL3164" s="5">
        <f t="shared" si="453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P3165" s="2" t="s">
        <v>43</v>
      </c>
      <c r="Q3165" s="2" t="s">
        <v>54</v>
      </c>
      <c r="R3165" s="2" t="s">
        <v>55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451"/>
        <v>0.41111111111111115</v>
      </c>
      <c r="Z3165" s="2" t="s">
        <v>3226</v>
      </c>
      <c r="AA3165" s="2" t="s">
        <v>46</v>
      </c>
      <c r="AB3165" s="2" t="s">
        <v>56</v>
      </c>
      <c r="AC3165" s="2" t="s">
        <v>57</v>
      </c>
      <c r="AF3165" s="2">
        <f t="shared" si="446"/>
        <v>0</v>
      </c>
      <c r="AG3165" s="2">
        <v>10.6</v>
      </c>
      <c r="AH3165" s="2">
        <v>18</v>
      </c>
      <c r="AJ3165" s="2">
        <f t="shared" si="447"/>
        <v>0</v>
      </c>
      <c r="AK3165" s="2">
        <f t="shared" si="452"/>
        <v>14.8</v>
      </c>
      <c r="AL3165" s="5">
        <f t="shared" si="453"/>
        <v>0.41111111111111115</v>
      </c>
    </row>
    <row r="3166" spans="1:38" x14ac:dyDescent="0.2">
      <c r="A3166" s="2">
        <v>2026</v>
      </c>
      <c r="B3166" s="2">
        <v>2</v>
      </c>
      <c r="D3166" s="2" t="s">
        <v>1021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1554</v>
      </c>
      <c r="J3166" s="2" t="s">
        <v>2525</v>
      </c>
      <c r="L3166" s="2" t="s">
        <v>177</v>
      </c>
      <c r="M3166" s="2" t="s">
        <v>41</v>
      </c>
      <c r="O3166" s="2" t="s">
        <v>2532</v>
      </c>
      <c r="P3166" s="2" t="s">
        <v>43</v>
      </c>
      <c r="Q3166" s="2" t="s">
        <v>58</v>
      </c>
      <c r="R3166" s="2" t="s">
        <v>59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451"/>
        <v>0.34714285714285725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46"/>
        <v>0</v>
      </c>
      <c r="AG3166" s="2">
        <v>9.14</v>
      </c>
      <c r="AH3166" s="2">
        <v>16</v>
      </c>
      <c r="AJ3166" s="2">
        <f t="shared" si="447"/>
        <v>0</v>
      </c>
      <c r="AK3166" s="2">
        <f t="shared" si="452"/>
        <v>4.8600000000000012</v>
      </c>
      <c r="AL3166" s="5">
        <f t="shared" si="453"/>
        <v>0.34714285714285725</v>
      </c>
    </row>
    <row r="3167" spans="1:38" x14ac:dyDescent="0.2">
      <c r="A3167" s="2">
        <v>2026</v>
      </c>
      <c r="B3167" s="2">
        <v>2</v>
      </c>
      <c r="D3167" s="2" t="s">
        <v>617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618</v>
      </c>
      <c r="J3167" s="2" t="s">
        <v>619</v>
      </c>
      <c r="L3167" s="2" t="s">
        <v>418</v>
      </c>
      <c r="M3167" s="2" t="s">
        <v>41</v>
      </c>
      <c r="O3167" s="2" t="s">
        <v>2533</v>
      </c>
      <c r="P3167" s="2" t="s">
        <v>43</v>
      </c>
      <c r="Q3167" s="2" t="s">
        <v>58</v>
      </c>
      <c r="R3167" s="2" t="s">
        <v>59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451"/>
        <v>0.29692307692307701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46"/>
        <v>0</v>
      </c>
      <c r="AG3167" s="2">
        <v>9.14</v>
      </c>
      <c r="AH3167" s="2">
        <v>16</v>
      </c>
      <c r="AJ3167" s="2">
        <f t="shared" si="447"/>
        <v>0</v>
      </c>
      <c r="AK3167" s="2">
        <f t="shared" si="452"/>
        <v>7.7200000000000024</v>
      </c>
      <c r="AL3167" s="5">
        <f t="shared" si="453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61</v>
      </c>
      <c r="R3168" s="2" t="s">
        <v>62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>0.082*S3168</f>
        <v>155.80000000000001</v>
      </c>
      <c r="X3168" s="5">
        <f t="shared" si="451"/>
        <v>0.25454545454545446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46"/>
        <v>0</v>
      </c>
      <c r="AG3168" s="2">
        <v>8.1999999999999993</v>
      </c>
      <c r="AH3168" s="2">
        <v>13</v>
      </c>
      <c r="AJ3168" s="2">
        <f t="shared" si="447"/>
        <v>0</v>
      </c>
      <c r="AK3168" s="2">
        <f t="shared" si="452"/>
        <v>53.199999999999989</v>
      </c>
      <c r="AL3168" s="5">
        <f t="shared" si="453"/>
        <v>0.25454545454545446</v>
      </c>
    </row>
    <row r="3169" spans="1:38" x14ac:dyDescent="0.2">
      <c r="A3169" s="2">
        <v>2026</v>
      </c>
      <c r="B3169" s="2">
        <v>2</v>
      </c>
      <c r="D3169" s="2" t="s">
        <v>422</v>
      </c>
      <c r="E3169" s="2" t="s">
        <v>98</v>
      </c>
      <c r="F3169" s="2" t="s">
        <v>39</v>
      </c>
      <c r="G3169" s="2">
        <v>503523470</v>
      </c>
      <c r="H3169" s="2" t="s">
        <v>40</v>
      </c>
      <c r="I3169" s="2" t="s">
        <v>423</v>
      </c>
      <c r="J3169" s="2" t="s">
        <v>424</v>
      </c>
      <c r="L3169" s="2" t="s">
        <v>201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200</v>
      </c>
      <c r="T3169" s="2">
        <v>26</v>
      </c>
      <c r="U3169" s="2">
        <v>5.98</v>
      </c>
      <c r="V3169" s="2">
        <v>31.98</v>
      </c>
      <c r="W3169" s="2">
        <f>0.082*S3169</f>
        <v>16.400000000000002</v>
      </c>
      <c r="X3169" s="5">
        <f t="shared" si="451"/>
        <v>0.36923076923076914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46"/>
        <v>0</v>
      </c>
      <c r="AG3169" s="2">
        <v>8.1999999999999993</v>
      </c>
      <c r="AH3169" s="2">
        <v>13</v>
      </c>
      <c r="AJ3169" s="2">
        <f t="shared" si="447"/>
        <v>0</v>
      </c>
      <c r="AK3169" s="2">
        <f t="shared" si="452"/>
        <v>9.5999999999999979</v>
      </c>
      <c r="AL3169" s="5">
        <f t="shared" si="453"/>
        <v>0.36923076923076914</v>
      </c>
    </row>
    <row r="3170" spans="1:38" x14ac:dyDescent="0.2">
      <c r="A3170" s="2">
        <v>2026</v>
      </c>
      <c r="B3170" s="2">
        <v>2</v>
      </c>
      <c r="D3170" s="2" t="s">
        <v>425</v>
      </c>
      <c r="E3170" s="2" t="s">
        <v>98</v>
      </c>
      <c r="F3170" s="2" t="s">
        <v>39</v>
      </c>
      <c r="G3170" s="2">
        <v>510613888</v>
      </c>
      <c r="H3170" s="2" t="s">
        <v>40</v>
      </c>
      <c r="I3170" s="2" t="s">
        <v>426</v>
      </c>
      <c r="J3170" s="2" t="s">
        <v>427</v>
      </c>
      <c r="L3170" s="2" t="s">
        <v>99</v>
      </c>
      <c r="M3170" s="2" t="s">
        <v>80</v>
      </c>
      <c r="P3170" s="2" t="s">
        <v>43</v>
      </c>
      <c r="Q3170" s="2" t="s">
        <v>61</v>
      </c>
      <c r="R3170" s="2" t="s">
        <v>62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46"/>
        <v>0</v>
      </c>
      <c r="AG3170" s="2">
        <v>8.1999999999999993</v>
      </c>
      <c r="AH3170" s="2">
        <v>13</v>
      </c>
      <c r="AJ3170" s="2">
        <f t="shared" si="447"/>
        <v>0</v>
      </c>
      <c r="AK3170" s="2">
        <f t="shared" si="452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2534</v>
      </c>
      <c r="P3171" s="2" t="s">
        <v>43</v>
      </c>
      <c r="Q3171" s="2" t="s">
        <v>61</v>
      </c>
      <c r="R3171" s="2" t="s">
        <v>62</v>
      </c>
      <c r="S3171" s="2">
        <v>200</v>
      </c>
      <c r="T3171" s="2">
        <v>24</v>
      </c>
      <c r="U3171" s="2">
        <v>5.52</v>
      </c>
      <c r="V3171" s="2">
        <v>29.52</v>
      </c>
      <c r="W3171" s="2">
        <f>0.082*S3171</f>
        <v>16.400000000000002</v>
      </c>
      <c r="X3171" s="5">
        <f t="shared" ref="X3171:X3181" si="454">(T3171-W3171)/T3171</f>
        <v>0.3166666666666666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46"/>
        <v>0</v>
      </c>
      <c r="AG3171" s="2">
        <v>8.1999999999999993</v>
      </c>
      <c r="AH3171" s="2">
        <v>13</v>
      </c>
      <c r="AJ3171" s="2">
        <f t="shared" si="447"/>
        <v>0</v>
      </c>
      <c r="AK3171" s="2">
        <f t="shared" si="452"/>
        <v>7.5999999999999979</v>
      </c>
      <c r="AL3171" s="5">
        <f t="shared" ref="AL3171:AL3181" si="455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1021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1554</v>
      </c>
      <c r="J3172" s="2" t="s">
        <v>2525</v>
      </c>
      <c r="L3172" s="2" t="s">
        <v>177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13</v>
      </c>
      <c r="U3172" s="2">
        <v>2.99</v>
      </c>
      <c r="V3172" s="2">
        <v>15.99</v>
      </c>
      <c r="W3172" s="2">
        <f>0.082*S3172</f>
        <v>8.2000000000000011</v>
      </c>
      <c r="X3172" s="5">
        <f t="shared" si="454"/>
        <v>0.36923076923076914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46"/>
        <v>0</v>
      </c>
      <c r="AG3172" s="2">
        <v>8.1999999999999993</v>
      </c>
      <c r="AH3172" s="2">
        <v>13</v>
      </c>
      <c r="AJ3172" s="2">
        <f t="shared" si="447"/>
        <v>0</v>
      </c>
      <c r="AK3172" s="2">
        <f t="shared" si="452"/>
        <v>4.7999999999999989</v>
      </c>
      <c r="AL3172" s="5">
        <f t="shared" si="455"/>
        <v>0.36923076923076914</v>
      </c>
    </row>
    <row r="3173" spans="1:38" x14ac:dyDescent="0.2">
      <c r="A3173" s="2">
        <v>2026</v>
      </c>
      <c r="B3173" s="2">
        <v>2</v>
      </c>
      <c r="D3173" s="2" t="s">
        <v>617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618</v>
      </c>
      <c r="J3173" s="2" t="s">
        <v>619</v>
      </c>
      <c r="L3173" s="2" t="s">
        <v>418</v>
      </c>
      <c r="M3173" s="2" t="s">
        <v>41</v>
      </c>
      <c r="P3173" s="2" t="s">
        <v>43</v>
      </c>
      <c r="Q3173" s="2" t="s">
        <v>61</v>
      </c>
      <c r="R3173" s="2" t="s">
        <v>62</v>
      </c>
      <c r="S3173" s="2">
        <v>100</v>
      </c>
      <c r="T3173" s="2">
        <v>12</v>
      </c>
      <c r="U3173" s="2">
        <v>2.76</v>
      </c>
      <c r="V3173" s="2">
        <v>14.76</v>
      </c>
      <c r="W3173" s="2">
        <f>0.082*S3173</f>
        <v>8.2000000000000011</v>
      </c>
      <c r="X3173" s="5">
        <f t="shared" si="454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46"/>
        <v>0</v>
      </c>
      <c r="AG3173" s="2">
        <v>8.1999999999999993</v>
      </c>
      <c r="AH3173" s="2">
        <v>13</v>
      </c>
      <c r="AJ3173" s="2">
        <f t="shared" si="447"/>
        <v>0</v>
      </c>
      <c r="AK3173" s="2">
        <f t="shared" si="452"/>
        <v>3.7999999999999989</v>
      </c>
      <c r="AL3173" s="5">
        <f t="shared" si="455"/>
        <v>0.3166666666666666</v>
      </c>
    </row>
    <row r="3174" spans="1:38" x14ac:dyDescent="0.2">
      <c r="A3174" s="2">
        <v>2026</v>
      </c>
      <c r="B3174" s="2">
        <v>2</v>
      </c>
      <c r="D3174" s="2" t="s">
        <v>1312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177</v>
      </c>
      <c r="J3174" s="2" t="s">
        <v>1313</v>
      </c>
      <c r="L3174" s="2" t="s">
        <v>177</v>
      </c>
      <c r="M3174" s="2" t="s">
        <v>41</v>
      </c>
      <c r="O3174" s="2" t="s">
        <v>2535</v>
      </c>
      <c r="P3174" s="2" t="s">
        <v>43</v>
      </c>
      <c r="Q3174" s="2" t="s">
        <v>61</v>
      </c>
      <c r="R3174" s="2" t="s">
        <v>62</v>
      </c>
      <c r="S3174" s="2">
        <v>200</v>
      </c>
      <c r="T3174" s="2">
        <v>24</v>
      </c>
      <c r="U3174" s="2">
        <v>5.52</v>
      </c>
      <c r="V3174" s="2">
        <v>29.52</v>
      </c>
      <c r="W3174" s="2">
        <f>0.082*S3174</f>
        <v>16.400000000000002</v>
      </c>
      <c r="X3174" s="5">
        <f t="shared" si="454"/>
        <v>0.3166666666666666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46"/>
        <v>0</v>
      </c>
      <c r="AG3174" s="2">
        <v>8.1999999999999993</v>
      </c>
      <c r="AH3174" s="2">
        <v>13</v>
      </c>
      <c r="AJ3174" s="2">
        <f t="shared" si="447"/>
        <v>0</v>
      </c>
      <c r="AK3174" s="2">
        <f t="shared" si="452"/>
        <v>7.5999999999999979</v>
      </c>
      <c r="AL3174" s="5">
        <f t="shared" si="455"/>
        <v>0.3166666666666666</v>
      </c>
    </row>
    <row r="3175" spans="1:38" x14ac:dyDescent="0.2">
      <c r="A3175" s="2">
        <v>2026</v>
      </c>
      <c r="B3175" s="2">
        <v>2</v>
      </c>
      <c r="D3175" s="2" t="s">
        <v>2534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54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46"/>
        <v>0</v>
      </c>
      <c r="AJ3175" s="2">
        <f t="shared" si="447"/>
        <v>0</v>
      </c>
      <c r="AK3175" s="2">
        <f t="shared" si="452"/>
        <v>4.8600000000000012</v>
      </c>
      <c r="AL3175" s="5">
        <f t="shared" si="455"/>
        <v>0.34714285714285725</v>
      </c>
    </row>
    <row r="3176" spans="1:38" x14ac:dyDescent="0.2">
      <c r="A3176" s="2">
        <v>2026</v>
      </c>
      <c r="B3176" s="2">
        <v>2</v>
      </c>
      <c r="D3176" s="2" t="s">
        <v>1312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177</v>
      </c>
      <c r="J3176" s="2" t="s">
        <v>1313</v>
      </c>
      <c r="L3176" s="2" t="s">
        <v>177</v>
      </c>
      <c r="M3176" s="2" t="s">
        <v>41</v>
      </c>
      <c r="O3176" s="2" t="s">
        <v>2535</v>
      </c>
      <c r="P3176" s="2" t="s">
        <v>43</v>
      </c>
      <c r="Q3176" s="2" t="s">
        <v>254</v>
      </c>
      <c r="R3176" s="2" t="s">
        <v>255</v>
      </c>
      <c r="S3176" s="2">
        <v>100</v>
      </c>
      <c r="T3176" s="2">
        <v>14</v>
      </c>
      <c r="U3176" s="2">
        <v>3.22</v>
      </c>
      <c r="V3176" s="2">
        <v>17.22</v>
      </c>
      <c r="W3176" s="2">
        <f>0.0914*S3176</f>
        <v>9.1399999999999988</v>
      </c>
      <c r="X3176" s="5">
        <f t="shared" si="454"/>
        <v>0.34714285714285725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46"/>
        <v>0</v>
      </c>
      <c r="AJ3176" s="2">
        <f t="shared" si="447"/>
        <v>0</v>
      </c>
      <c r="AK3176" s="2">
        <f t="shared" si="452"/>
        <v>4.8600000000000012</v>
      </c>
      <c r="AL3176" s="5">
        <f t="shared" si="455"/>
        <v>0.34714285714285725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M3177" s="2" t="s">
        <v>41</v>
      </c>
      <c r="P3177" s="2" t="s">
        <v>43</v>
      </c>
      <c r="Q3177" s="2" t="s">
        <v>420</v>
      </c>
      <c r="R3177" s="2" t="s">
        <v>421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454"/>
        <v>0.47838888888888892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46"/>
        <v>0</v>
      </c>
      <c r="AG3177" s="2">
        <v>3.7555999999999998</v>
      </c>
      <c r="AH3177" s="2">
        <v>7.2</v>
      </c>
      <c r="AJ3177" s="2">
        <f t="shared" si="447"/>
        <v>0</v>
      </c>
      <c r="AK3177" s="2">
        <f t="shared" si="452"/>
        <v>13.777600000000001</v>
      </c>
      <c r="AL3177" s="5">
        <f t="shared" si="455"/>
        <v>0.47838888888888892</v>
      </c>
    </row>
    <row r="3178" spans="1:38" x14ac:dyDescent="0.2">
      <c r="A3178" s="2">
        <v>2026</v>
      </c>
      <c r="B3178" s="2">
        <v>2</v>
      </c>
      <c r="D3178" s="2" t="s">
        <v>1021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1554</v>
      </c>
      <c r="J3178" s="2" t="s">
        <v>2525</v>
      </c>
      <c r="L3178" s="2" t="s">
        <v>177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454"/>
        <v>0.5243888888888889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46"/>
        <v>0</v>
      </c>
      <c r="AG3178" s="2">
        <v>0.85609999999999997</v>
      </c>
      <c r="AH3178" s="2">
        <v>1.8</v>
      </c>
      <c r="AJ3178" s="2">
        <f t="shared" si="447"/>
        <v>0</v>
      </c>
      <c r="AK3178" s="2">
        <f t="shared" si="452"/>
        <v>0.94390000000000007</v>
      </c>
      <c r="AL3178" s="5">
        <f t="shared" si="455"/>
        <v>0.5243888888888889</v>
      </c>
    </row>
    <row r="3179" spans="1:38" x14ac:dyDescent="0.2">
      <c r="A3179" s="2">
        <v>2026</v>
      </c>
      <c r="B3179" s="2">
        <v>2</v>
      </c>
      <c r="D3179" s="2" t="s">
        <v>2536</v>
      </c>
      <c r="P3179" s="2" t="s">
        <v>43</v>
      </c>
      <c r="Q3179" s="2" t="s">
        <v>63</v>
      </c>
      <c r="R3179" s="2" t="s">
        <v>64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454"/>
        <v>0.71463333333333334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46"/>
        <v>0</v>
      </c>
      <c r="AG3179" s="2">
        <v>0.85609999999999997</v>
      </c>
      <c r="AH3179" s="2">
        <v>1.8</v>
      </c>
      <c r="AJ3179" s="2">
        <f t="shared" si="447"/>
        <v>0</v>
      </c>
      <c r="AK3179" s="2">
        <f t="shared" si="452"/>
        <v>2.1438999999999999</v>
      </c>
      <c r="AL3179" s="5">
        <f t="shared" si="455"/>
        <v>0.71463333333333334</v>
      </c>
    </row>
    <row r="3180" spans="1:38" x14ac:dyDescent="0.2">
      <c r="A3180" s="2">
        <v>2026</v>
      </c>
      <c r="B3180" s="2">
        <v>2</v>
      </c>
      <c r="D3180" s="2" t="s">
        <v>2537</v>
      </c>
      <c r="M3180" s="2" t="s">
        <v>80</v>
      </c>
      <c r="P3180" s="2" t="s">
        <v>43</v>
      </c>
      <c r="Q3180" s="2" t="s">
        <v>334</v>
      </c>
      <c r="R3180" s="2" t="s">
        <v>335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454"/>
        <v>0.62926666666666664</v>
      </c>
      <c r="Z3180" s="2" t="s">
        <v>3226</v>
      </c>
      <c r="AA3180" s="2" t="s">
        <v>46</v>
      </c>
      <c r="AB3180" s="2" t="s">
        <v>60</v>
      </c>
      <c r="AC3180" s="2" t="s">
        <v>57</v>
      </c>
      <c r="AF3180" s="2">
        <f t="shared" si="446"/>
        <v>0</v>
      </c>
      <c r="AG3180" s="2">
        <v>1.1122000000000001</v>
      </c>
      <c r="AH3180" s="2">
        <v>3</v>
      </c>
      <c r="AJ3180" s="2">
        <f t="shared" si="447"/>
        <v>0</v>
      </c>
      <c r="AK3180" s="2">
        <f t="shared" si="452"/>
        <v>5.6633999999999993</v>
      </c>
      <c r="AL3180" s="5">
        <f t="shared" si="455"/>
        <v>0.62926666666666664</v>
      </c>
    </row>
    <row r="3181" spans="1:38" x14ac:dyDescent="0.2">
      <c r="A3181" s="2">
        <v>2026</v>
      </c>
      <c r="B3181" s="2">
        <v>2</v>
      </c>
      <c r="D3181" s="2" t="s">
        <v>2521</v>
      </c>
      <c r="M3181" s="2" t="s">
        <v>109</v>
      </c>
      <c r="P3181" s="2" t="s">
        <v>43</v>
      </c>
      <c r="Q3181" s="2" t="s">
        <v>2378</v>
      </c>
      <c r="R3181" s="2" t="s">
        <v>2379</v>
      </c>
      <c r="S3181" s="2">
        <v>1</v>
      </c>
      <c r="T3181" s="2">
        <v>60</v>
      </c>
      <c r="U3181" s="2">
        <v>13.8</v>
      </c>
      <c r="V3181" s="2">
        <v>73.8</v>
      </c>
      <c r="W3181" s="2">
        <v>100</v>
      </c>
      <c r="X3181" s="18">
        <f t="shared" si="454"/>
        <v>-0.66666666666666663</v>
      </c>
      <c r="Z3181" s="2" t="s">
        <v>3226</v>
      </c>
      <c r="AA3181" s="2" t="s">
        <v>46</v>
      </c>
      <c r="AB3181" s="2" t="s">
        <v>90</v>
      </c>
      <c r="AC3181" s="2" t="s">
        <v>57</v>
      </c>
      <c r="AF3181" s="2">
        <f t="shared" si="446"/>
        <v>0</v>
      </c>
      <c r="AJ3181" s="2">
        <f t="shared" si="447"/>
        <v>0</v>
      </c>
      <c r="AK3181" s="2">
        <f t="shared" si="452"/>
        <v>-40</v>
      </c>
      <c r="AL3181" s="18">
        <f t="shared" si="455"/>
        <v>-0.66666666666666663</v>
      </c>
    </row>
    <row r="3182" spans="1:38" x14ac:dyDescent="0.2">
      <c r="A3182" s="2">
        <v>2026</v>
      </c>
      <c r="B3182" s="2">
        <v>2</v>
      </c>
      <c r="D3182" s="2" t="s">
        <v>1015</v>
      </c>
      <c r="E3182" s="2" t="s">
        <v>108</v>
      </c>
      <c r="F3182" s="2" t="s">
        <v>477</v>
      </c>
      <c r="G3182" s="2">
        <v>503815284</v>
      </c>
      <c r="H3182" s="2" t="s">
        <v>40</v>
      </c>
      <c r="I3182" s="2" t="s">
        <v>156</v>
      </c>
      <c r="J3182" s="2" t="s">
        <v>2538</v>
      </c>
      <c r="L3182" s="2" t="s">
        <v>99</v>
      </c>
      <c r="M3182" s="2" t="s">
        <v>80</v>
      </c>
      <c r="O3182" s="2" t="s">
        <v>2539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18">
        <f>IF(T3182=0,IF(W3182&gt;0,-100%,0%),(T3182-W3182)/T3182)</f>
        <v>-1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46"/>
        <v>0</v>
      </c>
      <c r="AG3182" s="2">
        <v>7.9611999999999998</v>
      </c>
      <c r="AH3182" s="2">
        <v>14.4</v>
      </c>
      <c r="AJ3182" s="2">
        <f t="shared" si="447"/>
        <v>0</v>
      </c>
      <c r="AK3182" s="2">
        <f t="shared" si="452"/>
        <v>-7.9611999999999998</v>
      </c>
      <c r="AL3182" s="18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574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177</v>
      </c>
      <c r="J3183" s="2" t="s">
        <v>575</v>
      </c>
      <c r="L3183" s="2" t="s">
        <v>177</v>
      </c>
      <c r="M3183" s="2" t="s">
        <v>41</v>
      </c>
      <c r="P3183" s="2" t="s">
        <v>43</v>
      </c>
      <c r="Q3183" s="2" t="s">
        <v>164</v>
      </c>
      <c r="R3183" s="2" t="s">
        <v>165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456">(T3183-W3183)/T3183</f>
        <v>0.66122553191489364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46"/>
        <v>0</v>
      </c>
      <c r="AG3183" s="2">
        <v>7.9611999999999998</v>
      </c>
      <c r="AH3183" s="2">
        <v>14.4</v>
      </c>
      <c r="AJ3183" s="2">
        <f t="shared" si="447"/>
        <v>0</v>
      </c>
      <c r="AK3183" s="2">
        <f t="shared" si="452"/>
        <v>15.5388</v>
      </c>
      <c r="AL3183" s="5">
        <f t="shared" ref="AL3183:AL3214" si="457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456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46"/>
        <v>0</v>
      </c>
      <c r="AG3184" s="2">
        <v>15.020300000000001</v>
      </c>
      <c r="AH3184" s="2">
        <v>27.6</v>
      </c>
      <c r="AJ3184" s="2">
        <f t="shared" si="447"/>
        <v>0</v>
      </c>
      <c r="AK3184" s="2">
        <f t="shared" si="452"/>
        <v>25.439099999999996</v>
      </c>
      <c r="AL3184" s="5">
        <f t="shared" si="457"/>
        <v>0.3608382978723404</v>
      </c>
    </row>
    <row r="3185" spans="1:38" x14ac:dyDescent="0.2">
      <c r="A3185" s="2">
        <v>2026</v>
      </c>
      <c r="B3185" s="2">
        <v>2</v>
      </c>
      <c r="D3185" s="2" t="s">
        <v>332</v>
      </c>
      <c r="E3185" s="2" t="s">
        <v>108</v>
      </c>
      <c r="F3185" s="2" t="s">
        <v>39</v>
      </c>
      <c r="G3185" s="2">
        <v>513493557</v>
      </c>
      <c r="H3185" s="2" t="s">
        <v>41</v>
      </c>
      <c r="I3185" s="2" t="s">
        <v>279</v>
      </c>
      <c r="J3185" s="2" t="s">
        <v>333</v>
      </c>
      <c r="L3185" s="2" t="s">
        <v>177</v>
      </c>
      <c r="M3185" s="2" t="s">
        <v>41</v>
      </c>
      <c r="P3185" s="2" t="s">
        <v>43</v>
      </c>
      <c r="Q3185" s="2" t="s">
        <v>65</v>
      </c>
      <c r="R3185" s="2" t="s">
        <v>66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456"/>
        <v>0.3608382978723404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46"/>
        <v>0</v>
      </c>
      <c r="AG3185" s="2">
        <v>15.020300000000001</v>
      </c>
      <c r="AH3185" s="2">
        <v>27.6</v>
      </c>
      <c r="AJ3185" s="2">
        <f t="shared" si="447"/>
        <v>0</v>
      </c>
      <c r="AK3185" s="2">
        <f t="shared" si="452"/>
        <v>25.439099999999996</v>
      </c>
      <c r="AL3185" s="5">
        <f t="shared" si="457"/>
        <v>0.3608382978723404</v>
      </c>
    </row>
    <row r="3186" spans="1:38" x14ac:dyDescent="0.2">
      <c r="A3186" s="2">
        <v>2026</v>
      </c>
      <c r="B3186" s="2">
        <v>2</v>
      </c>
      <c r="C3186" s="2" t="s">
        <v>3299</v>
      </c>
      <c r="D3186" s="2" t="s">
        <v>1372</v>
      </c>
      <c r="E3186" s="2" t="s">
        <v>38</v>
      </c>
      <c r="F3186" s="2" t="s">
        <v>39</v>
      </c>
      <c r="I3186" s="2" t="s">
        <v>3298</v>
      </c>
      <c r="L3186" s="2" t="s">
        <v>133</v>
      </c>
      <c r="M3186" s="2" t="s">
        <v>2540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456"/>
        <v>0.45578623188405798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46"/>
        <v>0</v>
      </c>
      <c r="AG3186" s="2">
        <v>15.020300000000001</v>
      </c>
      <c r="AH3186" s="2">
        <v>27.6</v>
      </c>
      <c r="AJ3186" s="2">
        <f t="shared" si="447"/>
        <v>0</v>
      </c>
      <c r="AK3186" s="2">
        <f t="shared" si="452"/>
        <v>25.159400000000002</v>
      </c>
      <c r="AL3186" s="5">
        <f t="shared" si="457"/>
        <v>0.45578623188405798</v>
      </c>
    </row>
    <row r="3187" spans="1:38" x14ac:dyDescent="0.2">
      <c r="A3187" s="2">
        <v>2026</v>
      </c>
      <c r="B3187" s="2">
        <v>2</v>
      </c>
      <c r="D3187" s="2" t="s">
        <v>1015</v>
      </c>
      <c r="E3187" s="2" t="s">
        <v>108</v>
      </c>
      <c r="F3187" s="2" t="s">
        <v>477</v>
      </c>
      <c r="G3187" s="2">
        <v>503815284</v>
      </c>
      <c r="H3187" s="2" t="s">
        <v>40</v>
      </c>
      <c r="I3187" s="2" t="s">
        <v>156</v>
      </c>
      <c r="J3187" s="2" t="s">
        <v>2538</v>
      </c>
      <c r="L3187" s="2" t="s">
        <v>99</v>
      </c>
      <c r="M3187" s="2" t="s">
        <v>80</v>
      </c>
      <c r="O3187" s="2" t="s">
        <v>2539</v>
      </c>
      <c r="P3187" s="2" t="s">
        <v>43</v>
      </c>
      <c r="Q3187" s="2" t="s">
        <v>65</v>
      </c>
      <c r="R3187" s="2" t="s">
        <v>66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456"/>
        <v>0.34694347826086952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46"/>
        <v>0</v>
      </c>
      <c r="AG3187" s="2">
        <v>15.020300000000001</v>
      </c>
      <c r="AH3187" s="2">
        <v>27.6</v>
      </c>
      <c r="AJ3187" s="2">
        <f t="shared" si="447"/>
        <v>0</v>
      </c>
      <c r="AK3187" s="2">
        <f t="shared" si="452"/>
        <v>15.959399999999999</v>
      </c>
      <c r="AL3187" s="5">
        <f t="shared" si="457"/>
        <v>0.34694347826086952</v>
      </c>
    </row>
    <row r="3188" spans="1:38" x14ac:dyDescent="0.2">
      <c r="A3188" s="2">
        <v>2026</v>
      </c>
      <c r="B3188" s="2">
        <v>2</v>
      </c>
      <c r="D3188" s="2" t="s">
        <v>617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618</v>
      </c>
      <c r="J3188" s="2" t="s">
        <v>619</v>
      </c>
      <c r="L3188" s="2" t="s">
        <v>418</v>
      </c>
      <c r="M3188" s="2" t="s">
        <v>41</v>
      </c>
      <c r="P3188" s="2" t="s">
        <v>43</v>
      </c>
      <c r="Q3188" s="2" t="s">
        <v>65</v>
      </c>
      <c r="R3188" s="2" t="s">
        <v>66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456"/>
        <v>0.3608382978723404</v>
      </c>
      <c r="Z3188" s="2" t="s">
        <v>3226</v>
      </c>
      <c r="AA3188" s="2" t="s">
        <v>46</v>
      </c>
      <c r="AB3188" s="2" t="s">
        <v>67</v>
      </c>
      <c r="AC3188" s="2" t="s">
        <v>57</v>
      </c>
      <c r="AF3188" s="2">
        <f t="shared" si="446"/>
        <v>0</v>
      </c>
      <c r="AG3188" s="2">
        <v>15.020300000000001</v>
      </c>
      <c r="AH3188" s="2">
        <v>27.6</v>
      </c>
      <c r="AJ3188" s="2">
        <f t="shared" si="447"/>
        <v>0</v>
      </c>
      <c r="AK3188" s="2">
        <f t="shared" si="452"/>
        <v>8.4796999999999993</v>
      </c>
      <c r="AL3188" s="5">
        <f t="shared" si="457"/>
        <v>0.3608382978723404</v>
      </c>
    </row>
    <row r="3189" spans="1:38" x14ac:dyDescent="0.2">
      <c r="A3189" s="2">
        <v>2026</v>
      </c>
      <c r="B3189" s="2">
        <v>2</v>
      </c>
      <c r="D3189" s="2" t="s">
        <v>574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177</v>
      </c>
      <c r="J3189" s="2" t="s">
        <v>575</v>
      </c>
      <c r="L3189" s="2" t="s">
        <v>177</v>
      </c>
      <c r="M3189" s="2" t="s">
        <v>41</v>
      </c>
      <c r="P3189" s="2" t="s">
        <v>101</v>
      </c>
      <c r="Q3189" s="2" t="s">
        <v>1093</v>
      </c>
      <c r="R3189" s="2" t="s">
        <v>1094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456"/>
        <v>0.24785999999999997</v>
      </c>
      <c r="Z3189" s="2" t="s">
        <v>104</v>
      </c>
      <c r="AA3189" s="2" t="s">
        <v>264</v>
      </c>
      <c r="AB3189" s="2" t="s">
        <v>1095</v>
      </c>
      <c r="AC3189" s="2" t="s">
        <v>101</v>
      </c>
      <c r="AF3189" s="2">
        <f t="shared" si="446"/>
        <v>0</v>
      </c>
      <c r="AG3189" s="2">
        <f>2084.42+172</f>
        <v>2256.42</v>
      </c>
      <c r="AJ3189" s="2">
        <f t="shared" si="447"/>
        <v>0</v>
      </c>
      <c r="AK3189" s="2">
        <f t="shared" si="452"/>
        <v>2230.7399999999998</v>
      </c>
      <c r="AL3189" s="5">
        <f t="shared" si="457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2541</v>
      </c>
      <c r="P3190" s="2" t="s">
        <v>43</v>
      </c>
      <c r="Q3190" s="2" t="s">
        <v>2542</v>
      </c>
      <c r="R3190" s="2" t="s">
        <v>2543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456"/>
        <v>0.41111111111111115</v>
      </c>
      <c r="Z3190" s="2" t="s">
        <v>3226</v>
      </c>
      <c r="AA3190" s="2" t="s">
        <v>46</v>
      </c>
      <c r="AB3190" s="2" t="s">
        <v>56</v>
      </c>
      <c r="AC3190" s="2" t="s">
        <v>57</v>
      </c>
      <c r="AF3190" s="2">
        <f t="shared" si="446"/>
        <v>0</v>
      </c>
      <c r="AG3190" s="2">
        <v>10.6</v>
      </c>
      <c r="AH3190" s="2">
        <v>18</v>
      </c>
      <c r="AJ3190" s="2">
        <f t="shared" si="447"/>
        <v>0</v>
      </c>
      <c r="AK3190" s="2">
        <f t="shared" si="452"/>
        <v>14.8</v>
      </c>
      <c r="AL3190" s="5">
        <f t="shared" si="457"/>
        <v>0.41111111111111115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2544</v>
      </c>
      <c r="R3191" s="2" t="s">
        <v>2545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456"/>
        <v>0.39970609845701688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46"/>
        <v>0</v>
      </c>
      <c r="AG3191" s="2">
        <v>8.17</v>
      </c>
      <c r="AJ3191" s="2">
        <f t="shared" si="447"/>
        <v>0</v>
      </c>
      <c r="AK3191" s="2">
        <f t="shared" si="452"/>
        <v>5.4399999999999995</v>
      </c>
      <c r="AL3191" s="5">
        <f t="shared" si="457"/>
        <v>0.39970609845701688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2546</v>
      </c>
      <c r="R3192" s="2" t="s">
        <v>2547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456"/>
        <v>0.39976415094339629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46"/>
        <v>0</v>
      </c>
      <c r="AG3192" s="2">
        <v>10.18</v>
      </c>
      <c r="AJ3192" s="2">
        <f t="shared" si="447"/>
        <v>0</v>
      </c>
      <c r="AK3192" s="2">
        <f t="shared" si="452"/>
        <v>6.7800000000000011</v>
      </c>
      <c r="AL3192" s="5">
        <f t="shared" si="457"/>
        <v>0.39976415094339629</v>
      </c>
    </row>
    <row r="3193" spans="1:38" x14ac:dyDescent="0.2">
      <c r="A3193" s="2">
        <v>2026</v>
      </c>
      <c r="B3193" s="2">
        <v>2</v>
      </c>
      <c r="D3193" s="2" t="s">
        <v>574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177</v>
      </c>
      <c r="J3193" s="2" t="s">
        <v>575</v>
      </c>
      <c r="L3193" s="2" t="s">
        <v>177</v>
      </c>
      <c r="M3193" s="2" t="s">
        <v>41</v>
      </c>
      <c r="P3193" s="2" t="s">
        <v>68</v>
      </c>
      <c r="Q3193" s="2" t="s">
        <v>2548</v>
      </c>
      <c r="R3193" s="2" t="s">
        <v>2549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456"/>
        <v>0.39988151658767762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46"/>
        <v>0</v>
      </c>
      <c r="AG3193" s="2">
        <v>10.130000000000001</v>
      </c>
      <c r="AJ3193" s="2">
        <f t="shared" si="447"/>
        <v>0</v>
      </c>
      <c r="AK3193" s="2">
        <f t="shared" ref="AK3193:AK3214" si="458">T3193-W3193</f>
        <v>6.7499999999999982</v>
      </c>
      <c r="AL3193" s="5">
        <f t="shared" si="457"/>
        <v>0.39988151658767762</v>
      </c>
    </row>
    <row r="3194" spans="1:38" x14ac:dyDescent="0.2">
      <c r="A3194" s="2">
        <v>2026</v>
      </c>
      <c r="B3194" s="2">
        <v>2</v>
      </c>
      <c r="D3194" s="2" t="s">
        <v>1486</v>
      </c>
      <c r="M3194" s="2" t="s">
        <v>41</v>
      </c>
      <c r="P3194" s="2" t="s">
        <v>68</v>
      </c>
      <c r="Q3194" s="2" t="s">
        <v>1160</v>
      </c>
      <c r="R3194" s="2" t="s">
        <v>1161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456"/>
        <v>0.21000000000000002</v>
      </c>
      <c r="Z3194" s="2" t="s">
        <v>3226</v>
      </c>
      <c r="AA3194" s="2" t="s">
        <v>71</v>
      </c>
      <c r="AB3194" s="2" t="s">
        <v>68</v>
      </c>
      <c r="AC3194" s="2" t="s">
        <v>3230</v>
      </c>
      <c r="AF3194" s="2">
        <f t="shared" si="446"/>
        <v>0</v>
      </c>
      <c r="AG3194" s="2">
        <v>47.4</v>
      </c>
      <c r="AJ3194" s="2">
        <f t="shared" si="447"/>
        <v>0</v>
      </c>
      <c r="AK3194" s="2">
        <f t="shared" si="458"/>
        <v>12.600000000000001</v>
      </c>
      <c r="AL3194" s="5">
        <f t="shared" si="457"/>
        <v>0.21000000000000002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P3195" s="2" t="s">
        <v>68</v>
      </c>
      <c r="Q3195" s="2" t="s">
        <v>2550</v>
      </c>
      <c r="R3195" s="2" t="s">
        <v>2551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456"/>
        <v>0.51981632653061227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46"/>
        <v>0</v>
      </c>
      <c r="AG3195" s="2">
        <v>235.29</v>
      </c>
      <c r="AJ3195" s="2">
        <f t="shared" si="447"/>
        <v>0</v>
      </c>
      <c r="AK3195" s="2">
        <f t="shared" si="458"/>
        <v>254.71</v>
      </c>
      <c r="AL3195" s="5">
        <f t="shared" si="457"/>
        <v>0.51981632653061227</v>
      </c>
    </row>
    <row r="3196" spans="1:38" x14ac:dyDescent="0.2">
      <c r="A3196" s="2">
        <v>2026</v>
      </c>
      <c r="B3196" s="2">
        <v>2</v>
      </c>
      <c r="D3196" s="2" t="s">
        <v>2516</v>
      </c>
      <c r="E3196" s="2" t="s">
        <v>752</v>
      </c>
      <c r="F3196" s="2" t="s">
        <v>39</v>
      </c>
      <c r="G3196" s="2">
        <v>515570354</v>
      </c>
      <c r="H3196" s="2" t="s">
        <v>109</v>
      </c>
      <c r="I3196" s="2" t="s">
        <v>2517</v>
      </c>
      <c r="J3196" s="2" t="s">
        <v>2518</v>
      </c>
      <c r="K3196" s="2">
        <v>967032538</v>
      </c>
      <c r="L3196" s="2" t="s">
        <v>398</v>
      </c>
      <c r="M3196" s="2" t="s">
        <v>109</v>
      </c>
      <c r="O3196" s="2" t="s">
        <v>2552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456"/>
        <v>0.46078333333333338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46"/>
        <v>0</v>
      </c>
      <c r="AG3196" s="2">
        <v>647.05999999999995</v>
      </c>
      <c r="AJ3196" s="2">
        <f t="shared" si="447"/>
        <v>0</v>
      </c>
      <c r="AK3196" s="2">
        <f t="shared" si="458"/>
        <v>552.94000000000005</v>
      </c>
      <c r="AL3196" s="5">
        <f t="shared" si="457"/>
        <v>0.46078333333333338</v>
      </c>
    </row>
    <row r="3197" spans="1:38" x14ac:dyDescent="0.2">
      <c r="A3197" s="2">
        <v>2026</v>
      </c>
      <c r="B3197" s="2">
        <v>2</v>
      </c>
      <c r="D3197" s="2" t="s">
        <v>1785</v>
      </c>
      <c r="M3197" s="2" t="s">
        <v>109</v>
      </c>
      <c r="O3197" s="2" t="s">
        <v>2555</v>
      </c>
      <c r="P3197" s="2" t="s">
        <v>68</v>
      </c>
      <c r="Q3197" s="2" t="s">
        <v>2553</v>
      </c>
      <c r="R3197" s="2" t="s">
        <v>2554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456"/>
        <v>0.45234024545069829</v>
      </c>
      <c r="Z3197" s="2" t="s">
        <v>104</v>
      </c>
      <c r="AA3197" s="2" t="s">
        <v>150</v>
      </c>
      <c r="AB3197" s="2" t="s">
        <v>151</v>
      </c>
      <c r="AC3197" s="2" t="s">
        <v>3230</v>
      </c>
      <c r="AF3197" s="2">
        <f t="shared" si="446"/>
        <v>0</v>
      </c>
      <c r="AG3197" s="2">
        <v>647.05999999999995</v>
      </c>
      <c r="AJ3197" s="2">
        <f t="shared" si="447"/>
        <v>0</v>
      </c>
      <c r="AK3197" s="2">
        <f t="shared" si="458"/>
        <v>534.44000000000005</v>
      </c>
      <c r="AL3197" s="5">
        <f t="shared" si="457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80</v>
      </c>
      <c r="O3198" s="2" t="s">
        <v>2556</v>
      </c>
      <c r="P3198" s="2" t="s">
        <v>72</v>
      </c>
      <c r="Q3198" s="2" t="s">
        <v>73</v>
      </c>
      <c r="R3198" s="2" t="s">
        <v>74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456"/>
        <v>0.4823015054650443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46"/>
        <v>0</v>
      </c>
      <c r="AG3198" s="2">
        <v>125.51600000000001</v>
      </c>
      <c r="AH3198" s="2">
        <v>220</v>
      </c>
      <c r="AJ3198" s="2">
        <f t="shared" si="447"/>
        <v>0</v>
      </c>
      <c r="AK3198" s="2">
        <f t="shared" si="458"/>
        <v>116.93399999999998</v>
      </c>
      <c r="AL3198" s="5">
        <f t="shared" si="457"/>
        <v>0.4823015054650443</v>
      </c>
    </row>
    <row r="3199" spans="1:38" x14ac:dyDescent="0.2">
      <c r="A3199" s="2">
        <v>2026</v>
      </c>
      <c r="B3199" s="2">
        <v>2</v>
      </c>
      <c r="D3199" s="2" t="s">
        <v>2537</v>
      </c>
      <c r="M3199" s="2" t="s">
        <v>80</v>
      </c>
      <c r="P3199" s="2" t="s">
        <v>72</v>
      </c>
      <c r="Q3199" s="2" t="s">
        <v>73</v>
      </c>
      <c r="R3199" s="2" t="s">
        <v>74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456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46"/>
        <v>0</v>
      </c>
      <c r="AG3199" s="2">
        <v>125.51600000000001</v>
      </c>
      <c r="AH3199" s="2">
        <v>220</v>
      </c>
      <c r="AJ3199" s="2">
        <f t="shared" si="447"/>
        <v>0</v>
      </c>
      <c r="AK3199" s="2">
        <f t="shared" si="458"/>
        <v>188.96799999999999</v>
      </c>
      <c r="AL3199" s="5">
        <f t="shared" si="457"/>
        <v>0.42947272727272723</v>
      </c>
    </row>
    <row r="3200" spans="1:38" x14ac:dyDescent="0.2">
      <c r="A3200" s="2">
        <v>2026</v>
      </c>
      <c r="B3200" s="2">
        <v>2</v>
      </c>
      <c r="D3200" s="2" t="s">
        <v>2557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456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46"/>
        <v>0</v>
      </c>
      <c r="AG3200" s="2">
        <v>125.51600000000001</v>
      </c>
      <c r="AH3200" s="2">
        <v>220</v>
      </c>
      <c r="AJ3200" s="2">
        <f t="shared" si="447"/>
        <v>0</v>
      </c>
      <c r="AK3200" s="2">
        <f t="shared" si="458"/>
        <v>94.483999999999995</v>
      </c>
      <c r="AL3200" s="5">
        <f t="shared" si="457"/>
        <v>0.42947272727272723</v>
      </c>
    </row>
    <row r="3201" spans="1:38" x14ac:dyDescent="0.2">
      <c r="A3201" s="2">
        <v>2026</v>
      </c>
      <c r="B3201" s="2">
        <v>2</v>
      </c>
      <c r="D3201" s="2" t="s">
        <v>1994</v>
      </c>
      <c r="M3201" s="2" t="s">
        <v>80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456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si="446"/>
        <v>0</v>
      </c>
      <c r="AG3201" s="2">
        <v>125.51600000000001</v>
      </c>
      <c r="AH3201" s="2">
        <v>220</v>
      </c>
      <c r="AJ3201" s="2">
        <f t="shared" si="447"/>
        <v>0</v>
      </c>
      <c r="AK3201" s="2">
        <f t="shared" si="458"/>
        <v>94.483999999999995</v>
      </c>
      <c r="AL3201" s="5">
        <f t="shared" si="457"/>
        <v>0.42947272727272723</v>
      </c>
    </row>
    <row r="3202" spans="1:38" x14ac:dyDescent="0.2">
      <c r="A3202" s="2">
        <v>2026</v>
      </c>
      <c r="B3202" s="2">
        <v>2</v>
      </c>
      <c r="D3202" s="2" t="s">
        <v>1553</v>
      </c>
      <c r="E3202" s="2" t="s">
        <v>108</v>
      </c>
      <c r="F3202" s="2" t="s">
        <v>717</v>
      </c>
      <c r="G3202" s="2">
        <v>500975914</v>
      </c>
      <c r="H3202" s="2" t="s">
        <v>41</v>
      </c>
      <c r="I3202" s="2" t="s">
        <v>1554</v>
      </c>
      <c r="J3202" s="2" t="s">
        <v>1555</v>
      </c>
      <c r="L3202" s="2" t="s">
        <v>177</v>
      </c>
      <c r="M3202" s="2" t="s">
        <v>41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456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ref="AF3202:AF3265" si="459">AJ3202</f>
        <v>0</v>
      </c>
      <c r="AG3202" s="2">
        <v>125.51600000000001</v>
      </c>
      <c r="AH3202" s="2">
        <v>220</v>
      </c>
      <c r="AJ3202" s="2">
        <f t="shared" ref="AJ3202:AJ3265" si="460">AI3202*T3202</f>
        <v>0</v>
      </c>
      <c r="AK3202" s="2">
        <f t="shared" si="458"/>
        <v>94.483999999999995</v>
      </c>
      <c r="AL3202" s="5">
        <f t="shared" si="457"/>
        <v>0.42947272727272723</v>
      </c>
    </row>
    <row r="3203" spans="1:38" x14ac:dyDescent="0.2">
      <c r="A3203" s="2">
        <v>2026</v>
      </c>
      <c r="B3203" s="2">
        <v>2</v>
      </c>
      <c r="D3203" s="2" t="s">
        <v>1376</v>
      </c>
      <c r="E3203" s="2" t="s">
        <v>183</v>
      </c>
      <c r="F3203" s="2" t="s">
        <v>366</v>
      </c>
      <c r="L3203" s="2" t="s">
        <v>571</v>
      </c>
      <c r="M3203" s="2" t="s">
        <v>80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456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459"/>
        <v>0</v>
      </c>
      <c r="AG3203" s="2">
        <v>125.51600000000001</v>
      </c>
      <c r="AH3203" s="2">
        <v>220</v>
      </c>
      <c r="AJ3203" s="2">
        <f t="shared" si="460"/>
        <v>0</v>
      </c>
      <c r="AK3203" s="2">
        <f t="shared" si="458"/>
        <v>94.483999999999995</v>
      </c>
      <c r="AL3203" s="5">
        <f t="shared" si="457"/>
        <v>0.42947272727272723</v>
      </c>
    </row>
    <row r="3204" spans="1:38" x14ac:dyDescent="0.2">
      <c r="A3204" s="2">
        <v>2026</v>
      </c>
      <c r="B3204" s="2">
        <v>2</v>
      </c>
      <c r="D3204" s="2" t="s">
        <v>549</v>
      </c>
      <c r="E3204" s="2" t="s">
        <v>108</v>
      </c>
      <c r="F3204" s="2" t="s">
        <v>395</v>
      </c>
      <c r="G3204" s="2">
        <v>503641790</v>
      </c>
      <c r="H3204" s="2" t="s">
        <v>40</v>
      </c>
      <c r="I3204" s="2" t="s">
        <v>550</v>
      </c>
      <c r="J3204" s="2" t="s">
        <v>551</v>
      </c>
      <c r="K3204" s="2">
        <v>917753665</v>
      </c>
      <c r="L3204" s="2" t="s">
        <v>99</v>
      </c>
      <c r="M3204" s="2" t="s">
        <v>80</v>
      </c>
      <c r="O3204" s="2" t="s">
        <v>2558</v>
      </c>
      <c r="P3204" s="2" t="s">
        <v>72</v>
      </c>
      <c r="Q3204" s="2" t="s">
        <v>73</v>
      </c>
      <c r="R3204" s="2" t="s">
        <v>74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456"/>
        <v>0.42947272727272723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459"/>
        <v>0</v>
      </c>
      <c r="AG3204" s="2">
        <v>125.51600000000001</v>
      </c>
      <c r="AH3204" s="2">
        <v>220</v>
      </c>
      <c r="AJ3204" s="2">
        <f t="shared" si="460"/>
        <v>0</v>
      </c>
      <c r="AK3204" s="2">
        <f t="shared" si="458"/>
        <v>94.483999999999995</v>
      </c>
      <c r="AL3204" s="5">
        <f t="shared" si="457"/>
        <v>0.42947272727272723</v>
      </c>
    </row>
    <row r="3205" spans="1:38" x14ac:dyDescent="0.2">
      <c r="A3205" s="2">
        <v>2026</v>
      </c>
      <c r="B3205" s="2">
        <v>2</v>
      </c>
      <c r="D3205" s="2" t="s">
        <v>2559</v>
      </c>
      <c r="M3205" s="2" t="s">
        <v>80</v>
      </c>
      <c r="P3205" s="2" t="s">
        <v>72</v>
      </c>
      <c r="Q3205" s="2" t="s">
        <v>73</v>
      </c>
      <c r="R3205" s="2" t="s">
        <v>74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456"/>
        <v>0.42947272727272728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459"/>
        <v>0</v>
      </c>
      <c r="AG3205" s="2">
        <v>125.51600000000001</v>
      </c>
      <c r="AH3205" s="2">
        <v>220</v>
      </c>
      <c r="AJ3205" s="2">
        <f t="shared" si="460"/>
        <v>0</v>
      </c>
      <c r="AK3205" s="2">
        <f t="shared" si="458"/>
        <v>283.452</v>
      </c>
      <c r="AL3205" s="5">
        <f t="shared" si="457"/>
        <v>0.42947272727272728</v>
      </c>
    </row>
    <row r="3206" spans="1:38" x14ac:dyDescent="0.2">
      <c r="A3206" s="2">
        <v>2026</v>
      </c>
      <c r="B3206" s="2">
        <v>2</v>
      </c>
      <c r="D3206" s="2" t="s">
        <v>1593</v>
      </c>
      <c r="E3206" s="2" t="s">
        <v>108</v>
      </c>
      <c r="F3206" s="2" t="s">
        <v>395</v>
      </c>
      <c r="G3206" s="2">
        <v>500314594</v>
      </c>
      <c r="H3206" s="2" t="s">
        <v>40</v>
      </c>
      <c r="I3206" s="2" t="s">
        <v>1594</v>
      </c>
      <c r="J3206" s="2" t="s">
        <v>1595</v>
      </c>
      <c r="L3206" s="2" t="s">
        <v>201</v>
      </c>
      <c r="M3206" s="2" t="s">
        <v>80</v>
      </c>
      <c r="O3206" s="2" t="s">
        <v>2560</v>
      </c>
      <c r="P3206" s="2" t="s">
        <v>72</v>
      </c>
      <c r="Q3206" s="2" t="s">
        <v>681</v>
      </c>
      <c r="R3206" s="2" t="s">
        <v>74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456"/>
        <v>0.52504545454545459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459"/>
        <v>0</v>
      </c>
      <c r="AG3206" s="2">
        <v>104.49</v>
      </c>
      <c r="AH3206" s="2">
        <v>220</v>
      </c>
      <c r="AJ3206" s="2">
        <f t="shared" si="460"/>
        <v>0</v>
      </c>
      <c r="AK3206" s="2">
        <f t="shared" si="458"/>
        <v>115.51</v>
      </c>
      <c r="AL3206" s="5">
        <f t="shared" si="457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80</v>
      </c>
      <c r="O3207" s="2" t="s">
        <v>2561</v>
      </c>
      <c r="P3207" s="2" t="s">
        <v>72</v>
      </c>
      <c r="Q3207" s="2" t="s">
        <v>432</v>
      </c>
      <c r="R3207" s="2" t="s">
        <v>331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456"/>
        <v>0.5822058141332922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459"/>
        <v>0</v>
      </c>
      <c r="AG3207" s="2">
        <f>101.305+6.77</f>
        <v>108.075</v>
      </c>
      <c r="AH3207" s="2">
        <v>210</v>
      </c>
      <c r="AJ3207" s="2">
        <f t="shared" si="460"/>
        <v>0</v>
      </c>
      <c r="AK3207" s="2">
        <f t="shared" si="458"/>
        <v>150.60500000000002</v>
      </c>
      <c r="AL3207" s="5">
        <f t="shared" si="457"/>
        <v>0.5822058141332922</v>
      </c>
    </row>
    <row r="3208" spans="1:38" x14ac:dyDescent="0.2">
      <c r="A3208" s="2">
        <v>2026</v>
      </c>
      <c r="B3208" s="2">
        <v>2</v>
      </c>
      <c r="D3208" s="2" t="s">
        <v>846</v>
      </c>
      <c r="E3208" s="2" t="s">
        <v>98</v>
      </c>
      <c r="F3208" s="2" t="s">
        <v>39</v>
      </c>
      <c r="G3208" s="2">
        <v>507148886</v>
      </c>
      <c r="H3208" s="2" t="s">
        <v>290</v>
      </c>
      <c r="I3208" s="2" t="s">
        <v>2562</v>
      </c>
      <c r="J3208" s="2" t="s">
        <v>2563</v>
      </c>
      <c r="K3208" s="2">
        <v>912897776</v>
      </c>
      <c r="L3208" s="2" t="s">
        <v>339</v>
      </c>
      <c r="M3208" s="2" t="s">
        <v>80</v>
      </c>
      <c r="O3208" s="2" t="s">
        <v>2564</v>
      </c>
      <c r="P3208" s="2" t="s">
        <v>72</v>
      </c>
      <c r="Q3208" s="2" t="s">
        <v>895</v>
      </c>
      <c r="R3208" s="2" t="s">
        <v>381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456"/>
        <v>0.50795652173913042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459"/>
        <v>0</v>
      </c>
      <c r="AG3208" s="2">
        <v>113.17</v>
      </c>
      <c r="AJ3208" s="2">
        <f t="shared" si="460"/>
        <v>0</v>
      </c>
      <c r="AK3208" s="2">
        <f t="shared" si="458"/>
        <v>116.83</v>
      </c>
      <c r="AL3208" s="5">
        <f t="shared" si="457"/>
        <v>0.50795652173913042</v>
      </c>
    </row>
    <row r="3209" spans="1:38" x14ac:dyDescent="0.2">
      <c r="A3209" s="2">
        <v>2026</v>
      </c>
      <c r="B3209" s="2">
        <v>2</v>
      </c>
      <c r="D3209" s="2" t="s">
        <v>1256</v>
      </c>
      <c r="E3209" s="2" t="s">
        <v>108</v>
      </c>
      <c r="F3209" s="2" t="s">
        <v>39</v>
      </c>
      <c r="G3209" s="2">
        <v>502217650</v>
      </c>
      <c r="H3209" s="2" t="s">
        <v>40</v>
      </c>
      <c r="I3209" s="2" t="s">
        <v>201</v>
      </c>
      <c r="J3209" s="2" t="s">
        <v>2565</v>
      </c>
      <c r="L3209" s="2" t="s">
        <v>201</v>
      </c>
      <c r="M3209" s="2" t="s">
        <v>80</v>
      </c>
      <c r="O3209" s="2" t="s">
        <v>2566</v>
      </c>
      <c r="P3209" s="2" t="s">
        <v>72</v>
      </c>
      <c r="Q3209" s="2" t="s">
        <v>301</v>
      </c>
      <c r="R3209" s="2" t="s">
        <v>74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456"/>
        <v>0.44790909090909092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459"/>
        <v>0</v>
      </c>
      <c r="AG3209" s="2">
        <v>121.46</v>
      </c>
      <c r="AH3209" s="2">
        <v>210</v>
      </c>
      <c r="AJ3209" s="2">
        <f t="shared" si="460"/>
        <v>0</v>
      </c>
      <c r="AK3209" s="2">
        <f t="shared" si="458"/>
        <v>197.08</v>
      </c>
      <c r="AL3209" s="5">
        <f t="shared" si="457"/>
        <v>0.44790909090909092</v>
      </c>
    </row>
    <row r="3210" spans="1:38" x14ac:dyDescent="0.2">
      <c r="A3210" s="2">
        <v>2026</v>
      </c>
      <c r="B3210" s="2">
        <v>2</v>
      </c>
      <c r="D3210" s="2" t="s">
        <v>749</v>
      </c>
      <c r="E3210" s="2" t="s">
        <v>108</v>
      </c>
      <c r="F3210" s="2" t="s">
        <v>39</v>
      </c>
      <c r="G3210" s="2">
        <v>510039537</v>
      </c>
      <c r="H3210" s="2" t="s">
        <v>40</v>
      </c>
      <c r="I3210" s="2" t="s">
        <v>571</v>
      </c>
      <c r="J3210" s="2" t="s">
        <v>750</v>
      </c>
      <c r="K3210" s="2">
        <v>969042927</v>
      </c>
      <c r="L3210" s="2" t="s">
        <v>571</v>
      </c>
      <c r="M3210" s="2" t="s">
        <v>80</v>
      </c>
      <c r="P3210" s="2" t="s">
        <v>72</v>
      </c>
      <c r="Q3210" s="2" t="s">
        <v>1448</v>
      </c>
      <c r="R3210" s="2" t="s">
        <v>381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456"/>
        <v>0.41775652173913047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459"/>
        <v>0</v>
      </c>
      <c r="AJ3210" s="2">
        <f t="shared" si="460"/>
        <v>0</v>
      </c>
      <c r="AK3210" s="2">
        <f t="shared" si="458"/>
        <v>96.084000000000003</v>
      </c>
      <c r="AL3210" s="5">
        <f t="shared" si="457"/>
        <v>0.41775652173913047</v>
      </c>
    </row>
    <row r="3211" spans="1:38" x14ac:dyDescent="0.2">
      <c r="A3211" s="2">
        <v>2026</v>
      </c>
      <c r="B3211" s="2">
        <v>2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O3211" s="2" t="s">
        <v>2570</v>
      </c>
      <c r="P3211" s="2" t="s">
        <v>72</v>
      </c>
      <c r="Q3211" s="2" t="s">
        <v>484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456"/>
        <v>0.42639130434782607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459"/>
        <v>0</v>
      </c>
      <c r="AG3211" s="2">
        <v>131.93</v>
      </c>
      <c r="AH3211" s="2">
        <v>220</v>
      </c>
      <c r="AJ3211" s="2">
        <f t="shared" si="460"/>
        <v>0</v>
      </c>
      <c r="AK3211" s="2">
        <f t="shared" si="458"/>
        <v>98.07</v>
      </c>
      <c r="AL3211" s="5">
        <f t="shared" si="457"/>
        <v>0.42639130434782607</v>
      </c>
    </row>
    <row r="3212" spans="1:38" x14ac:dyDescent="0.2">
      <c r="A3212" s="2">
        <v>2026</v>
      </c>
      <c r="B3212" s="2">
        <v>2</v>
      </c>
      <c r="D3212" s="2" t="s">
        <v>2567</v>
      </c>
      <c r="P3212" s="2" t="s">
        <v>72</v>
      </c>
      <c r="Q3212" s="2" t="s">
        <v>912</v>
      </c>
      <c r="R3212" s="2" t="s">
        <v>74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456"/>
        <v>0.46965217391304348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459"/>
        <v>0</v>
      </c>
      <c r="AJ3212" s="2">
        <f t="shared" si="460"/>
        <v>0</v>
      </c>
      <c r="AK3212" s="2">
        <f t="shared" si="458"/>
        <v>108.02</v>
      </c>
      <c r="AL3212" s="5">
        <f t="shared" si="457"/>
        <v>0.46965217391304348</v>
      </c>
    </row>
    <row r="3213" spans="1:38" x14ac:dyDescent="0.2">
      <c r="A3213" s="2">
        <v>2026</v>
      </c>
      <c r="B3213" s="2">
        <v>2</v>
      </c>
      <c r="D3213" s="2" t="s">
        <v>981</v>
      </c>
      <c r="E3213" s="2" t="s">
        <v>108</v>
      </c>
      <c r="F3213" s="2" t="s">
        <v>717</v>
      </c>
      <c r="G3213" s="2">
        <v>500594309</v>
      </c>
      <c r="H3213" s="2" t="s">
        <v>290</v>
      </c>
      <c r="I3213" s="2" t="s">
        <v>982</v>
      </c>
      <c r="J3213" s="2" t="s">
        <v>983</v>
      </c>
      <c r="L3213" s="2" t="s">
        <v>293</v>
      </c>
      <c r="M3213" s="2" t="s">
        <v>80</v>
      </c>
      <c r="O3213" s="2" t="s">
        <v>2571</v>
      </c>
      <c r="P3213" s="2" t="s">
        <v>72</v>
      </c>
      <c r="Q3213" s="2" t="s">
        <v>1035</v>
      </c>
      <c r="R3213" s="2" t="s">
        <v>79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456"/>
        <v>0.48486363636363639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459"/>
        <v>0</v>
      </c>
      <c r="AG3213" s="2">
        <v>113.33</v>
      </c>
      <c r="AH3213" s="2">
        <v>220</v>
      </c>
      <c r="AJ3213" s="2">
        <f t="shared" si="460"/>
        <v>0</v>
      </c>
      <c r="AK3213" s="2">
        <f t="shared" si="458"/>
        <v>106.67</v>
      </c>
      <c r="AL3213" s="5">
        <f t="shared" si="457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80</v>
      </c>
      <c r="O3214" s="2" t="s">
        <v>2572</v>
      </c>
      <c r="P3214" s="2" t="s">
        <v>72</v>
      </c>
      <c r="Q3214" s="2" t="s">
        <v>557</v>
      </c>
      <c r="R3214" s="2" t="s">
        <v>307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456"/>
        <v>0.11271014492753624</v>
      </c>
      <c r="Z3214" s="2" t="s">
        <v>3226</v>
      </c>
      <c r="AA3214" s="2" t="s">
        <v>75</v>
      </c>
      <c r="AB3214" s="2" t="s">
        <v>76</v>
      </c>
      <c r="AC3214" s="2" t="s">
        <v>77</v>
      </c>
      <c r="AF3214" s="2">
        <f t="shared" si="459"/>
        <v>0</v>
      </c>
      <c r="AG3214" s="2">
        <v>122.446</v>
      </c>
      <c r="AH3214" s="2">
        <v>230</v>
      </c>
      <c r="AJ3214" s="2">
        <f t="shared" si="460"/>
        <v>0</v>
      </c>
      <c r="AK3214" s="2">
        <f t="shared" si="458"/>
        <v>15.554000000000002</v>
      </c>
      <c r="AL3214" s="5">
        <f t="shared" si="457"/>
        <v>0.11271014492753624</v>
      </c>
    </row>
    <row r="3215" spans="1:38" x14ac:dyDescent="0.2">
      <c r="A3215" s="2">
        <v>2026</v>
      </c>
      <c r="B3215" s="2">
        <v>4</v>
      </c>
      <c r="D3215" s="2" t="s">
        <v>689</v>
      </c>
      <c r="E3215" s="2" t="s">
        <v>108</v>
      </c>
      <c r="F3215" s="2" t="s">
        <v>39</v>
      </c>
      <c r="G3215" s="2">
        <v>503589950</v>
      </c>
      <c r="H3215" s="2" t="s">
        <v>41</v>
      </c>
      <c r="I3215" s="2" t="s">
        <v>610</v>
      </c>
      <c r="J3215" s="2" t="s">
        <v>690</v>
      </c>
      <c r="K3215" s="2">
        <v>913036545</v>
      </c>
      <c r="L3215" s="2" t="s">
        <v>177</v>
      </c>
      <c r="M3215" s="2" t="s">
        <v>40</v>
      </c>
      <c r="O3215" s="2" t="s">
        <v>2441</v>
      </c>
      <c r="P3215" s="2" t="s">
        <v>114</v>
      </c>
      <c r="Q3215" s="2" t="s">
        <v>1424</v>
      </c>
      <c r="R3215" s="2" t="s">
        <v>1425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117</v>
      </c>
      <c r="AA3215" s="2" t="s">
        <v>616</v>
      </c>
      <c r="AB3215" s="2" t="s">
        <v>957</v>
      </c>
      <c r="AC3215" s="2" t="s">
        <v>114</v>
      </c>
      <c r="AF3215" s="2">
        <f t="shared" si="459"/>
        <v>0</v>
      </c>
      <c r="AG3215" s="2">
        <f>868.26+3.61</f>
        <v>871.87</v>
      </c>
      <c r="AJ3215" s="2">
        <f t="shared" si="460"/>
        <v>0</v>
      </c>
    </row>
    <row r="3216" spans="1:38" x14ac:dyDescent="0.2">
      <c r="A3216" s="2">
        <v>2026</v>
      </c>
      <c r="B3216" s="2">
        <v>2</v>
      </c>
      <c r="D3216" s="2" t="s">
        <v>1256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461">(T3216-W3216)/T3216</f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459"/>
        <v>0</v>
      </c>
      <c r="AG3216" s="2">
        <v>110.68</v>
      </c>
      <c r="AH3216" s="2">
        <v>210</v>
      </c>
      <c r="AJ3216" s="2">
        <f t="shared" si="460"/>
        <v>0</v>
      </c>
      <c r="AK3216" s="2">
        <f t="shared" ref="AK3216:AK3261" si="462">T3216-W3216</f>
        <v>99.32</v>
      </c>
      <c r="AL3216" s="5">
        <f t="shared" ref="AL3216:AL3261" si="463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1053</v>
      </c>
      <c r="E3217" s="2" t="s">
        <v>183</v>
      </c>
      <c r="F3217" s="2" t="s">
        <v>1054</v>
      </c>
      <c r="G3217" s="2">
        <v>500199523</v>
      </c>
      <c r="H3217" s="2" t="s">
        <v>290</v>
      </c>
      <c r="I3217" s="2" t="s">
        <v>293</v>
      </c>
      <c r="J3217" s="2" t="s">
        <v>1055</v>
      </c>
      <c r="L3217" s="2" t="s">
        <v>293</v>
      </c>
      <c r="M3217" s="2" t="s">
        <v>80</v>
      </c>
      <c r="O3217" s="2" t="s">
        <v>2573</v>
      </c>
      <c r="P3217" s="2" t="s">
        <v>72</v>
      </c>
      <c r="Q3217" s="2" t="s">
        <v>325</v>
      </c>
      <c r="R3217" s="2" t="s">
        <v>79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461"/>
        <v>0.4729523809523809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459"/>
        <v>0</v>
      </c>
      <c r="AG3217" s="2">
        <v>110.68</v>
      </c>
      <c r="AH3217" s="2">
        <v>210</v>
      </c>
      <c r="AJ3217" s="2">
        <f t="shared" si="460"/>
        <v>0</v>
      </c>
      <c r="AK3217" s="2">
        <f t="shared" si="462"/>
        <v>99.32</v>
      </c>
      <c r="AL3217" s="5">
        <f t="shared" si="463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80</v>
      </c>
      <c r="O3218" s="2" t="s">
        <v>2574</v>
      </c>
      <c r="P3218" s="2" t="s">
        <v>72</v>
      </c>
      <c r="Q3218" s="2" t="s">
        <v>533</v>
      </c>
      <c r="R3218" s="2" t="s">
        <v>534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461"/>
        <v>0.37409499358151477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459"/>
        <v>0</v>
      </c>
      <c r="AG3218" s="2">
        <f>110.125+11.77</f>
        <v>121.895</v>
      </c>
      <c r="AJ3218" s="2">
        <f t="shared" si="460"/>
        <v>0</v>
      </c>
      <c r="AK3218" s="2">
        <f t="shared" si="462"/>
        <v>72.855000000000004</v>
      </c>
      <c r="AL3218" s="5">
        <f t="shared" si="463"/>
        <v>0.37409499358151477</v>
      </c>
    </row>
    <row r="3219" spans="1:38" x14ac:dyDescent="0.2">
      <c r="A3219" s="2">
        <v>2026</v>
      </c>
      <c r="B3219" s="2">
        <v>2</v>
      </c>
      <c r="D3219" s="2" t="s">
        <v>1994</v>
      </c>
      <c r="M3219" s="2" t="s">
        <v>80</v>
      </c>
      <c r="P3219" s="2" t="s">
        <v>72</v>
      </c>
      <c r="Q3219" s="2" t="s">
        <v>1134</v>
      </c>
      <c r="R3219" s="2" t="s">
        <v>534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461"/>
        <v>0.44431818181818183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459"/>
        <v>0</v>
      </c>
      <c r="AJ3219" s="2">
        <f t="shared" si="460"/>
        <v>0</v>
      </c>
      <c r="AK3219" s="2">
        <f t="shared" si="462"/>
        <v>97.75</v>
      </c>
      <c r="AL3219" s="5">
        <f t="shared" si="463"/>
        <v>0.44431818181818183</v>
      </c>
    </row>
    <row r="3220" spans="1:38" x14ac:dyDescent="0.2">
      <c r="A3220" s="2">
        <v>2026</v>
      </c>
      <c r="B3220" s="2">
        <v>2</v>
      </c>
      <c r="D3220" s="2" t="s">
        <v>530</v>
      </c>
      <c r="E3220" s="2" t="s">
        <v>108</v>
      </c>
      <c r="F3220" s="2" t="s">
        <v>531</v>
      </c>
      <c r="G3220" s="2">
        <v>502139552</v>
      </c>
      <c r="H3220" s="2" t="s">
        <v>40</v>
      </c>
      <c r="I3220" s="2" t="s">
        <v>339</v>
      </c>
      <c r="J3220" s="2" t="s">
        <v>532</v>
      </c>
      <c r="L3220" s="2" t="s">
        <v>339</v>
      </c>
      <c r="M3220" s="2" t="s">
        <v>80</v>
      </c>
      <c r="P3220" s="2" t="s">
        <v>72</v>
      </c>
      <c r="Q3220" s="2" t="s">
        <v>1025</v>
      </c>
      <c r="R3220" s="2" t="s">
        <v>197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461"/>
        <v>0.40663819875776402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459"/>
        <v>0</v>
      </c>
      <c r="AJ3220" s="2">
        <f t="shared" si="460"/>
        <v>0</v>
      </c>
      <c r="AK3220" s="2">
        <f t="shared" si="462"/>
        <v>104.75000000000003</v>
      </c>
      <c r="AL3220" s="5">
        <f t="shared" si="463"/>
        <v>0.40663819875776402</v>
      </c>
    </row>
    <row r="3221" spans="1:38" x14ac:dyDescent="0.2">
      <c r="A3221" s="2">
        <v>2026</v>
      </c>
      <c r="B3221" s="2">
        <v>2</v>
      </c>
      <c r="C3221" s="2" t="s">
        <v>3299</v>
      </c>
      <c r="D3221" s="2" t="s">
        <v>2575</v>
      </c>
      <c r="E3221" s="2" t="s">
        <v>108</v>
      </c>
      <c r="F3221" s="2" t="s">
        <v>477</v>
      </c>
      <c r="L3221" s="2" t="s">
        <v>461</v>
      </c>
      <c r="M3221" s="2" t="s">
        <v>109</v>
      </c>
      <c r="P3221" s="2" t="s">
        <v>72</v>
      </c>
      <c r="Q3221" s="2" t="s">
        <v>2576</v>
      </c>
      <c r="R3221" s="2" t="s">
        <v>2577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461"/>
        <v>0.46964</v>
      </c>
      <c r="Z3221" s="2" t="s">
        <v>3226</v>
      </c>
      <c r="AA3221" s="2" t="s">
        <v>75</v>
      </c>
      <c r="AB3221" s="2" t="s">
        <v>76</v>
      </c>
      <c r="AC3221" s="2" t="s">
        <v>77</v>
      </c>
      <c r="AF3221" s="2">
        <f t="shared" si="459"/>
        <v>0</v>
      </c>
      <c r="AJ3221" s="2">
        <f t="shared" si="460"/>
        <v>0</v>
      </c>
      <c r="AK3221" s="2">
        <f t="shared" si="462"/>
        <v>117.41</v>
      </c>
      <c r="AL3221" s="5">
        <f t="shared" si="463"/>
        <v>0.46964</v>
      </c>
    </row>
    <row r="3222" spans="1:38" x14ac:dyDescent="0.2">
      <c r="A3222" s="2">
        <v>2026</v>
      </c>
      <c r="B3222" s="2">
        <v>2</v>
      </c>
      <c r="D3222" s="2" t="s">
        <v>2578</v>
      </c>
      <c r="E3222" s="2" t="s">
        <v>183</v>
      </c>
      <c r="F3222" s="2" t="s">
        <v>2579</v>
      </c>
      <c r="G3222" s="2">
        <v>515259144</v>
      </c>
      <c r="H3222" s="2" t="s">
        <v>80</v>
      </c>
      <c r="I3222" s="2" t="s">
        <v>156</v>
      </c>
      <c r="J3222" s="2" t="s">
        <v>2580</v>
      </c>
      <c r="K3222" s="2">
        <v>968626165</v>
      </c>
      <c r="L3222" s="2" t="s">
        <v>99</v>
      </c>
      <c r="M3222" s="2" t="s">
        <v>80</v>
      </c>
      <c r="O3222" s="2" t="s">
        <v>2581</v>
      </c>
      <c r="P3222" s="2" t="s">
        <v>1038</v>
      </c>
      <c r="Q3222" s="2" t="s">
        <v>1953</v>
      </c>
      <c r="R3222" s="2" t="s">
        <v>1954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461"/>
        <v>0.45475543478260871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459"/>
        <v>0</v>
      </c>
      <c r="AJ3222" s="2">
        <f t="shared" si="460"/>
        <v>0</v>
      </c>
      <c r="AK3222" s="2">
        <f t="shared" si="462"/>
        <v>803.28000000000009</v>
      </c>
      <c r="AL3222" s="5">
        <f t="shared" si="463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80</v>
      </c>
      <c r="P3223" s="2" t="s">
        <v>1038</v>
      </c>
      <c r="Q3223" s="2" t="s">
        <v>2582</v>
      </c>
      <c r="R3223" s="2" t="s">
        <v>2583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461"/>
        <v>0.48408421052631578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459"/>
        <v>0</v>
      </c>
      <c r="AJ3223" s="2">
        <f t="shared" si="460"/>
        <v>0</v>
      </c>
      <c r="AK3223" s="2">
        <f t="shared" si="462"/>
        <v>229.94</v>
      </c>
      <c r="AL3223" s="5">
        <f t="shared" si="463"/>
        <v>0.48408421052631578</v>
      </c>
    </row>
    <row r="3224" spans="1:38" x14ac:dyDescent="0.2">
      <c r="A3224" s="2">
        <v>2026</v>
      </c>
      <c r="B3224" s="2">
        <v>2</v>
      </c>
      <c r="C3224" s="2" t="s">
        <v>3320</v>
      </c>
      <c r="D3224" s="2" t="s">
        <v>1162</v>
      </c>
      <c r="E3224" s="2" t="s">
        <v>752</v>
      </c>
      <c r="F3224" s="2" t="s">
        <v>1217</v>
      </c>
      <c r="G3224" s="2">
        <v>508199280</v>
      </c>
      <c r="H3224" s="2" t="s">
        <v>40</v>
      </c>
      <c r="I3224" s="2" t="s">
        <v>1163</v>
      </c>
      <c r="L3224" s="2" t="s">
        <v>293</v>
      </c>
      <c r="M3224" s="2" t="s">
        <v>80</v>
      </c>
      <c r="P3224" s="2" t="s">
        <v>1038</v>
      </c>
      <c r="Q3224" s="2" t="s">
        <v>2584</v>
      </c>
      <c r="R3224" s="2" t="s">
        <v>2585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461"/>
        <v>0.57005263157894737</v>
      </c>
      <c r="Z3224" s="2" t="s">
        <v>3226</v>
      </c>
      <c r="AA3224" s="2" t="s">
        <v>75</v>
      </c>
      <c r="AB3224" s="2" t="s">
        <v>76</v>
      </c>
      <c r="AC3224" s="2" t="s">
        <v>1038</v>
      </c>
      <c r="AF3224" s="2">
        <f t="shared" si="459"/>
        <v>0</v>
      </c>
      <c r="AJ3224" s="2">
        <f t="shared" si="460"/>
        <v>0</v>
      </c>
      <c r="AK3224" s="2">
        <f t="shared" si="462"/>
        <v>162.465</v>
      </c>
      <c r="AL3224" s="5">
        <f t="shared" si="463"/>
        <v>0.57005263157894737</v>
      </c>
    </row>
    <row r="3225" spans="1:38" x14ac:dyDescent="0.2">
      <c r="A3225" s="2">
        <v>2026</v>
      </c>
      <c r="B3225" s="2">
        <v>2</v>
      </c>
      <c r="D3225" s="2" t="s">
        <v>422</v>
      </c>
      <c r="E3225" s="2" t="s">
        <v>98</v>
      </c>
      <c r="F3225" s="2" t="s">
        <v>39</v>
      </c>
      <c r="G3225" s="2">
        <v>503523470</v>
      </c>
      <c r="H3225" s="2" t="s">
        <v>40</v>
      </c>
      <c r="I3225" s="2" t="s">
        <v>423</v>
      </c>
      <c r="J3225" s="2" t="s">
        <v>424</v>
      </c>
      <c r="L3225" s="2" t="s">
        <v>201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461"/>
        <v>0.59743333333333337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459"/>
        <v>0</v>
      </c>
      <c r="AJ3225" s="2">
        <f t="shared" si="460"/>
        <v>0</v>
      </c>
      <c r="AK3225" s="2">
        <f t="shared" si="462"/>
        <v>3.5846</v>
      </c>
      <c r="AL3225" s="5">
        <f t="shared" si="463"/>
        <v>0.59743333333333337</v>
      </c>
    </row>
    <row r="3226" spans="1:38" x14ac:dyDescent="0.2">
      <c r="A3226" s="2">
        <v>2026</v>
      </c>
      <c r="B3226" s="2">
        <v>2</v>
      </c>
      <c r="D3226" s="2" t="s">
        <v>425</v>
      </c>
      <c r="E3226" s="2" t="s">
        <v>98</v>
      </c>
      <c r="F3226" s="2" t="s">
        <v>39</v>
      </c>
      <c r="G3226" s="2">
        <v>510613888</v>
      </c>
      <c r="H3226" s="2" t="s">
        <v>40</v>
      </c>
      <c r="I3226" s="2" t="s">
        <v>426</v>
      </c>
      <c r="J3226" s="2" t="s">
        <v>427</v>
      </c>
      <c r="L3226" s="2" t="s">
        <v>99</v>
      </c>
      <c r="M3226" s="2" t="s">
        <v>80</v>
      </c>
      <c r="P3226" s="2" t="s">
        <v>84</v>
      </c>
      <c r="Q3226" s="2" t="s">
        <v>268</v>
      </c>
      <c r="R3226" s="2" t="s">
        <v>269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461"/>
        <v>0.59743333333333337</v>
      </c>
      <c r="Z3226" s="2" t="s">
        <v>3226</v>
      </c>
      <c r="AA3226" s="2" t="s">
        <v>87</v>
      </c>
      <c r="AB3226" s="2" t="s">
        <v>90</v>
      </c>
      <c r="AC3226" s="2" t="s">
        <v>84</v>
      </c>
      <c r="AF3226" s="2">
        <f t="shared" si="459"/>
        <v>0</v>
      </c>
      <c r="AJ3226" s="2">
        <f t="shared" si="460"/>
        <v>0</v>
      </c>
      <c r="AK3226" s="2">
        <f t="shared" si="462"/>
        <v>3.5846</v>
      </c>
      <c r="AL3226" s="5">
        <f t="shared" si="463"/>
        <v>0.59743333333333337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2586</v>
      </c>
      <c r="P3227" s="2" t="s">
        <v>84</v>
      </c>
      <c r="Q3227" s="2" t="s">
        <v>2587</v>
      </c>
      <c r="R3227" s="2" t="s">
        <v>2588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461"/>
        <v>1</v>
      </c>
      <c r="Z3227" s="2" t="s">
        <v>3226</v>
      </c>
      <c r="AA3227" s="2" t="s">
        <v>87</v>
      </c>
      <c r="AB3227" s="2" t="s">
        <v>60</v>
      </c>
      <c r="AC3227" s="2" t="s">
        <v>84</v>
      </c>
      <c r="AF3227" s="2">
        <f t="shared" si="459"/>
        <v>0</v>
      </c>
      <c r="AJ3227" s="2">
        <f t="shared" si="460"/>
        <v>0</v>
      </c>
      <c r="AK3227" s="2">
        <f t="shared" si="462"/>
        <v>77</v>
      </c>
      <c r="AL3227" s="5">
        <f t="shared" si="463"/>
        <v>1</v>
      </c>
    </row>
    <row r="3228" spans="1:38" x14ac:dyDescent="0.2">
      <c r="A3228" s="2">
        <v>2026</v>
      </c>
      <c r="B3228" s="2">
        <v>2</v>
      </c>
      <c r="D3228" s="2" t="s">
        <v>643</v>
      </c>
      <c r="E3228" s="2" t="s">
        <v>108</v>
      </c>
      <c r="F3228" s="2" t="s">
        <v>477</v>
      </c>
      <c r="G3228" s="2">
        <v>509056946</v>
      </c>
      <c r="H3228" s="2" t="s">
        <v>109</v>
      </c>
      <c r="I3228" s="2" t="s">
        <v>644</v>
      </c>
      <c r="J3228" s="2" t="s">
        <v>645</v>
      </c>
      <c r="K3228" s="2">
        <v>964495536</v>
      </c>
      <c r="L3228" s="2" t="s">
        <v>112</v>
      </c>
      <c r="M3228" s="2" t="s">
        <v>109</v>
      </c>
      <c r="O3228" s="2" t="s">
        <v>2589</v>
      </c>
      <c r="P3228" s="2" t="s">
        <v>1194</v>
      </c>
      <c r="Q3228" s="2" t="s">
        <v>2590</v>
      </c>
      <c r="R3228" s="2" t="s">
        <v>2591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461"/>
        <v>1</v>
      </c>
      <c r="Z3228" s="2" t="s">
        <v>104</v>
      </c>
      <c r="AA3228" s="2" t="s">
        <v>1199</v>
      </c>
      <c r="AB3228" s="2" t="s">
        <v>119</v>
      </c>
      <c r="AC3228" s="2" t="s">
        <v>1194</v>
      </c>
      <c r="AF3228" s="2">
        <f t="shared" si="459"/>
        <v>0</v>
      </c>
      <c r="AJ3228" s="2">
        <f t="shared" si="460"/>
        <v>0</v>
      </c>
      <c r="AK3228" s="2">
        <f t="shared" si="462"/>
        <v>1020</v>
      </c>
      <c r="AL3228" s="5">
        <f t="shared" si="463"/>
        <v>1</v>
      </c>
    </row>
    <row r="3229" spans="1:38" x14ac:dyDescent="0.2">
      <c r="A3229" s="2">
        <v>2026</v>
      </c>
      <c r="B3229" s="2">
        <v>2</v>
      </c>
      <c r="D3229" s="2" t="s">
        <v>1785</v>
      </c>
      <c r="O3229" s="2" t="s">
        <v>2592</v>
      </c>
      <c r="P3229" s="2" t="s">
        <v>3394</v>
      </c>
      <c r="Q3229" s="2" t="s">
        <v>2593</v>
      </c>
      <c r="R3229" s="2" t="s">
        <v>2594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461"/>
        <v>0.61581659022931212</v>
      </c>
      <c r="Z3229" s="2" t="s">
        <v>104</v>
      </c>
      <c r="AA3229" s="2" t="s">
        <v>616</v>
      </c>
      <c r="AB3229" s="2" t="s">
        <v>151</v>
      </c>
      <c r="AC3229" s="2" t="s">
        <v>3394</v>
      </c>
      <c r="AF3229" s="2">
        <f t="shared" si="459"/>
        <v>0</v>
      </c>
      <c r="AG3229" s="2">
        <f>527.7299+435.61</f>
        <v>963.33990000000006</v>
      </c>
      <c r="AJ3229" s="2">
        <f t="shared" si="460"/>
        <v>0</v>
      </c>
      <c r="AK3229" s="2">
        <f t="shared" si="462"/>
        <v>1544.1601000000001</v>
      </c>
      <c r="AL3229" s="5">
        <f t="shared" si="463"/>
        <v>0.61581659022931212</v>
      </c>
    </row>
    <row r="3230" spans="1:38" x14ac:dyDescent="0.2">
      <c r="A3230" s="2">
        <v>2026</v>
      </c>
      <c r="B3230" s="2">
        <v>2</v>
      </c>
      <c r="D3230" s="2" t="s">
        <v>2516</v>
      </c>
      <c r="E3230" s="2" t="s">
        <v>752</v>
      </c>
      <c r="F3230" s="2" t="s">
        <v>39</v>
      </c>
      <c r="G3230" s="2">
        <v>515570354</v>
      </c>
      <c r="H3230" s="2" t="s">
        <v>109</v>
      </c>
      <c r="I3230" s="2" t="s">
        <v>2517</v>
      </c>
      <c r="J3230" s="2" t="s">
        <v>2518</v>
      </c>
      <c r="K3230" s="2">
        <v>967032538</v>
      </c>
      <c r="L3230" s="2" t="s">
        <v>398</v>
      </c>
      <c r="M3230" s="2" t="s">
        <v>109</v>
      </c>
      <c r="O3230" s="2" t="s">
        <v>2552</v>
      </c>
      <c r="P3230" s="2" t="s">
        <v>3394</v>
      </c>
      <c r="Q3230" s="2" t="s">
        <v>2595</v>
      </c>
      <c r="R3230" s="2" t="s">
        <v>2596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461"/>
        <v>0.48673550452170228</v>
      </c>
      <c r="Z3230" s="2" t="s">
        <v>104</v>
      </c>
      <c r="AA3230" s="2" t="s">
        <v>616</v>
      </c>
      <c r="AB3230" s="2" t="s">
        <v>151</v>
      </c>
      <c r="AC3230" s="2" t="s">
        <v>3394</v>
      </c>
      <c r="AF3230" s="2">
        <f t="shared" si="459"/>
        <v>0</v>
      </c>
      <c r="AG3230" s="2">
        <f>729.1005+601.82</f>
        <v>1330.9205000000002</v>
      </c>
      <c r="AJ3230" s="2">
        <f t="shared" si="460"/>
        <v>0</v>
      </c>
      <c r="AK3230" s="2">
        <f t="shared" si="462"/>
        <v>1262.1295000000002</v>
      </c>
      <c r="AL3230" s="5">
        <f t="shared" si="463"/>
        <v>0.48673550452170228</v>
      </c>
    </row>
    <row r="3231" spans="1:38" x14ac:dyDescent="0.2">
      <c r="A3231" s="2">
        <v>2026</v>
      </c>
      <c r="B3231" s="2">
        <v>2</v>
      </c>
      <c r="D3231" s="2" t="s">
        <v>2597</v>
      </c>
      <c r="M3231" s="2" t="s">
        <v>80</v>
      </c>
      <c r="P3231" s="2" t="s">
        <v>1038</v>
      </c>
      <c r="Q3231" s="2" t="s">
        <v>1924</v>
      </c>
      <c r="R3231" s="2" t="s">
        <v>1925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461"/>
        <v>0.37759118341642617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459"/>
        <v>0</v>
      </c>
      <c r="AJ3231" s="2">
        <f t="shared" si="460"/>
        <v>0</v>
      </c>
      <c r="AK3231" s="2">
        <f t="shared" si="462"/>
        <v>230.24</v>
      </c>
      <c r="AL3231" s="5">
        <f t="shared" si="463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80</v>
      </c>
      <c r="P3232" s="2" t="s">
        <v>1038</v>
      </c>
      <c r="Q3232" s="2" t="s">
        <v>2598</v>
      </c>
      <c r="R3232" s="2" t="s">
        <v>2599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461"/>
        <v>0.37574055472417545</v>
      </c>
      <c r="Z3232" s="2" t="s">
        <v>3226</v>
      </c>
      <c r="AA3232" s="2" t="s">
        <v>1041</v>
      </c>
      <c r="AB3232" s="2" t="s">
        <v>1270</v>
      </c>
      <c r="AC3232" s="2" t="s">
        <v>1038</v>
      </c>
      <c r="AF3232" s="2">
        <f t="shared" si="459"/>
        <v>0</v>
      </c>
      <c r="AJ3232" s="2">
        <f t="shared" si="460"/>
        <v>0</v>
      </c>
      <c r="AK3232" s="2">
        <f t="shared" si="462"/>
        <v>183.29000000000002</v>
      </c>
      <c r="AL3232" s="5">
        <f t="shared" si="463"/>
        <v>0.37574055472417545</v>
      </c>
    </row>
    <row r="3233" spans="1:38" x14ac:dyDescent="0.2">
      <c r="A3233" s="2">
        <v>2026</v>
      </c>
      <c r="B3233" s="2">
        <v>2</v>
      </c>
      <c r="D3233" s="2" t="s">
        <v>2510</v>
      </c>
      <c r="M3233" s="2" t="s">
        <v>80</v>
      </c>
      <c r="P3233" s="2" t="s">
        <v>1038</v>
      </c>
      <c r="Q3233" s="2" t="s">
        <v>2600</v>
      </c>
      <c r="R3233" s="2" t="s">
        <v>2601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461"/>
        <v>0.28744631950350374</v>
      </c>
      <c r="Z3233" s="2" t="s">
        <v>3226</v>
      </c>
      <c r="AA3233" s="2" t="s">
        <v>1041</v>
      </c>
      <c r="AB3233" s="2" t="s">
        <v>2168</v>
      </c>
      <c r="AC3233" s="2" t="s">
        <v>1038</v>
      </c>
      <c r="AF3233" s="2">
        <f t="shared" si="459"/>
        <v>0</v>
      </c>
      <c r="AJ3233" s="2">
        <f t="shared" si="460"/>
        <v>0</v>
      </c>
      <c r="AK3233" s="2">
        <f t="shared" si="462"/>
        <v>408.97</v>
      </c>
      <c r="AL3233" s="5">
        <f t="shared" si="463"/>
        <v>0.28744631950350374</v>
      </c>
    </row>
    <row r="3234" spans="1:38" x14ac:dyDescent="0.2">
      <c r="A3234" s="2">
        <v>2026</v>
      </c>
      <c r="B3234" s="2">
        <v>2</v>
      </c>
      <c r="D3234" s="2" t="s">
        <v>488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489</v>
      </c>
      <c r="J3234" s="2" t="s">
        <v>490</v>
      </c>
      <c r="K3234" s="2">
        <v>912293443</v>
      </c>
      <c r="L3234" s="2" t="s">
        <v>99</v>
      </c>
      <c r="M3234" s="2" t="s">
        <v>40</v>
      </c>
      <c r="O3234" s="2" t="s">
        <v>2602</v>
      </c>
      <c r="P3234" s="2" t="s">
        <v>40</v>
      </c>
      <c r="Q3234" s="2" t="s">
        <v>491</v>
      </c>
      <c r="R3234" s="2" t="s">
        <v>492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461"/>
        <v>1</v>
      </c>
      <c r="Z3234" s="2" t="s">
        <v>119</v>
      </c>
      <c r="AA3234" s="2" t="s">
        <v>492</v>
      </c>
      <c r="AF3234" s="2">
        <f t="shared" si="459"/>
        <v>0</v>
      </c>
      <c r="AJ3234" s="2">
        <f t="shared" si="460"/>
        <v>0</v>
      </c>
      <c r="AK3234" s="2">
        <f t="shared" si="462"/>
        <v>664.04</v>
      </c>
      <c r="AL3234" s="5">
        <f t="shared" si="463"/>
        <v>1</v>
      </c>
    </row>
    <row r="3235" spans="1:38" x14ac:dyDescent="0.2">
      <c r="A3235" s="2">
        <v>2026</v>
      </c>
      <c r="B3235" s="2">
        <v>2</v>
      </c>
      <c r="D3235" s="2" t="s">
        <v>2526</v>
      </c>
      <c r="M3235" s="2" t="s">
        <v>40</v>
      </c>
      <c r="P3235" s="2" t="s">
        <v>187</v>
      </c>
      <c r="Q3235" s="2" t="s">
        <v>317</v>
      </c>
      <c r="R3235" s="2" t="s">
        <v>318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461"/>
        <v>1</v>
      </c>
      <c r="Z3235" s="2" t="s">
        <v>117</v>
      </c>
      <c r="AA3235" s="2" t="s">
        <v>317</v>
      </c>
      <c r="AF3235" s="2">
        <f t="shared" si="459"/>
        <v>0</v>
      </c>
      <c r="AJ3235" s="2">
        <f t="shared" si="460"/>
        <v>0</v>
      </c>
      <c r="AK3235" s="2">
        <f t="shared" si="462"/>
        <v>696.5</v>
      </c>
      <c r="AL3235" s="5">
        <f t="shared" si="463"/>
        <v>1</v>
      </c>
    </row>
    <row r="3236" spans="1:38" x14ac:dyDescent="0.2">
      <c r="A3236" s="2">
        <v>2026</v>
      </c>
      <c r="B3236" s="2">
        <v>3</v>
      </c>
      <c r="D3236" s="2" t="s">
        <v>741</v>
      </c>
      <c r="M3236" s="2" t="s">
        <v>40</v>
      </c>
      <c r="P3236" s="2" t="s">
        <v>187</v>
      </c>
      <c r="Q3236" s="2" t="s">
        <v>191</v>
      </c>
      <c r="R3236" s="2" t="s">
        <v>190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461"/>
        <v>0.5</v>
      </c>
      <c r="Z3236" s="2" t="s">
        <v>117</v>
      </c>
      <c r="AA3236" s="2" t="s">
        <v>190</v>
      </c>
      <c r="AB3236" s="2" t="s">
        <v>190</v>
      </c>
      <c r="AC3236" s="2" t="s">
        <v>40</v>
      </c>
      <c r="AF3236" s="2">
        <f t="shared" si="459"/>
        <v>0</v>
      </c>
      <c r="AG3236" s="2">
        <f t="shared" ref="AG3236:AG3267" si="464">W3236</f>
        <v>27.5</v>
      </c>
      <c r="AJ3236" s="2">
        <f t="shared" si="460"/>
        <v>0</v>
      </c>
      <c r="AK3236" s="2">
        <f t="shared" si="462"/>
        <v>27.5</v>
      </c>
      <c r="AL3236" s="5">
        <f t="shared" si="463"/>
        <v>0.5</v>
      </c>
    </row>
    <row r="3237" spans="1:38" x14ac:dyDescent="0.2">
      <c r="A3237" s="2">
        <v>2026</v>
      </c>
      <c r="B3237" s="2">
        <v>2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188</v>
      </c>
      <c r="R3237" s="2" t="s">
        <v>189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461"/>
        <v>0.6</v>
      </c>
      <c r="Z3237" s="2" t="s">
        <v>117</v>
      </c>
      <c r="AA3237" s="2" t="s">
        <v>190</v>
      </c>
      <c r="AB3237" s="2" t="s">
        <v>189</v>
      </c>
      <c r="AC3237" s="2" t="s">
        <v>40</v>
      </c>
      <c r="AF3237" s="2">
        <f t="shared" si="459"/>
        <v>0</v>
      </c>
      <c r="AG3237" s="2">
        <f t="shared" si="464"/>
        <v>40</v>
      </c>
      <c r="AJ3237" s="2">
        <f t="shared" si="460"/>
        <v>0</v>
      </c>
      <c r="AK3237" s="2">
        <f t="shared" si="462"/>
        <v>60</v>
      </c>
      <c r="AL3237" s="5">
        <f t="shared" si="463"/>
        <v>0.6</v>
      </c>
    </row>
    <row r="3238" spans="1:38" x14ac:dyDescent="0.2">
      <c r="A3238" s="2">
        <v>2026</v>
      </c>
      <c r="B3238" s="2">
        <v>2</v>
      </c>
      <c r="D3238" s="2" t="s">
        <v>1354</v>
      </c>
      <c r="E3238" s="2" t="s">
        <v>108</v>
      </c>
      <c r="F3238" s="2" t="s">
        <v>395</v>
      </c>
      <c r="G3238" s="2">
        <v>502401010</v>
      </c>
      <c r="H3238" s="2" t="s">
        <v>290</v>
      </c>
      <c r="I3238" s="2" t="s">
        <v>2500</v>
      </c>
      <c r="J3238" s="2" t="s">
        <v>2501</v>
      </c>
      <c r="L3238" s="2" t="s">
        <v>293</v>
      </c>
      <c r="M3238" s="2" t="s">
        <v>40</v>
      </c>
      <c r="P3238" s="2" t="s">
        <v>187</v>
      </c>
      <c r="Q3238" s="2" t="s">
        <v>191</v>
      </c>
      <c r="R3238" s="2" t="s">
        <v>190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461"/>
        <v>0.5</v>
      </c>
      <c r="Z3238" s="2" t="s">
        <v>117</v>
      </c>
      <c r="AA3238" s="2" t="s">
        <v>190</v>
      </c>
      <c r="AB3238" s="2" t="s">
        <v>190</v>
      </c>
      <c r="AC3238" s="2" t="s">
        <v>40</v>
      </c>
      <c r="AF3238" s="2">
        <f t="shared" si="459"/>
        <v>0</v>
      </c>
      <c r="AG3238" s="2">
        <f t="shared" si="464"/>
        <v>110</v>
      </c>
      <c r="AJ3238" s="2">
        <f t="shared" si="460"/>
        <v>0</v>
      </c>
      <c r="AK3238" s="2">
        <f t="shared" si="462"/>
        <v>110</v>
      </c>
      <c r="AL3238" s="5">
        <f t="shared" si="463"/>
        <v>0.5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188</v>
      </c>
      <c r="R3239" s="2" t="s">
        <v>189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461"/>
        <v>0.59999999999999987</v>
      </c>
      <c r="Z3239" s="2" t="s">
        <v>117</v>
      </c>
      <c r="AA3239" s="2" t="s">
        <v>190</v>
      </c>
      <c r="AB3239" s="2" t="s">
        <v>189</v>
      </c>
      <c r="AC3239" s="2" t="s">
        <v>40</v>
      </c>
      <c r="AF3239" s="2">
        <f t="shared" si="459"/>
        <v>0</v>
      </c>
      <c r="AG3239" s="2">
        <f t="shared" si="464"/>
        <v>87.600000000000009</v>
      </c>
      <c r="AJ3239" s="2">
        <f t="shared" si="460"/>
        <v>0</v>
      </c>
      <c r="AK3239" s="2">
        <f t="shared" si="462"/>
        <v>131.39999999999998</v>
      </c>
      <c r="AL3239" s="5">
        <f t="shared" si="463"/>
        <v>0.59999999999999987</v>
      </c>
    </row>
    <row r="3240" spans="1:38" x14ac:dyDescent="0.2">
      <c r="A3240" s="2">
        <v>2026</v>
      </c>
      <c r="B3240" s="2">
        <v>2</v>
      </c>
      <c r="D3240" s="2" t="s">
        <v>744</v>
      </c>
      <c r="E3240" s="2" t="s">
        <v>108</v>
      </c>
      <c r="F3240" s="2" t="s">
        <v>39</v>
      </c>
      <c r="G3240" s="2">
        <v>509181163</v>
      </c>
      <c r="H3240" s="2" t="s">
        <v>40</v>
      </c>
      <c r="I3240" s="2" t="s">
        <v>745</v>
      </c>
      <c r="J3240" s="2" t="s">
        <v>746</v>
      </c>
      <c r="K3240" s="2">
        <v>962372760</v>
      </c>
      <c r="L3240" s="2" t="s">
        <v>201</v>
      </c>
      <c r="M3240" s="2" t="s">
        <v>40</v>
      </c>
      <c r="P3240" s="2" t="s">
        <v>187</v>
      </c>
      <c r="Q3240" s="2" t="s">
        <v>191</v>
      </c>
      <c r="R3240" s="2" t="s">
        <v>190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461"/>
        <v>0.5</v>
      </c>
      <c r="Z3240" s="2" t="s">
        <v>117</v>
      </c>
      <c r="AA3240" s="2" t="s">
        <v>190</v>
      </c>
      <c r="AB3240" s="2" t="s">
        <v>190</v>
      </c>
      <c r="AC3240" s="2" t="s">
        <v>40</v>
      </c>
      <c r="AF3240" s="2">
        <f t="shared" si="459"/>
        <v>0</v>
      </c>
      <c r="AG3240" s="2">
        <f t="shared" si="464"/>
        <v>82.5</v>
      </c>
      <c r="AJ3240" s="2">
        <f t="shared" si="460"/>
        <v>0</v>
      </c>
      <c r="AK3240" s="2">
        <f t="shared" si="462"/>
        <v>82.5</v>
      </c>
      <c r="AL3240" s="5">
        <f t="shared" si="463"/>
        <v>0.5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188</v>
      </c>
      <c r="R3241" s="2" t="s">
        <v>189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461"/>
        <v>0.6</v>
      </c>
      <c r="Z3241" s="2" t="s">
        <v>117</v>
      </c>
      <c r="AA3241" s="2" t="s">
        <v>190</v>
      </c>
      <c r="AB3241" s="2" t="s">
        <v>189</v>
      </c>
      <c r="AC3241" s="2" t="s">
        <v>40</v>
      </c>
      <c r="AF3241" s="2">
        <f t="shared" si="459"/>
        <v>0</v>
      </c>
      <c r="AG3241" s="2">
        <f t="shared" si="464"/>
        <v>55.2</v>
      </c>
      <c r="AJ3241" s="2">
        <f t="shared" si="460"/>
        <v>0</v>
      </c>
      <c r="AK3241" s="2">
        <f t="shared" si="462"/>
        <v>82.8</v>
      </c>
      <c r="AL3241" s="5">
        <f t="shared" si="463"/>
        <v>0.6</v>
      </c>
    </row>
    <row r="3242" spans="1:38" x14ac:dyDescent="0.2">
      <c r="A3242" s="2">
        <v>2026</v>
      </c>
      <c r="B3242" s="2">
        <v>1</v>
      </c>
      <c r="D3242" s="2" t="s">
        <v>2231</v>
      </c>
      <c r="M3242" s="2" t="s">
        <v>40</v>
      </c>
      <c r="P3242" s="2" t="s">
        <v>187</v>
      </c>
      <c r="Q3242" s="2" t="s">
        <v>191</v>
      </c>
      <c r="R3242" s="2" t="s">
        <v>190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461"/>
        <v>0.5</v>
      </c>
      <c r="Z3242" s="2" t="s">
        <v>117</v>
      </c>
      <c r="AA3242" s="2" t="s">
        <v>190</v>
      </c>
      <c r="AB3242" s="2" t="s">
        <v>190</v>
      </c>
      <c r="AC3242" s="2" t="s">
        <v>40</v>
      </c>
      <c r="AF3242" s="2">
        <f t="shared" si="459"/>
        <v>0</v>
      </c>
      <c r="AG3242" s="2">
        <f t="shared" si="464"/>
        <v>18.75</v>
      </c>
      <c r="AJ3242" s="2">
        <f t="shared" si="460"/>
        <v>0</v>
      </c>
      <c r="AK3242" s="2">
        <f t="shared" si="462"/>
        <v>18.75</v>
      </c>
      <c r="AL3242" s="5">
        <f t="shared" si="463"/>
        <v>0.5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188</v>
      </c>
      <c r="R3243" s="2" t="s">
        <v>189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461"/>
        <v>0.6</v>
      </c>
      <c r="Z3243" s="2" t="s">
        <v>117</v>
      </c>
      <c r="AA3243" s="2" t="s">
        <v>190</v>
      </c>
      <c r="AB3243" s="2" t="s">
        <v>189</v>
      </c>
      <c r="AC3243" s="2" t="s">
        <v>40</v>
      </c>
      <c r="AF3243" s="2">
        <f t="shared" si="459"/>
        <v>0</v>
      </c>
      <c r="AG3243" s="2">
        <f t="shared" si="464"/>
        <v>22</v>
      </c>
      <c r="AJ3243" s="2">
        <f t="shared" si="460"/>
        <v>0</v>
      </c>
      <c r="AK3243" s="2">
        <f t="shared" si="462"/>
        <v>33</v>
      </c>
      <c r="AL3243" s="5">
        <f t="shared" si="463"/>
        <v>0.6</v>
      </c>
    </row>
    <row r="3244" spans="1:38" x14ac:dyDescent="0.2">
      <c r="A3244" s="2">
        <v>2026</v>
      </c>
      <c r="B3244" s="2">
        <v>4</v>
      </c>
      <c r="D3244" s="2" t="s">
        <v>1000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1001</v>
      </c>
      <c r="J3244" s="2" t="s">
        <v>1002</v>
      </c>
      <c r="K3244" s="2">
        <v>917233128</v>
      </c>
      <c r="L3244" s="2" t="s">
        <v>99</v>
      </c>
      <c r="M3244" s="2" t="s">
        <v>40</v>
      </c>
      <c r="O3244" s="2" t="s">
        <v>2603</v>
      </c>
      <c r="P3244" s="2" t="s">
        <v>187</v>
      </c>
      <c r="Q3244" s="2" t="s">
        <v>191</v>
      </c>
      <c r="R3244" s="2" t="s">
        <v>190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461"/>
        <v>0.5</v>
      </c>
      <c r="Z3244" s="2" t="s">
        <v>117</v>
      </c>
      <c r="AA3244" s="2" t="s">
        <v>190</v>
      </c>
      <c r="AB3244" s="2" t="s">
        <v>190</v>
      </c>
      <c r="AC3244" s="2" t="s">
        <v>40</v>
      </c>
      <c r="AF3244" s="2">
        <f t="shared" si="459"/>
        <v>0</v>
      </c>
      <c r="AG3244" s="2">
        <f t="shared" si="464"/>
        <v>55</v>
      </c>
      <c r="AJ3244" s="2">
        <f t="shared" si="460"/>
        <v>0</v>
      </c>
      <c r="AK3244" s="2">
        <f t="shared" si="462"/>
        <v>55</v>
      </c>
      <c r="AL3244" s="5">
        <f t="shared" si="463"/>
        <v>0.5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188</v>
      </c>
      <c r="R3245" s="2" t="s">
        <v>189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461"/>
        <v>0.60000000000000009</v>
      </c>
      <c r="Z3245" s="2" t="s">
        <v>117</v>
      </c>
      <c r="AA3245" s="2" t="s">
        <v>190</v>
      </c>
      <c r="AB3245" s="2" t="s">
        <v>189</v>
      </c>
      <c r="AC3245" s="2" t="s">
        <v>40</v>
      </c>
      <c r="AF3245" s="2">
        <f t="shared" si="459"/>
        <v>0</v>
      </c>
      <c r="AG3245" s="2">
        <f t="shared" si="464"/>
        <v>117.2</v>
      </c>
      <c r="AJ3245" s="2">
        <f t="shared" si="460"/>
        <v>0</v>
      </c>
      <c r="AK3245" s="2">
        <f t="shared" si="462"/>
        <v>175.8</v>
      </c>
      <c r="AL3245" s="5">
        <f t="shared" si="463"/>
        <v>0.60000000000000009</v>
      </c>
    </row>
    <row r="3246" spans="1:38" x14ac:dyDescent="0.2">
      <c r="A3246" s="2">
        <v>2026</v>
      </c>
      <c r="B3246" s="2">
        <v>1</v>
      </c>
      <c r="D3246" s="2" t="s">
        <v>2333</v>
      </c>
      <c r="M3246" s="2" t="s">
        <v>40</v>
      </c>
      <c r="P3246" s="2" t="s">
        <v>187</v>
      </c>
      <c r="Q3246" s="2" t="s">
        <v>191</v>
      </c>
      <c r="R3246" s="2" t="s">
        <v>190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461"/>
        <v>0.5</v>
      </c>
      <c r="Z3246" s="2" t="s">
        <v>117</v>
      </c>
      <c r="AA3246" s="2" t="s">
        <v>190</v>
      </c>
      <c r="AB3246" s="2" t="s">
        <v>190</v>
      </c>
      <c r="AC3246" s="2" t="s">
        <v>40</v>
      </c>
      <c r="AF3246" s="2">
        <f t="shared" si="459"/>
        <v>0</v>
      </c>
      <c r="AG3246" s="2">
        <f t="shared" si="464"/>
        <v>43.75</v>
      </c>
      <c r="AJ3246" s="2">
        <f t="shared" si="460"/>
        <v>0</v>
      </c>
      <c r="AK3246" s="2">
        <f t="shared" si="462"/>
        <v>43.75</v>
      </c>
      <c r="AL3246" s="5">
        <f t="shared" si="463"/>
        <v>0.5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188</v>
      </c>
      <c r="R3247" s="2" t="s">
        <v>189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461"/>
        <v>0.6</v>
      </c>
      <c r="Z3247" s="2" t="s">
        <v>117</v>
      </c>
      <c r="AA3247" s="2" t="s">
        <v>190</v>
      </c>
      <c r="AB3247" s="2" t="s">
        <v>189</v>
      </c>
      <c r="AC3247" s="2" t="s">
        <v>40</v>
      </c>
      <c r="AF3247" s="2">
        <f t="shared" si="459"/>
        <v>0</v>
      </c>
      <c r="AG3247" s="2">
        <f t="shared" si="464"/>
        <v>20</v>
      </c>
      <c r="AJ3247" s="2">
        <f t="shared" si="460"/>
        <v>0</v>
      </c>
      <c r="AK3247" s="2">
        <f t="shared" si="462"/>
        <v>30</v>
      </c>
      <c r="AL3247" s="5">
        <f t="shared" si="463"/>
        <v>0.6</v>
      </c>
    </row>
    <row r="3248" spans="1:38" x14ac:dyDescent="0.2">
      <c r="A3248" s="2">
        <v>2026</v>
      </c>
      <c r="B3248" s="2">
        <v>1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2304</v>
      </c>
      <c r="P3248" s="2" t="s">
        <v>187</v>
      </c>
      <c r="Q3248" s="2" t="s">
        <v>191</v>
      </c>
      <c r="R3248" s="2" t="s">
        <v>190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461"/>
        <v>0.5</v>
      </c>
      <c r="Z3248" s="2" t="s">
        <v>117</v>
      </c>
      <c r="AA3248" s="2" t="s">
        <v>190</v>
      </c>
      <c r="AB3248" s="2" t="s">
        <v>190</v>
      </c>
      <c r="AC3248" s="2" t="s">
        <v>40</v>
      </c>
      <c r="AF3248" s="2">
        <f t="shared" si="459"/>
        <v>0</v>
      </c>
      <c r="AG3248" s="2">
        <f t="shared" si="464"/>
        <v>31.25</v>
      </c>
      <c r="AJ3248" s="2">
        <f t="shared" si="460"/>
        <v>0</v>
      </c>
      <c r="AK3248" s="2">
        <f t="shared" si="462"/>
        <v>31.25</v>
      </c>
      <c r="AL3248" s="5">
        <f t="shared" si="463"/>
        <v>0.5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188</v>
      </c>
      <c r="R3249" s="2" t="s">
        <v>189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461"/>
        <v>0.6</v>
      </c>
      <c r="Z3249" s="2" t="s">
        <v>117</v>
      </c>
      <c r="AA3249" s="2" t="s">
        <v>190</v>
      </c>
      <c r="AB3249" s="2" t="s">
        <v>189</v>
      </c>
      <c r="AC3249" s="2" t="s">
        <v>40</v>
      </c>
      <c r="AF3249" s="2">
        <f t="shared" si="459"/>
        <v>0</v>
      </c>
      <c r="AG3249" s="2">
        <f t="shared" si="464"/>
        <v>22</v>
      </c>
      <c r="AJ3249" s="2">
        <f t="shared" si="460"/>
        <v>0</v>
      </c>
      <c r="AK3249" s="2">
        <f t="shared" si="462"/>
        <v>33</v>
      </c>
      <c r="AL3249" s="5">
        <f t="shared" si="463"/>
        <v>0.6</v>
      </c>
    </row>
    <row r="3250" spans="1:38" x14ac:dyDescent="0.2">
      <c r="A3250" s="2">
        <v>2026</v>
      </c>
      <c r="B3250" s="2">
        <v>2</v>
      </c>
      <c r="D3250" s="2" t="s">
        <v>775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776</v>
      </c>
      <c r="J3250" s="2" t="s">
        <v>777</v>
      </c>
      <c r="L3250" s="2" t="s">
        <v>339</v>
      </c>
      <c r="M3250" s="2" t="s">
        <v>40</v>
      </c>
      <c r="O3250" s="2" t="s">
        <v>2474</v>
      </c>
      <c r="P3250" s="2" t="s">
        <v>187</v>
      </c>
      <c r="Q3250" s="2" t="s">
        <v>191</v>
      </c>
      <c r="R3250" s="2" t="s">
        <v>190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461"/>
        <v>0.5</v>
      </c>
      <c r="Z3250" s="2" t="s">
        <v>117</v>
      </c>
      <c r="AA3250" s="2" t="s">
        <v>190</v>
      </c>
      <c r="AB3250" s="2" t="s">
        <v>190</v>
      </c>
      <c r="AC3250" s="2" t="s">
        <v>40</v>
      </c>
      <c r="AF3250" s="2">
        <f t="shared" si="459"/>
        <v>0</v>
      </c>
      <c r="AG3250" s="2">
        <f t="shared" si="464"/>
        <v>27.5</v>
      </c>
      <c r="AJ3250" s="2">
        <f t="shared" si="460"/>
        <v>0</v>
      </c>
      <c r="AK3250" s="2">
        <f t="shared" si="462"/>
        <v>27.5</v>
      </c>
      <c r="AL3250" s="5">
        <f t="shared" si="463"/>
        <v>0.5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188</v>
      </c>
      <c r="R3251" s="2" t="s">
        <v>189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461"/>
        <v>0.6</v>
      </c>
      <c r="Z3251" s="2" t="s">
        <v>117</v>
      </c>
      <c r="AA3251" s="2" t="s">
        <v>190</v>
      </c>
      <c r="AB3251" s="2" t="s">
        <v>189</v>
      </c>
      <c r="AC3251" s="2" t="s">
        <v>40</v>
      </c>
      <c r="AF3251" s="2">
        <f t="shared" si="459"/>
        <v>0</v>
      </c>
      <c r="AG3251" s="2">
        <f t="shared" si="464"/>
        <v>35.200000000000003</v>
      </c>
      <c r="AJ3251" s="2">
        <f t="shared" si="460"/>
        <v>0</v>
      </c>
      <c r="AK3251" s="2">
        <f t="shared" si="462"/>
        <v>52.8</v>
      </c>
      <c r="AL3251" s="5">
        <f t="shared" si="463"/>
        <v>0.6</v>
      </c>
    </row>
    <row r="3252" spans="1:38" x14ac:dyDescent="0.2">
      <c r="A3252" s="2">
        <v>2026</v>
      </c>
      <c r="B3252" s="2">
        <v>1</v>
      </c>
      <c r="D3252" s="2" t="s">
        <v>1008</v>
      </c>
      <c r="E3252" s="2" t="s">
        <v>108</v>
      </c>
      <c r="F3252" s="2" t="s">
        <v>39</v>
      </c>
      <c r="L3252" s="2" t="s">
        <v>418</v>
      </c>
      <c r="M3252" s="2" t="s">
        <v>40</v>
      </c>
      <c r="P3252" s="2" t="s">
        <v>187</v>
      </c>
      <c r="Q3252" s="2" t="s">
        <v>191</v>
      </c>
      <c r="R3252" s="2" t="s">
        <v>190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461"/>
        <v>0.5</v>
      </c>
      <c r="Z3252" s="2" t="s">
        <v>117</v>
      </c>
      <c r="AA3252" s="2" t="s">
        <v>190</v>
      </c>
      <c r="AB3252" s="2" t="s">
        <v>190</v>
      </c>
      <c r="AC3252" s="2" t="s">
        <v>40</v>
      </c>
      <c r="AF3252" s="2">
        <f t="shared" si="459"/>
        <v>0</v>
      </c>
      <c r="AG3252" s="2">
        <f t="shared" si="464"/>
        <v>25</v>
      </c>
      <c r="AJ3252" s="2">
        <f t="shared" si="460"/>
        <v>0</v>
      </c>
      <c r="AK3252" s="2">
        <f t="shared" si="462"/>
        <v>25</v>
      </c>
      <c r="AL3252" s="5">
        <f t="shared" si="463"/>
        <v>0.5</v>
      </c>
    </row>
    <row r="3253" spans="1:38" x14ac:dyDescent="0.2">
      <c r="A3253" s="2">
        <v>2026</v>
      </c>
      <c r="B3253" s="2">
        <v>4</v>
      </c>
      <c r="C3253" s="2" t="s">
        <v>3450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188</v>
      </c>
      <c r="R3253" s="2" t="s">
        <v>189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461"/>
        <v>0.6</v>
      </c>
      <c r="Z3253" s="2" t="s">
        <v>117</v>
      </c>
      <c r="AA3253" s="2" t="s">
        <v>190</v>
      </c>
      <c r="AB3253" s="2" t="s">
        <v>189</v>
      </c>
      <c r="AC3253" s="2" t="s">
        <v>40</v>
      </c>
      <c r="AF3253" s="2">
        <f t="shared" si="459"/>
        <v>0</v>
      </c>
      <c r="AG3253" s="2">
        <f t="shared" si="464"/>
        <v>24</v>
      </c>
      <c r="AJ3253" s="2">
        <f t="shared" si="460"/>
        <v>0</v>
      </c>
      <c r="AK3253" s="2">
        <f t="shared" si="462"/>
        <v>36</v>
      </c>
      <c r="AL3253" s="5">
        <f t="shared" si="463"/>
        <v>0.6</v>
      </c>
    </row>
    <row r="3254" spans="1:38" x14ac:dyDescent="0.2">
      <c r="A3254" s="2">
        <v>2026</v>
      </c>
      <c r="B3254" s="2">
        <v>4</v>
      </c>
      <c r="C3254" s="2" t="s">
        <v>3450</v>
      </c>
      <c r="D3254" s="2" t="s">
        <v>1009</v>
      </c>
      <c r="E3254" s="2" t="s">
        <v>108</v>
      </c>
      <c r="F3254" s="2" t="s">
        <v>39</v>
      </c>
      <c r="G3254" s="2">
        <v>507063481</v>
      </c>
      <c r="H3254" s="2" t="s">
        <v>290</v>
      </c>
      <c r="I3254" s="2" t="s">
        <v>1010</v>
      </c>
      <c r="J3254" s="2" t="s">
        <v>1011</v>
      </c>
      <c r="L3254" s="2" t="s">
        <v>293</v>
      </c>
      <c r="M3254" s="2" t="s">
        <v>40</v>
      </c>
      <c r="P3254" s="2" t="s">
        <v>187</v>
      </c>
      <c r="Q3254" s="2" t="s">
        <v>191</v>
      </c>
      <c r="R3254" s="2" t="s">
        <v>190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461"/>
        <v>0.5</v>
      </c>
      <c r="Z3254" s="2" t="s">
        <v>117</v>
      </c>
      <c r="AA3254" s="2" t="s">
        <v>190</v>
      </c>
      <c r="AB3254" s="2" t="s">
        <v>190</v>
      </c>
      <c r="AC3254" s="2" t="s">
        <v>40</v>
      </c>
      <c r="AF3254" s="2">
        <f t="shared" si="459"/>
        <v>0</v>
      </c>
      <c r="AG3254" s="2">
        <f t="shared" si="464"/>
        <v>27.5</v>
      </c>
      <c r="AJ3254" s="2">
        <f t="shared" si="460"/>
        <v>0</v>
      </c>
      <c r="AK3254" s="2">
        <f t="shared" si="462"/>
        <v>27.5</v>
      </c>
      <c r="AL3254" s="5">
        <f t="shared" si="463"/>
        <v>0.5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188</v>
      </c>
      <c r="R3255" s="2" t="s">
        <v>189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461"/>
        <v>0.6</v>
      </c>
      <c r="Z3255" s="2" t="s">
        <v>117</v>
      </c>
      <c r="AA3255" s="2" t="s">
        <v>190</v>
      </c>
      <c r="AB3255" s="2" t="s">
        <v>189</v>
      </c>
      <c r="AC3255" s="2" t="s">
        <v>40</v>
      </c>
      <c r="AF3255" s="2">
        <f t="shared" si="459"/>
        <v>0</v>
      </c>
      <c r="AG3255" s="2">
        <f t="shared" si="464"/>
        <v>44</v>
      </c>
      <c r="AJ3255" s="2">
        <f t="shared" si="460"/>
        <v>0</v>
      </c>
      <c r="AK3255" s="2">
        <f t="shared" si="462"/>
        <v>66</v>
      </c>
      <c r="AL3255" s="5">
        <f t="shared" si="463"/>
        <v>0.6</v>
      </c>
    </row>
    <row r="3256" spans="1:38" x14ac:dyDescent="0.2">
      <c r="A3256" s="2">
        <v>2026</v>
      </c>
      <c r="B3256" s="2">
        <v>4</v>
      </c>
      <c r="D3256" s="2" t="s">
        <v>1241</v>
      </c>
      <c r="M3256" s="2" t="s">
        <v>40</v>
      </c>
      <c r="P3256" s="2" t="s">
        <v>187</v>
      </c>
      <c r="Q3256" s="2" t="s">
        <v>191</v>
      </c>
      <c r="R3256" s="2" t="s">
        <v>190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461"/>
        <v>0.5</v>
      </c>
      <c r="Z3256" s="2" t="s">
        <v>117</v>
      </c>
      <c r="AA3256" s="2" t="s">
        <v>190</v>
      </c>
      <c r="AB3256" s="2" t="s">
        <v>190</v>
      </c>
      <c r="AC3256" s="2" t="s">
        <v>40</v>
      </c>
      <c r="AF3256" s="2">
        <f t="shared" si="459"/>
        <v>0</v>
      </c>
      <c r="AG3256" s="2">
        <f t="shared" si="464"/>
        <v>103.125</v>
      </c>
      <c r="AJ3256" s="2">
        <f t="shared" si="460"/>
        <v>0</v>
      </c>
      <c r="AK3256" s="2">
        <f t="shared" si="462"/>
        <v>103.125</v>
      </c>
      <c r="AL3256" s="5">
        <f t="shared" si="463"/>
        <v>0.5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188</v>
      </c>
      <c r="R3257" s="2" t="s">
        <v>189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461"/>
        <v>0.6</v>
      </c>
      <c r="Z3257" s="2" t="s">
        <v>117</v>
      </c>
      <c r="AA3257" s="2" t="s">
        <v>190</v>
      </c>
      <c r="AB3257" s="2" t="s">
        <v>189</v>
      </c>
      <c r="AC3257" s="2" t="s">
        <v>40</v>
      </c>
      <c r="AF3257" s="2">
        <f t="shared" si="459"/>
        <v>0</v>
      </c>
      <c r="AG3257" s="2">
        <f t="shared" si="464"/>
        <v>84</v>
      </c>
      <c r="AJ3257" s="2">
        <f t="shared" si="460"/>
        <v>0</v>
      </c>
      <c r="AK3257" s="2">
        <f t="shared" si="462"/>
        <v>126</v>
      </c>
      <c r="AL3257" s="5">
        <f t="shared" si="463"/>
        <v>0.6</v>
      </c>
    </row>
    <row r="3258" spans="1:38" x14ac:dyDescent="0.2">
      <c r="A3258" s="2">
        <v>2026</v>
      </c>
      <c r="B3258" s="2">
        <v>2</v>
      </c>
      <c r="D3258" s="2" t="s">
        <v>2509</v>
      </c>
      <c r="M3258" s="2" t="s">
        <v>40</v>
      </c>
      <c r="P3258" s="2" t="s">
        <v>187</v>
      </c>
      <c r="Q3258" s="2" t="s">
        <v>191</v>
      </c>
      <c r="R3258" s="2" t="s">
        <v>190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461"/>
        <v>0.5</v>
      </c>
      <c r="Z3258" s="2" t="s">
        <v>117</v>
      </c>
      <c r="AA3258" s="2" t="s">
        <v>190</v>
      </c>
      <c r="AB3258" s="2" t="s">
        <v>190</v>
      </c>
      <c r="AC3258" s="2" t="s">
        <v>40</v>
      </c>
      <c r="AF3258" s="2">
        <f t="shared" si="459"/>
        <v>0</v>
      </c>
      <c r="AG3258" s="2">
        <f t="shared" si="464"/>
        <v>37.5</v>
      </c>
      <c r="AJ3258" s="2">
        <f t="shared" si="460"/>
        <v>0</v>
      </c>
      <c r="AK3258" s="2">
        <f t="shared" si="462"/>
        <v>37.5</v>
      </c>
      <c r="AL3258" s="5">
        <f t="shared" si="463"/>
        <v>0.5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188</v>
      </c>
      <c r="R3259" s="2" t="s">
        <v>189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461"/>
        <v>0.6</v>
      </c>
      <c r="Z3259" s="2" t="s">
        <v>117</v>
      </c>
      <c r="AA3259" s="2" t="s">
        <v>190</v>
      </c>
      <c r="AB3259" s="2" t="s">
        <v>189</v>
      </c>
      <c r="AC3259" s="2" t="s">
        <v>40</v>
      </c>
      <c r="AF3259" s="2">
        <f t="shared" si="459"/>
        <v>0</v>
      </c>
      <c r="AG3259" s="2">
        <f t="shared" si="464"/>
        <v>65.600000000000009</v>
      </c>
      <c r="AJ3259" s="2">
        <f t="shared" si="460"/>
        <v>0</v>
      </c>
      <c r="AK3259" s="2">
        <f t="shared" si="462"/>
        <v>98.399999999999991</v>
      </c>
      <c r="AL3259" s="5">
        <f t="shared" si="463"/>
        <v>0.6</v>
      </c>
    </row>
    <row r="3260" spans="1:38" x14ac:dyDescent="0.2">
      <c r="A3260" s="2">
        <v>2026</v>
      </c>
      <c r="B3260" s="2">
        <v>4</v>
      </c>
      <c r="D3260" s="2" t="s">
        <v>2604</v>
      </c>
      <c r="E3260" s="2" t="s">
        <v>108</v>
      </c>
      <c r="F3260" s="2" t="s">
        <v>39</v>
      </c>
      <c r="G3260" s="2">
        <v>5056222351</v>
      </c>
      <c r="H3260" s="2" t="s">
        <v>109</v>
      </c>
      <c r="I3260" s="2" t="s">
        <v>112</v>
      </c>
      <c r="J3260" s="2" t="s">
        <v>2605</v>
      </c>
      <c r="K3260" s="2">
        <v>935402550</v>
      </c>
      <c r="L3260" s="2" t="s">
        <v>112</v>
      </c>
      <c r="M3260" s="2" t="s">
        <v>40</v>
      </c>
      <c r="O3260" s="2" t="s">
        <v>2606</v>
      </c>
      <c r="P3260" s="2" t="s">
        <v>187</v>
      </c>
      <c r="Q3260" s="2" t="s">
        <v>191</v>
      </c>
      <c r="R3260" s="2" t="s">
        <v>190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461"/>
        <v>0.5</v>
      </c>
      <c r="Z3260" s="2" t="s">
        <v>117</v>
      </c>
      <c r="AA3260" s="2" t="s">
        <v>190</v>
      </c>
      <c r="AB3260" s="2" t="s">
        <v>190</v>
      </c>
      <c r="AC3260" s="2" t="s">
        <v>40</v>
      </c>
      <c r="AF3260" s="2">
        <f t="shared" si="459"/>
        <v>0</v>
      </c>
      <c r="AG3260" s="2">
        <f t="shared" si="464"/>
        <v>68.75</v>
      </c>
      <c r="AJ3260" s="2">
        <f t="shared" si="460"/>
        <v>0</v>
      </c>
      <c r="AK3260" s="2">
        <f t="shared" si="462"/>
        <v>68.75</v>
      </c>
      <c r="AL3260" s="5">
        <f t="shared" si="463"/>
        <v>0.5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188</v>
      </c>
      <c r="R3261" s="2" t="s">
        <v>189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461"/>
        <v>0.6</v>
      </c>
      <c r="Z3261" s="2" t="s">
        <v>117</v>
      </c>
      <c r="AA3261" s="2" t="s">
        <v>190</v>
      </c>
      <c r="AB3261" s="2" t="s">
        <v>189</v>
      </c>
      <c r="AC3261" s="2" t="s">
        <v>40</v>
      </c>
      <c r="AF3261" s="2">
        <f t="shared" si="459"/>
        <v>0</v>
      </c>
      <c r="AG3261" s="2">
        <f t="shared" si="464"/>
        <v>23.200000000000003</v>
      </c>
      <c r="AJ3261" s="2">
        <f t="shared" si="460"/>
        <v>0</v>
      </c>
      <c r="AK3261" s="2">
        <f t="shared" si="462"/>
        <v>34.799999999999997</v>
      </c>
      <c r="AL3261" s="5">
        <f t="shared" si="463"/>
        <v>0.6</v>
      </c>
    </row>
    <row r="3262" spans="1:38" x14ac:dyDescent="0.2">
      <c r="A3262" s="2">
        <v>2026</v>
      </c>
      <c r="B3262" s="2">
        <v>4</v>
      </c>
      <c r="D3262" s="2" t="s">
        <v>2607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2608</v>
      </c>
      <c r="J3262" s="2" t="s">
        <v>2609</v>
      </c>
      <c r="K3262" s="2">
        <v>912183782</v>
      </c>
      <c r="L3262" s="2" t="s">
        <v>201</v>
      </c>
      <c r="M3262" s="2" t="s">
        <v>40</v>
      </c>
      <c r="O3262" s="2" t="s">
        <v>2610</v>
      </c>
      <c r="P3262" s="2" t="s">
        <v>187</v>
      </c>
      <c r="Q3262" s="2" t="s">
        <v>191</v>
      </c>
      <c r="R3262" s="2" t="s">
        <v>190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117</v>
      </c>
      <c r="AA3262" s="2" t="s">
        <v>190</v>
      </c>
      <c r="AB3262" s="2" t="s">
        <v>190</v>
      </c>
      <c r="AC3262" s="2" t="s">
        <v>40</v>
      </c>
      <c r="AF3262" s="2">
        <f t="shared" si="459"/>
        <v>0</v>
      </c>
      <c r="AG3262" s="2">
        <f t="shared" si="464"/>
        <v>0</v>
      </c>
      <c r="AJ3262" s="2">
        <f t="shared" si="460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C3263" s="2" t="s">
        <v>3450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188</v>
      </c>
      <c r="R3263" s="2" t="s">
        <v>189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465">(T3263-W3263)/T3263</f>
        <v>0.6</v>
      </c>
      <c r="Z3263" s="2" t="s">
        <v>117</v>
      </c>
      <c r="AA3263" s="2" t="s">
        <v>190</v>
      </c>
      <c r="AB3263" s="2" t="s">
        <v>189</v>
      </c>
      <c r="AC3263" s="2" t="s">
        <v>40</v>
      </c>
      <c r="AF3263" s="2">
        <f t="shared" si="459"/>
        <v>0</v>
      </c>
      <c r="AG3263" s="2">
        <f t="shared" si="464"/>
        <v>174</v>
      </c>
      <c r="AJ3263" s="2">
        <f t="shared" si="460"/>
        <v>0</v>
      </c>
      <c r="AK3263" s="2">
        <f>T3263-W3263</f>
        <v>261</v>
      </c>
      <c r="AL3263" s="5">
        <f>(T3263-W3263)/T3263</f>
        <v>0.6</v>
      </c>
    </row>
    <row r="3264" spans="1:38" x14ac:dyDescent="0.2">
      <c r="A3264" s="2">
        <v>2026</v>
      </c>
      <c r="B3264" s="2">
        <v>4</v>
      </c>
      <c r="C3264" s="2" t="s">
        <v>3450</v>
      </c>
      <c r="D3264" s="2" t="s">
        <v>451</v>
      </c>
      <c r="E3264" s="2" t="s">
        <v>108</v>
      </c>
      <c r="F3264" s="2" t="s">
        <v>39</v>
      </c>
      <c r="G3264" s="2">
        <v>506085686</v>
      </c>
      <c r="H3264" s="2" t="s">
        <v>40</v>
      </c>
      <c r="I3264" s="2" t="s">
        <v>452</v>
      </c>
      <c r="J3264" s="2" t="s">
        <v>453</v>
      </c>
      <c r="K3264" s="2">
        <v>917241919</v>
      </c>
      <c r="L3264" s="2" t="s">
        <v>398</v>
      </c>
      <c r="M3264" s="2" t="s">
        <v>40</v>
      </c>
      <c r="P3264" s="2" t="s">
        <v>187</v>
      </c>
      <c r="Q3264" s="2" t="s">
        <v>191</v>
      </c>
      <c r="R3264" s="2" t="s">
        <v>190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465"/>
        <v>0.5</v>
      </c>
      <c r="Z3264" s="2" t="s">
        <v>117</v>
      </c>
      <c r="AA3264" s="2" t="s">
        <v>190</v>
      </c>
      <c r="AB3264" s="2" t="s">
        <v>190</v>
      </c>
      <c r="AC3264" s="2" t="s">
        <v>40</v>
      </c>
      <c r="AF3264" s="2">
        <f t="shared" si="459"/>
        <v>0</v>
      </c>
      <c r="AG3264" s="2">
        <f t="shared" si="464"/>
        <v>261.25</v>
      </c>
      <c r="AJ3264" s="2">
        <f t="shared" si="460"/>
        <v>0</v>
      </c>
      <c r="AK3264" s="2">
        <f>T3264-W3264</f>
        <v>261.25</v>
      </c>
      <c r="AL3264" s="5">
        <f>(T3264-W3264)/T3264</f>
        <v>0.5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188</v>
      </c>
      <c r="R3265" s="2" t="s">
        <v>189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465"/>
        <v>0.6</v>
      </c>
      <c r="Z3265" s="2" t="s">
        <v>117</v>
      </c>
      <c r="AA3265" s="2" t="s">
        <v>190</v>
      </c>
      <c r="AB3265" s="2" t="s">
        <v>189</v>
      </c>
      <c r="AC3265" s="2" t="s">
        <v>40</v>
      </c>
      <c r="AF3265" s="2">
        <f t="shared" si="459"/>
        <v>0</v>
      </c>
      <c r="AG3265" s="2">
        <f t="shared" si="464"/>
        <v>41.2</v>
      </c>
      <c r="AJ3265" s="2">
        <f t="shared" si="460"/>
        <v>0</v>
      </c>
      <c r="AK3265" s="2">
        <f>T3265-W3265</f>
        <v>61.8</v>
      </c>
      <c r="AL3265" s="5">
        <f>(T3265-W3265)/T3265</f>
        <v>0.6</v>
      </c>
    </row>
    <row r="3266" spans="1:38" x14ac:dyDescent="0.2">
      <c r="A3266" s="2">
        <v>2026</v>
      </c>
      <c r="B3266" s="2">
        <v>3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191</v>
      </c>
      <c r="R3266" s="2" t="s">
        <v>190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465"/>
        <v>0.5</v>
      </c>
      <c r="Z3266" s="2" t="s">
        <v>117</v>
      </c>
      <c r="AA3266" s="2" t="s">
        <v>190</v>
      </c>
      <c r="AB3266" s="2" t="s">
        <v>190</v>
      </c>
      <c r="AC3266" s="2" t="s">
        <v>40</v>
      </c>
      <c r="AF3266" s="2">
        <f t="shared" ref="AF3266:AF3329" si="466">AJ3266</f>
        <v>0</v>
      </c>
      <c r="AG3266" s="2">
        <f t="shared" si="464"/>
        <v>20.625</v>
      </c>
      <c r="AJ3266" s="2">
        <f t="shared" ref="AJ3266:AJ3329" si="467">AI3266*T3266</f>
        <v>0</v>
      </c>
      <c r="AK3266" s="2">
        <f>T3266-W3266</f>
        <v>20.625</v>
      </c>
      <c r="AL3266" s="5">
        <f>(T3266-W3266)/T3266</f>
        <v>0.5</v>
      </c>
    </row>
    <row r="3267" spans="1:38" x14ac:dyDescent="0.2">
      <c r="A3267" s="2">
        <v>2026</v>
      </c>
      <c r="B3267" s="2">
        <v>4</v>
      </c>
      <c r="D3267" s="2" t="s">
        <v>822</v>
      </c>
      <c r="E3267" s="2" t="s">
        <v>38</v>
      </c>
      <c r="F3267" s="2" t="s">
        <v>39</v>
      </c>
      <c r="G3267" s="2">
        <v>513812342</v>
      </c>
      <c r="H3267" s="2" t="s">
        <v>41</v>
      </c>
      <c r="I3267" s="2" t="s">
        <v>825</v>
      </c>
      <c r="J3267" s="2" t="s">
        <v>826</v>
      </c>
      <c r="L3267" s="2" t="s">
        <v>418</v>
      </c>
      <c r="M3267" s="2" t="s">
        <v>40</v>
      </c>
      <c r="P3267" s="2" t="s">
        <v>187</v>
      </c>
      <c r="Q3267" s="2" t="s">
        <v>188</v>
      </c>
      <c r="R3267" s="2" t="s">
        <v>189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465"/>
        <v>0.60000000000000009</v>
      </c>
      <c r="Z3267" s="2" t="s">
        <v>117</v>
      </c>
      <c r="AA3267" s="2" t="s">
        <v>190</v>
      </c>
      <c r="AB3267" s="2" t="s">
        <v>189</v>
      </c>
      <c r="AC3267" s="2" t="s">
        <v>40</v>
      </c>
      <c r="AF3267" s="2">
        <f t="shared" si="466"/>
        <v>0</v>
      </c>
      <c r="AG3267" s="2">
        <f t="shared" si="464"/>
        <v>49.6</v>
      </c>
      <c r="AJ3267" s="2">
        <f t="shared" si="467"/>
        <v>0</v>
      </c>
      <c r="AK3267" s="2">
        <f>T3267-W3267</f>
        <v>74.400000000000006</v>
      </c>
      <c r="AL3267" s="5">
        <f>(T3267-W3267)/T3267</f>
        <v>0.60000000000000009</v>
      </c>
    </row>
    <row r="3268" spans="1:38" x14ac:dyDescent="0.2">
      <c r="A3268" s="2">
        <v>2026</v>
      </c>
      <c r="B3268" s="2">
        <v>2</v>
      </c>
      <c r="C3268" s="2" t="s">
        <v>3320</v>
      </c>
      <c r="D3268" s="2" t="s">
        <v>1162</v>
      </c>
      <c r="E3268" s="2" t="s">
        <v>752</v>
      </c>
      <c r="F3268" s="2" t="s">
        <v>1217</v>
      </c>
      <c r="G3268" s="2">
        <v>508199280</v>
      </c>
      <c r="H3268" s="2" t="s">
        <v>40</v>
      </c>
      <c r="I3268" s="2" t="s">
        <v>1163</v>
      </c>
      <c r="L3268" s="2" t="s">
        <v>293</v>
      </c>
      <c r="M3268" s="2" t="s">
        <v>80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465"/>
        <v>-0.53333333333333333</v>
      </c>
      <c r="Z3268" s="2" t="s">
        <v>169</v>
      </c>
      <c r="AA3268" s="2" t="s">
        <v>169</v>
      </c>
      <c r="AF3268" s="2">
        <f t="shared" si="466"/>
        <v>0</v>
      </c>
      <c r="AJ3268" s="2">
        <f t="shared" si="467"/>
        <v>0</v>
      </c>
    </row>
    <row r="3269" spans="1:38" x14ac:dyDescent="0.2">
      <c r="A3269" s="2">
        <v>2026</v>
      </c>
      <c r="B3269" s="2">
        <v>2</v>
      </c>
      <c r="D3269" s="2" t="s">
        <v>2510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465"/>
        <v>0.08</v>
      </c>
      <c r="Z3269" s="2" t="s">
        <v>169</v>
      </c>
      <c r="AA3269" s="2" t="s">
        <v>169</v>
      </c>
      <c r="AF3269" s="2">
        <f t="shared" si="466"/>
        <v>0</v>
      </c>
      <c r="AJ3269" s="2">
        <f t="shared" si="467"/>
        <v>0</v>
      </c>
      <c r="AK3269" s="2">
        <f t="shared" ref="AK3269:AK3275" si="468">T3269-W3269</f>
        <v>4</v>
      </c>
      <c r="AL3269" s="5">
        <f t="shared" ref="AL3269:AL3275" si="469">(T3269-W3269)/T3269</f>
        <v>0.08</v>
      </c>
    </row>
    <row r="3270" spans="1:38" x14ac:dyDescent="0.2">
      <c r="A3270" s="2">
        <v>2026</v>
      </c>
      <c r="B3270" s="2">
        <v>2</v>
      </c>
      <c r="D3270" s="2" t="s">
        <v>2578</v>
      </c>
      <c r="E3270" s="2" t="s">
        <v>183</v>
      </c>
      <c r="F3270" s="2" t="s">
        <v>2579</v>
      </c>
      <c r="G3270" s="2">
        <v>515259144</v>
      </c>
      <c r="H3270" s="2" t="s">
        <v>80</v>
      </c>
      <c r="I3270" s="2" t="s">
        <v>156</v>
      </c>
      <c r="J3270" s="2" t="s">
        <v>2580</v>
      </c>
      <c r="K3270" s="2">
        <v>968626165</v>
      </c>
      <c r="L3270" s="2" t="s">
        <v>99</v>
      </c>
      <c r="M3270" s="2" t="s">
        <v>80</v>
      </c>
      <c r="O3270" s="2" t="s">
        <v>2611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100</v>
      </c>
      <c r="U3270" s="2">
        <v>23</v>
      </c>
      <c r="V3270" s="2">
        <v>123</v>
      </c>
      <c r="W3270" s="2">
        <v>90</v>
      </c>
      <c r="X3270" s="5">
        <f t="shared" si="465"/>
        <v>0.1</v>
      </c>
      <c r="Z3270" s="2" t="s">
        <v>169</v>
      </c>
      <c r="AA3270" s="2" t="s">
        <v>169</v>
      </c>
      <c r="AF3270" s="2">
        <f t="shared" si="466"/>
        <v>0</v>
      </c>
      <c r="AJ3270" s="2">
        <f t="shared" si="467"/>
        <v>0</v>
      </c>
      <c r="AK3270" s="2">
        <f t="shared" si="468"/>
        <v>10</v>
      </c>
      <c r="AL3270" s="5">
        <f t="shared" si="469"/>
        <v>0.1</v>
      </c>
    </row>
    <row r="3271" spans="1:38" x14ac:dyDescent="0.2">
      <c r="A3271" s="2">
        <v>2026</v>
      </c>
      <c r="B3271" s="2">
        <v>2</v>
      </c>
      <c r="D3271" s="2" t="s">
        <v>1021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1554</v>
      </c>
      <c r="J3271" s="2" t="s">
        <v>2525</v>
      </c>
      <c r="L3271" s="2" t="s">
        <v>177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465"/>
        <v>0.25</v>
      </c>
      <c r="Z3271" s="2" t="s">
        <v>169</v>
      </c>
      <c r="AA3271" s="2" t="s">
        <v>169</v>
      </c>
      <c r="AF3271" s="2">
        <f t="shared" si="466"/>
        <v>0</v>
      </c>
      <c r="AJ3271" s="2">
        <f t="shared" si="467"/>
        <v>0</v>
      </c>
      <c r="AK3271" s="2">
        <f t="shared" si="468"/>
        <v>2</v>
      </c>
      <c r="AL3271" s="5">
        <f t="shared" si="469"/>
        <v>0.25</v>
      </c>
    </row>
    <row r="3272" spans="1:38" x14ac:dyDescent="0.2">
      <c r="A3272" s="2">
        <v>2026</v>
      </c>
      <c r="B3272" s="2">
        <v>2</v>
      </c>
      <c r="D3272" s="2" t="s">
        <v>2536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465"/>
        <v>0.25</v>
      </c>
      <c r="Z3272" s="2" t="s">
        <v>169</v>
      </c>
      <c r="AA3272" s="2" t="s">
        <v>169</v>
      </c>
      <c r="AF3272" s="2">
        <f t="shared" si="466"/>
        <v>0</v>
      </c>
      <c r="AJ3272" s="2">
        <f t="shared" si="467"/>
        <v>0</v>
      </c>
      <c r="AK3272" s="2">
        <f t="shared" si="468"/>
        <v>2</v>
      </c>
      <c r="AL3272" s="5">
        <f t="shared" si="469"/>
        <v>0.25</v>
      </c>
    </row>
    <row r="3273" spans="1:38" x14ac:dyDescent="0.2">
      <c r="A3273" s="2">
        <v>2026</v>
      </c>
      <c r="B3273" s="2">
        <v>2</v>
      </c>
      <c r="D3273" s="2" t="s">
        <v>1397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3216</v>
      </c>
      <c r="J3273" s="2" t="s">
        <v>3215</v>
      </c>
      <c r="K3273" s="2">
        <v>913814877</v>
      </c>
      <c r="L3273" s="2" t="s">
        <v>201</v>
      </c>
      <c r="M3273" s="2" t="s">
        <v>80</v>
      </c>
      <c r="O3273" s="2" t="s">
        <v>3212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8</v>
      </c>
      <c r="U3273" s="2">
        <v>1.84</v>
      </c>
      <c r="V3273" s="2">
        <v>9.84</v>
      </c>
      <c r="W3273" s="2">
        <v>6</v>
      </c>
      <c r="X3273" s="5">
        <f t="shared" si="465"/>
        <v>0.25</v>
      </c>
      <c r="Z3273" s="2" t="s">
        <v>169</v>
      </c>
      <c r="AA3273" s="2" t="s">
        <v>169</v>
      </c>
      <c r="AF3273" s="2">
        <f t="shared" si="466"/>
        <v>0</v>
      </c>
      <c r="AJ3273" s="2">
        <f t="shared" si="467"/>
        <v>0</v>
      </c>
      <c r="AK3273" s="2">
        <f t="shared" si="468"/>
        <v>2</v>
      </c>
      <c r="AL3273" s="5">
        <f t="shared" si="469"/>
        <v>0.25</v>
      </c>
    </row>
    <row r="3274" spans="1:38" x14ac:dyDescent="0.2">
      <c r="A3274" s="2">
        <v>2026</v>
      </c>
      <c r="B3274" s="2">
        <v>2</v>
      </c>
      <c r="D3274" s="2" t="s">
        <v>617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618</v>
      </c>
      <c r="J3274" s="2" t="s">
        <v>619</v>
      </c>
      <c r="L3274" s="2" t="s">
        <v>418</v>
      </c>
      <c r="M3274" s="2" t="s">
        <v>41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465"/>
        <v>-0.2</v>
      </c>
      <c r="Z3274" s="2" t="s">
        <v>169</v>
      </c>
      <c r="AA3274" s="2" t="s">
        <v>169</v>
      </c>
      <c r="AF3274" s="2">
        <f t="shared" si="466"/>
        <v>0</v>
      </c>
      <c r="AJ3274" s="2">
        <f t="shared" si="467"/>
        <v>0</v>
      </c>
      <c r="AK3274" s="2">
        <f t="shared" si="468"/>
        <v>-1</v>
      </c>
      <c r="AL3274" s="5">
        <f t="shared" si="469"/>
        <v>-0.2</v>
      </c>
    </row>
    <row r="3275" spans="1:38" x14ac:dyDescent="0.2">
      <c r="A3275" s="2">
        <v>2026</v>
      </c>
      <c r="B3275" s="2">
        <v>2</v>
      </c>
      <c r="D3275" s="2" t="s">
        <v>643</v>
      </c>
      <c r="E3275" s="2" t="s">
        <v>108</v>
      </c>
      <c r="F3275" s="2" t="s">
        <v>477</v>
      </c>
      <c r="G3275" s="2">
        <v>509056946</v>
      </c>
      <c r="H3275" s="2" t="s">
        <v>109</v>
      </c>
      <c r="I3275" s="2" t="s">
        <v>644</v>
      </c>
      <c r="J3275" s="2" t="s">
        <v>645</v>
      </c>
      <c r="K3275" s="2">
        <v>964495536</v>
      </c>
      <c r="L3275" s="2" t="s">
        <v>112</v>
      </c>
      <c r="M3275" s="2" t="s">
        <v>109</v>
      </c>
      <c r="O3275" s="2" t="s">
        <v>2586</v>
      </c>
      <c r="P3275" s="2" t="s">
        <v>169</v>
      </c>
      <c r="Q3275" s="2" t="s">
        <v>170</v>
      </c>
      <c r="R3275" s="2" t="s">
        <v>170</v>
      </c>
      <c r="S3275" s="2">
        <v>1</v>
      </c>
      <c r="T3275" s="2">
        <v>5</v>
      </c>
      <c r="U3275" s="2">
        <v>1.1499999999999999</v>
      </c>
      <c r="V3275" s="2">
        <v>6.15</v>
      </c>
      <c r="W3275" s="2">
        <v>6</v>
      </c>
      <c r="X3275" s="5">
        <f t="shared" si="465"/>
        <v>-0.2</v>
      </c>
      <c r="Z3275" s="2" t="s">
        <v>169</v>
      </c>
      <c r="AA3275" s="2" t="s">
        <v>169</v>
      </c>
      <c r="AF3275" s="2">
        <f t="shared" si="466"/>
        <v>0</v>
      </c>
      <c r="AJ3275" s="2">
        <f t="shared" si="467"/>
        <v>0</v>
      </c>
      <c r="AK3275" s="2">
        <f t="shared" si="468"/>
        <v>-1</v>
      </c>
      <c r="AL3275" s="5">
        <f t="shared" si="469"/>
        <v>-0.2</v>
      </c>
    </row>
    <row r="3276" spans="1:38" x14ac:dyDescent="0.2">
      <c r="A3276" s="2">
        <v>2026</v>
      </c>
      <c r="B3276" s="2">
        <v>2</v>
      </c>
      <c r="D3276" s="2" t="s">
        <v>530</v>
      </c>
      <c r="E3276" s="2" t="s">
        <v>108</v>
      </c>
      <c r="F3276" s="2" t="s">
        <v>531</v>
      </c>
      <c r="G3276" s="2">
        <v>502139552</v>
      </c>
      <c r="H3276" s="2" t="s">
        <v>40</v>
      </c>
      <c r="I3276" s="2" t="s">
        <v>339</v>
      </c>
      <c r="J3276" s="2" t="s">
        <v>532</v>
      </c>
      <c r="L3276" s="2" t="s">
        <v>339</v>
      </c>
      <c r="M3276" s="2" t="s">
        <v>40</v>
      </c>
      <c r="P3276" s="2" t="s">
        <v>40</v>
      </c>
      <c r="Q3276" s="2" t="s">
        <v>140</v>
      </c>
      <c r="R3276" s="2" t="s">
        <v>141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119</v>
      </c>
      <c r="AA3276" s="2" t="s">
        <v>142</v>
      </c>
      <c r="AF3276" s="2">
        <f t="shared" si="466"/>
        <v>0</v>
      </c>
      <c r="AJ3276" s="2">
        <f t="shared" si="467"/>
        <v>0</v>
      </c>
    </row>
    <row r="3277" spans="1:38" x14ac:dyDescent="0.2">
      <c r="A3277" s="2">
        <v>2026</v>
      </c>
      <c r="B3277" s="2">
        <v>2</v>
      </c>
      <c r="D3277" s="2" t="s">
        <v>2153</v>
      </c>
      <c r="M3277" s="2" t="s">
        <v>40</v>
      </c>
      <c r="P3277" s="2" t="s">
        <v>187</v>
      </c>
      <c r="Q3277" s="2" t="s">
        <v>1308</v>
      </c>
      <c r="R3277" s="2" t="s">
        <v>1309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470">(T3277-W3277)/T3277</f>
        <v>1</v>
      </c>
      <c r="Z3277" s="2" t="s">
        <v>117</v>
      </c>
      <c r="AA3277" s="2" t="s">
        <v>1310</v>
      </c>
      <c r="AF3277" s="2">
        <f t="shared" si="466"/>
        <v>0</v>
      </c>
      <c r="AJ3277" s="2">
        <f t="shared" si="467"/>
        <v>0</v>
      </c>
      <c r="AK3277" s="2">
        <f t="shared" ref="AK3277:AK3316" si="471">T3277-W3277</f>
        <v>477.28</v>
      </c>
      <c r="AL3277" s="5">
        <f t="shared" ref="AL3277:AL3316" si="472">(T3277-W3277)/T3277</f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80</v>
      </c>
      <c r="O3278" s="2" t="s">
        <v>2612</v>
      </c>
      <c r="P3278" s="2" t="s">
        <v>93</v>
      </c>
      <c r="Q3278" s="2" t="s">
        <v>94</v>
      </c>
      <c r="R3278" s="2" t="s">
        <v>95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470"/>
        <v>2.000401846171453E-16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466"/>
        <v>0</v>
      </c>
      <c r="AJ3278" s="2">
        <f t="shared" si="467"/>
        <v>0</v>
      </c>
      <c r="AK3278" s="2">
        <f t="shared" si="471"/>
        <v>0</v>
      </c>
      <c r="AL3278" s="5">
        <f t="shared" si="472"/>
        <v>2.000401846171453E-16</v>
      </c>
    </row>
    <row r="3279" spans="1:38" x14ac:dyDescent="0.2">
      <c r="A3279" s="2">
        <v>2026</v>
      </c>
      <c r="B3279" s="2">
        <v>2</v>
      </c>
      <c r="D3279" s="2" t="s">
        <v>2537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470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466"/>
        <v>0</v>
      </c>
      <c r="AJ3279" s="2">
        <f t="shared" si="467"/>
        <v>0</v>
      </c>
      <c r="AK3279" s="2">
        <f t="shared" si="471"/>
        <v>0</v>
      </c>
      <c r="AL3279" s="5">
        <f t="shared" si="472"/>
        <v>0</v>
      </c>
    </row>
    <row r="3280" spans="1:38" x14ac:dyDescent="0.2">
      <c r="A3280" s="2">
        <v>2026</v>
      </c>
      <c r="B3280" s="2">
        <v>2</v>
      </c>
      <c r="C3280" s="2" t="s">
        <v>3320</v>
      </c>
      <c r="D3280" s="2" t="s">
        <v>1162</v>
      </c>
      <c r="E3280" s="2" t="s">
        <v>752</v>
      </c>
      <c r="F3280" s="2" t="s">
        <v>1217</v>
      </c>
      <c r="G3280" s="2">
        <v>508199280</v>
      </c>
      <c r="H3280" s="2" t="s">
        <v>40</v>
      </c>
      <c r="I3280" s="2" t="s">
        <v>1163</v>
      </c>
      <c r="L3280" s="2" t="s">
        <v>293</v>
      </c>
      <c r="M3280" s="2" t="s">
        <v>80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470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466"/>
        <v>0</v>
      </c>
      <c r="AJ3280" s="2">
        <f t="shared" si="467"/>
        <v>0</v>
      </c>
      <c r="AK3280" s="2">
        <f t="shared" si="471"/>
        <v>0</v>
      </c>
      <c r="AL3280" s="5">
        <f t="shared" si="472"/>
        <v>0</v>
      </c>
    </row>
    <row r="3281" spans="1:38" x14ac:dyDescent="0.2">
      <c r="A3281" s="2">
        <v>2026</v>
      </c>
      <c r="B3281" s="2">
        <v>2</v>
      </c>
      <c r="C3281" s="2" t="s">
        <v>3299</v>
      </c>
      <c r="D3281" s="2" t="s">
        <v>2575</v>
      </c>
      <c r="E3281" s="2" t="s">
        <v>108</v>
      </c>
      <c r="F3281" s="2" t="s">
        <v>477</v>
      </c>
      <c r="L3281" s="2" t="s">
        <v>461</v>
      </c>
      <c r="M3281" s="2" t="s">
        <v>109</v>
      </c>
      <c r="P3281" s="2" t="s">
        <v>93</v>
      </c>
      <c r="Q3281" s="2" t="s">
        <v>94</v>
      </c>
      <c r="R3281" s="2" t="s">
        <v>95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470"/>
        <v>0</v>
      </c>
      <c r="Z3281" s="2" t="s">
        <v>3226</v>
      </c>
      <c r="AA3281" s="2" t="s">
        <v>96</v>
      </c>
      <c r="AB3281" s="2" t="s">
        <v>76</v>
      </c>
      <c r="AC3281" s="2" t="s">
        <v>93</v>
      </c>
      <c r="AF3281" s="2">
        <f t="shared" si="466"/>
        <v>0</v>
      </c>
      <c r="AJ3281" s="2">
        <f t="shared" si="467"/>
        <v>0</v>
      </c>
      <c r="AK3281" s="2">
        <f t="shared" si="471"/>
        <v>0</v>
      </c>
      <c r="AL3281" s="5">
        <f t="shared" si="472"/>
        <v>0</v>
      </c>
    </row>
    <row r="3282" spans="1:38" x14ac:dyDescent="0.2">
      <c r="A3282" s="2">
        <v>2026</v>
      </c>
      <c r="B3282" s="2">
        <v>4</v>
      </c>
      <c r="D3282" s="2" t="s">
        <v>689</v>
      </c>
      <c r="E3282" s="2" t="s">
        <v>108</v>
      </c>
      <c r="F3282" s="2" t="s">
        <v>39</v>
      </c>
      <c r="G3282" s="2">
        <v>503589950</v>
      </c>
      <c r="H3282" s="2" t="s">
        <v>41</v>
      </c>
      <c r="I3282" s="2" t="s">
        <v>610</v>
      </c>
      <c r="J3282" s="2" t="s">
        <v>690</v>
      </c>
      <c r="K3282" s="2">
        <v>913036545</v>
      </c>
      <c r="L3282" s="2" t="s">
        <v>177</v>
      </c>
      <c r="M3282" s="2" t="s">
        <v>41</v>
      </c>
      <c r="O3282" s="2" t="s">
        <v>2613</v>
      </c>
      <c r="P3282" s="2" t="s">
        <v>43</v>
      </c>
      <c r="Q3282" s="2" t="s">
        <v>158</v>
      </c>
      <c r="R3282" s="2" t="s">
        <v>159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470"/>
        <v>0.55714285714285716</v>
      </c>
      <c r="Z3282" s="2" t="s">
        <v>3226</v>
      </c>
      <c r="AA3282" s="2" t="s">
        <v>46</v>
      </c>
      <c r="AB3282" s="2" t="s">
        <v>47</v>
      </c>
      <c r="AC3282" s="2" t="s">
        <v>57</v>
      </c>
      <c r="AF3282" s="2">
        <f t="shared" si="466"/>
        <v>0</v>
      </c>
      <c r="AG3282" s="2">
        <v>9.3000000000000007</v>
      </c>
      <c r="AH3282" s="2">
        <v>21</v>
      </c>
      <c r="AJ3282" s="2">
        <f t="shared" si="467"/>
        <v>0</v>
      </c>
      <c r="AK3282" s="2">
        <f t="shared" si="471"/>
        <v>23.4</v>
      </c>
      <c r="AL3282" s="5">
        <f t="shared" si="472"/>
        <v>0.55714285714285716</v>
      </c>
    </row>
    <row r="3283" spans="1:38" x14ac:dyDescent="0.2">
      <c r="A3283" s="2">
        <v>2026</v>
      </c>
      <c r="B3283" s="2">
        <v>2</v>
      </c>
      <c r="D3283" s="2" t="s">
        <v>981</v>
      </c>
      <c r="E3283" s="2" t="s">
        <v>108</v>
      </c>
      <c r="F3283" s="2" t="s">
        <v>717</v>
      </c>
      <c r="G3283" s="2">
        <v>500594309</v>
      </c>
      <c r="H3283" s="2" t="s">
        <v>290</v>
      </c>
      <c r="I3283" s="2" t="s">
        <v>982</v>
      </c>
      <c r="J3283" s="2" t="s">
        <v>983</v>
      </c>
      <c r="L3283" s="2" t="s">
        <v>293</v>
      </c>
      <c r="M3283" s="2" t="s">
        <v>80</v>
      </c>
      <c r="O3283" s="2" t="s">
        <v>2571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470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466"/>
        <v>0</v>
      </c>
      <c r="AG3283" s="2">
        <v>1.48</v>
      </c>
      <c r="AH3283" s="2">
        <v>1.48</v>
      </c>
      <c r="AJ3283" s="2">
        <f t="shared" si="467"/>
        <v>0</v>
      </c>
      <c r="AK3283" s="2">
        <f t="shared" si="471"/>
        <v>0</v>
      </c>
      <c r="AL3283" s="5">
        <f t="shared" si="472"/>
        <v>0</v>
      </c>
    </row>
    <row r="3284" spans="1:38" x14ac:dyDescent="0.2">
      <c r="A3284" s="2">
        <v>2026</v>
      </c>
      <c r="B3284" s="2">
        <v>2</v>
      </c>
      <c r="D3284" s="2" t="s">
        <v>2557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470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466"/>
        <v>0</v>
      </c>
      <c r="AJ3284" s="2">
        <f t="shared" si="467"/>
        <v>0</v>
      </c>
      <c r="AK3284" s="2">
        <f t="shared" si="471"/>
        <v>0</v>
      </c>
      <c r="AL3284" s="5">
        <f t="shared" si="472"/>
        <v>0</v>
      </c>
    </row>
    <row r="3285" spans="1:38" x14ac:dyDescent="0.2">
      <c r="A3285" s="2">
        <v>2026</v>
      </c>
      <c r="B3285" s="2">
        <v>2</v>
      </c>
      <c r="D3285" s="2" t="s">
        <v>749</v>
      </c>
      <c r="E3285" s="2" t="s">
        <v>108</v>
      </c>
      <c r="F3285" s="2" t="s">
        <v>39</v>
      </c>
      <c r="G3285" s="2">
        <v>510039537</v>
      </c>
      <c r="H3285" s="2" t="s">
        <v>40</v>
      </c>
      <c r="I3285" s="2" t="s">
        <v>571</v>
      </c>
      <c r="J3285" s="2" t="s">
        <v>750</v>
      </c>
      <c r="K3285" s="2">
        <v>969042927</v>
      </c>
      <c r="L3285" s="2" t="s">
        <v>571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470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466"/>
        <v>0</v>
      </c>
      <c r="AJ3285" s="2">
        <f t="shared" si="467"/>
        <v>0</v>
      </c>
      <c r="AK3285" s="2">
        <f t="shared" si="471"/>
        <v>0</v>
      </c>
      <c r="AL3285" s="5">
        <f t="shared" si="472"/>
        <v>0</v>
      </c>
    </row>
    <row r="3286" spans="1:38" x14ac:dyDescent="0.2">
      <c r="A3286" s="2">
        <v>2026</v>
      </c>
      <c r="B3286" s="2">
        <v>2</v>
      </c>
      <c r="D3286" s="2" t="s">
        <v>1994</v>
      </c>
      <c r="M3286" s="2" t="s">
        <v>80</v>
      </c>
      <c r="P3286" s="2" t="s">
        <v>93</v>
      </c>
      <c r="Q3286" s="2" t="s">
        <v>94</v>
      </c>
      <c r="R3286" s="2" t="s">
        <v>95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470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466"/>
        <v>0</v>
      </c>
      <c r="AJ3286" s="2">
        <f t="shared" si="467"/>
        <v>0</v>
      </c>
      <c r="AK3286" s="2">
        <f t="shared" si="471"/>
        <v>0</v>
      </c>
      <c r="AL3286" s="5">
        <f t="shared" si="472"/>
        <v>0</v>
      </c>
    </row>
    <row r="3287" spans="1:38" x14ac:dyDescent="0.2">
      <c r="A3287" s="2">
        <v>2026</v>
      </c>
      <c r="B3287" s="2">
        <v>2</v>
      </c>
      <c r="D3287" s="2" t="s">
        <v>2578</v>
      </c>
      <c r="E3287" s="2" t="s">
        <v>183</v>
      </c>
      <c r="F3287" s="2" t="s">
        <v>2579</v>
      </c>
      <c r="G3287" s="2">
        <v>515259144</v>
      </c>
      <c r="H3287" s="2" t="s">
        <v>80</v>
      </c>
      <c r="I3287" s="2" t="s">
        <v>156</v>
      </c>
      <c r="J3287" s="2" t="s">
        <v>2580</v>
      </c>
      <c r="K3287" s="2">
        <v>968626165</v>
      </c>
      <c r="L3287" s="2" t="s">
        <v>99</v>
      </c>
      <c r="M3287" s="2" t="s">
        <v>80</v>
      </c>
      <c r="O3287" s="2" t="s">
        <v>2581</v>
      </c>
      <c r="P3287" s="2" t="s">
        <v>93</v>
      </c>
      <c r="Q3287" s="2" t="s">
        <v>94</v>
      </c>
      <c r="R3287" s="2" t="s">
        <v>95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470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466"/>
        <v>0</v>
      </c>
      <c r="AJ3287" s="2">
        <f t="shared" si="467"/>
        <v>0</v>
      </c>
      <c r="AK3287" s="2">
        <f t="shared" si="471"/>
        <v>0</v>
      </c>
      <c r="AL3287" s="5">
        <f t="shared" si="472"/>
        <v>0</v>
      </c>
    </row>
    <row r="3288" spans="1:38" x14ac:dyDescent="0.2">
      <c r="A3288" s="2">
        <v>2026</v>
      </c>
      <c r="B3288" s="2">
        <v>2</v>
      </c>
      <c r="D3288" s="2" t="s">
        <v>1553</v>
      </c>
      <c r="E3288" s="2" t="s">
        <v>108</v>
      </c>
      <c r="F3288" s="2" t="s">
        <v>717</v>
      </c>
      <c r="G3288" s="2">
        <v>500975914</v>
      </c>
      <c r="H3288" s="2" t="s">
        <v>41</v>
      </c>
      <c r="I3288" s="2" t="s">
        <v>1554</v>
      </c>
      <c r="J3288" s="2" t="s">
        <v>1555</v>
      </c>
      <c r="L3288" s="2" t="s">
        <v>177</v>
      </c>
      <c r="M3288" s="2" t="s">
        <v>41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470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466"/>
        <v>0</v>
      </c>
      <c r="AJ3288" s="2">
        <f t="shared" si="467"/>
        <v>0</v>
      </c>
      <c r="AK3288" s="2">
        <f t="shared" si="471"/>
        <v>0</v>
      </c>
      <c r="AL3288" s="5">
        <f t="shared" si="472"/>
        <v>0</v>
      </c>
    </row>
    <row r="3289" spans="1:38" x14ac:dyDescent="0.2">
      <c r="A3289" s="2">
        <v>2026</v>
      </c>
      <c r="B3289" s="2">
        <v>2</v>
      </c>
      <c r="D3289" s="2" t="s">
        <v>1376</v>
      </c>
      <c r="E3289" s="2" t="s">
        <v>183</v>
      </c>
      <c r="F3289" s="2" t="s">
        <v>366</v>
      </c>
      <c r="L3289" s="2" t="s">
        <v>571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470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466"/>
        <v>0</v>
      </c>
      <c r="AJ3289" s="2">
        <f t="shared" si="467"/>
        <v>0</v>
      </c>
      <c r="AK3289" s="2">
        <f t="shared" si="471"/>
        <v>0</v>
      </c>
      <c r="AL3289" s="5">
        <f t="shared" si="472"/>
        <v>0</v>
      </c>
    </row>
    <row r="3290" spans="1:38" x14ac:dyDescent="0.2">
      <c r="A3290" s="2">
        <v>2026</v>
      </c>
      <c r="B3290" s="2">
        <v>2</v>
      </c>
      <c r="D3290" s="2" t="s">
        <v>2567</v>
      </c>
      <c r="P3290" s="2" t="s">
        <v>93</v>
      </c>
      <c r="Q3290" s="2" t="s">
        <v>94</v>
      </c>
      <c r="R3290" s="2" t="s">
        <v>95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470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466"/>
        <v>0</v>
      </c>
      <c r="AJ3290" s="2">
        <f t="shared" si="467"/>
        <v>0</v>
      </c>
      <c r="AK3290" s="2">
        <f t="shared" si="471"/>
        <v>0</v>
      </c>
      <c r="AL3290" s="5">
        <f t="shared" si="472"/>
        <v>0</v>
      </c>
    </row>
    <row r="3291" spans="1:38" x14ac:dyDescent="0.2">
      <c r="A3291" s="2">
        <v>2026</v>
      </c>
      <c r="B3291" s="2">
        <v>2</v>
      </c>
      <c r="D3291" s="2" t="s">
        <v>846</v>
      </c>
      <c r="P3291" s="2" t="s">
        <v>93</v>
      </c>
      <c r="Q3291" s="2" t="s">
        <v>94</v>
      </c>
      <c r="R3291" s="2" t="s">
        <v>95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470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466"/>
        <v>0</v>
      </c>
      <c r="AJ3291" s="2">
        <f t="shared" si="467"/>
        <v>0</v>
      </c>
      <c r="AK3291" s="2">
        <f t="shared" si="471"/>
        <v>0</v>
      </c>
      <c r="AL3291" s="5">
        <f t="shared" si="472"/>
        <v>0</v>
      </c>
    </row>
    <row r="3292" spans="1:38" x14ac:dyDescent="0.2">
      <c r="A3292" s="2">
        <v>2026</v>
      </c>
      <c r="B3292" s="2">
        <v>2</v>
      </c>
      <c r="D3292" s="2" t="s">
        <v>1256</v>
      </c>
      <c r="P3292" s="2" t="s">
        <v>93</v>
      </c>
      <c r="Q3292" s="2" t="s">
        <v>94</v>
      </c>
      <c r="R3292" s="2" t="s">
        <v>95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470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466"/>
        <v>0</v>
      </c>
      <c r="AJ3292" s="2">
        <f t="shared" si="467"/>
        <v>0</v>
      </c>
      <c r="AK3292" s="2">
        <f t="shared" si="471"/>
        <v>0</v>
      </c>
      <c r="AL3292" s="5">
        <f t="shared" si="472"/>
        <v>0</v>
      </c>
    </row>
    <row r="3293" spans="1:38" x14ac:dyDescent="0.2">
      <c r="A3293" s="2">
        <v>2026</v>
      </c>
      <c r="B3293" s="2">
        <v>2</v>
      </c>
      <c r="D3293" s="2" t="s">
        <v>1053</v>
      </c>
      <c r="E3293" s="2" t="s">
        <v>183</v>
      </c>
      <c r="F3293" s="2" t="s">
        <v>1054</v>
      </c>
      <c r="G3293" s="2">
        <v>500199523</v>
      </c>
      <c r="H3293" s="2" t="s">
        <v>290</v>
      </c>
      <c r="I3293" s="2" t="s">
        <v>293</v>
      </c>
      <c r="J3293" s="2" t="s">
        <v>1055</v>
      </c>
      <c r="L3293" s="2" t="s">
        <v>293</v>
      </c>
      <c r="M3293" s="2" t="s">
        <v>80</v>
      </c>
      <c r="O3293" s="2" t="s">
        <v>2573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470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466"/>
        <v>0</v>
      </c>
      <c r="AJ3293" s="2">
        <f t="shared" si="467"/>
        <v>0</v>
      </c>
      <c r="AK3293" s="2">
        <f t="shared" si="471"/>
        <v>0</v>
      </c>
      <c r="AL3293" s="5">
        <f t="shared" si="472"/>
        <v>0</v>
      </c>
    </row>
    <row r="3294" spans="1:38" x14ac:dyDescent="0.2">
      <c r="A3294" s="2">
        <v>2026</v>
      </c>
      <c r="B3294" s="2">
        <v>2</v>
      </c>
      <c r="D3294" s="2" t="s">
        <v>1593</v>
      </c>
      <c r="E3294" s="2" t="s">
        <v>108</v>
      </c>
      <c r="F3294" s="2" t="s">
        <v>395</v>
      </c>
      <c r="G3294" s="2">
        <v>500314594</v>
      </c>
      <c r="H3294" s="2" t="s">
        <v>40</v>
      </c>
      <c r="I3294" s="2" t="s">
        <v>1594</v>
      </c>
      <c r="J3294" s="2" t="s">
        <v>1595</v>
      </c>
      <c r="L3294" s="2" t="s">
        <v>201</v>
      </c>
      <c r="M3294" s="2" t="s">
        <v>80</v>
      </c>
      <c r="O3294" s="2" t="s">
        <v>2560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470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466"/>
        <v>0</v>
      </c>
      <c r="AG3294" s="2">
        <v>1.48</v>
      </c>
      <c r="AH3294" s="2">
        <v>1.48</v>
      </c>
      <c r="AJ3294" s="2">
        <f t="shared" si="467"/>
        <v>0</v>
      </c>
      <c r="AK3294" s="2">
        <f t="shared" si="471"/>
        <v>0</v>
      </c>
      <c r="AL3294" s="5">
        <f t="shared" si="472"/>
        <v>0</v>
      </c>
    </row>
    <row r="3295" spans="1:38" x14ac:dyDescent="0.2">
      <c r="A3295" s="2">
        <v>2026</v>
      </c>
      <c r="B3295" s="2">
        <v>2</v>
      </c>
      <c r="D3295" s="2" t="s">
        <v>530</v>
      </c>
      <c r="E3295" s="2" t="s">
        <v>108</v>
      </c>
      <c r="F3295" s="2" t="s">
        <v>531</v>
      </c>
      <c r="G3295" s="2">
        <v>502139552</v>
      </c>
      <c r="H3295" s="2" t="s">
        <v>40</v>
      </c>
      <c r="I3295" s="2" t="s">
        <v>339</v>
      </c>
      <c r="J3295" s="2" t="s">
        <v>532</v>
      </c>
      <c r="L3295" s="2" t="s">
        <v>339</v>
      </c>
      <c r="M3295" s="2" t="s">
        <v>80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470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466"/>
        <v>0</v>
      </c>
      <c r="AJ3295" s="2">
        <f t="shared" si="467"/>
        <v>0</v>
      </c>
      <c r="AK3295" s="2">
        <f t="shared" si="471"/>
        <v>0</v>
      </c>
      <c r="AL3295" s="5">
        <f t="shared" si="472"/>
        <v>0</v>
      </c>
    </row>
    <row r="3296" spans="1:38" x14ac:dyDescent="0.2">
      <c r="A3296" s="2">
        <v>2026</v>
      </c>
      <c r="B3296" s="2">
        <v>2</v>
      </c>
      <c r="D3296" s="2" t="s">
        <v>549</v>
      </c>
      <c r="E3296" s="2" t="s">
        <v>108</v>
      </c>
      <c r="F3296" s="2" t="s">
        <v>395</v>
      </c>
      <c r="G3296" s="2">
        <v>503641790</v>
      </c>
      <c r="H3296" s="2" t="s">
        <v>40</v>
      </c>
      <c r="I3296" s="2" t="s">
        <v>550</v>
      </c>
      <c r="J3296" s="2" t="s">
        <v>551</v>
      </c>
      <c r="K3296" s="2">
        <v>917753665</v>
      </c>
      <c r="L3296" s="2" t="s">
        <v>99</v>
      </c>
      <c r="M3296" s="2" t="s">
        <v>80</v>
      </c>
      <c r="O3296" s="2" t="s">
        <v>2558</v>
      </c>
      <c r="P3296" s="2" t="s">
        <v>93</v>
      </c>
      <c r="Q3296" s="2" t="s">
        <v>94</v>
      </c>
      <c r="R3296" s="2" t="s">
        <v>95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470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466"/>
        <v>0</v>
      </c>
      <c r="AG3296" s="2">
        <v>1.48</v>
      </c>
      <c r="AH3296" s="2">
        <v>1.48</v>
      </c>
      <c r="AJ3296" s="2">
        <f t="shared" si="467"/>
        <v>0</v>
      </c>
      <c r="AK3296" s="2">
        <f t="shared" si="471"/>
        <v>0</v>
      </c>
      <c r="AL3296" s="5">
        <f t="shared" si="472"/>
        <v>0</v>
      </c>
    </row>
    <row r="3297" spans="1:38" x14ac:dyDescent="0.2">
      <c r="A3297" s="2">
        <v>2026</v>
      </c>
      <c r="B3297" s="2">
        <v>2</v>
      </c>
      <c r="D3297" s="2" t="s">
        <v>2559</v>
      </c>
      <c r="M3297" s="2" t="s">
        <v>80</v>
      </c>
      <c r="P3297" s="2" t="s">
        <v>93</v>
      </c>
      <c r="Q3297" s="2" t="s">
        <v>94</v>
      </c>
      <c r="R3297" s="2" t="s">
        <v>95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470"/>
        <v>0</v>
      </c>
      <c r="Z3297" s="2" t="s">
        <v>3226</v>
      </c>
      <c r="AA3297" s="2" t="s">
        <v>96</v>
      </c>
      <c r="AB3297" s="2" t="s">
        <v>76</v>
      </c>
      <c r="AC3297" s="2" t="s">
        <v>93</v>
      </c>
      <c r="AF3297" s="2">
        <f t="shared" si="466"/>
        <v>0</v>
      </c>
      <c r="AJ3297" s="2">
        <f t="shared" si="467"/>
        <v>0</v>
      </c>
      <c r="AK3297" s="2">
        <f t="shared" si="471"/>
        <v>0</v>
      </c>
      <c r="AL3297" s="5">
        <f t="shared" si="472"/>
        <v>0</v>
      </c>
    </row>
    <row r="3298" spans="1:38" x14ac:dyDescent="0.2">
      <c r="A3298" s="2">
        <v>2026</v>
      </c>
      <c r="B3298" s="2">
        <v>2</v>
      </c>
      <c r="D3298" s="2" t="s">
        <v>2526</v>
      </c>
      <c r="M3298" s="2" t="s">
        <v>40</v>
      </c>
      <c r="P3298" s="2" t="s">
        <v>114</v>
      </c>
      <c r="Q3298" s="2" t="s">
        <v>408</v>
      </c>
      <c r="R3298" s="2" t="s">
        <v>409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470"/>
        <v>#DIV/0!</v>
      </c>
      <c r="Z3298" s="2" t="s">
        <v>117</v>
      </c>
      <c r="AA3298" s="2" t="s">
        <v>317</v>
      </c>
      <c r="AF3298" s="2">
        <f t="shared" si="466"/>
        <v>0</v>
      </c>
      <c r="AJ3298" s="2">
        <f t="shared" si="467"/>
        <v>0</v>
      </c>
      <c r="AK3298" s="2">
        <f t="shared" si="471"/>
        <v>0</v>
      </c>
      <c r="AL3298" s="5" t="e">
        <f t="shared" si="472"/>
        <v>#DIV/0!</v>
      </c>
    </row>
    <row r="3299" spans="1:38" x14ac:dyDescent="0.2">
      <c r="A3299" s="2">
        <v>2026</v>
      </c>
      <c r="B3299" s="2">
        <v>2</v>
      </c>
      <c r="D3299" s="2" t="s">
        <v>2614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470"/>
        <v>1</v>
      </c>
      <c r="Z3299" s="2" t="s">
        <v>119</v>
      </c>
      <c r="AA3299" s="2" t="s">
        <v>3379</v>
      </c>
      <c r="AF3299" s="2">
        <f t="shared" si="466"/>
        <v>0</v>
      </c>
      <c r="AJ3299" s="2">
        <f t="shared" si="467"/>
        <v>0</v>
      </c>
      <c r="AK3299" s="2">
        <f t="shared" si="471"/>
        <v>200.03</v>
      </c>
      <c r="AL3299" s="5">
        <f t="shared" si="472"/>
        <v>1</v>
      </c>
    </row>
    <row r="3300" spans="1:38" x14ac:dyDescent="0.2">
      <c r="A3300" s="2">
        <v>2026</v>
      </c>
      <c r="B3300" s="2">
        <v>2</v>
      </c>
      <c r="D3300" s="2" t="s">
        <v>1088</v>
      </c>
      <c r="E3300" s="2" t="s">
        <v>108</v>
      </c>
      <c r="F3300" s="2" t="s">
        <v>39</v>
      </c>
      <c r="G3300" s="2">
        <v>505194147</v>
      </c>
      <c r="H3300" s="2" t="s">
        <v>109</v>
      </c>
      <c r="I3300" s="2" t="s">
        <v>1089</v>
      </c>
      <c r="J3300" s="2" t="s">
        <v>1090</v>
      </c>
      <c r="K3300" s="2">
        <v>917523997</v>
      </c>
      <c r="L3300" s="2" t="s">
        <v>112</v>
      </c>
      <c r="M3300" s="2" t="s">
        <v>40</v>
      </c>
      <c r="O3300" s="2" t="s">
        <v>2615</v>
      </c>
      <c r="P3300" s="2" t="s">
        <v>40</v>
      </c>
      <c r="Q3300" s="2" t="s">
        <v>363</v>
      </c>
      <c r="R3300" s="2" t="s">
        <v>364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470"/>
        <v>1</v>
      </c>
      <c r="Z3300" s="2" t="s">
        <v>117</v>
      </c>
      <c r="AA3300" s="2" t="s">
        <v>118</v>
      </c>
      <c r="AB3300" s="2" t="s">
        <v>119</v>
      </c>
      <c r="AF3300" s="2">
        <f t="shared" si="466"/>
        <v>0</v>
      </c>
      <c r="AJ3300" s="2">
        <f t="shared" si="467"/>
        <v>0</v>
      </c>
      <c r="AK3300" s="2">
        <f t="shared" si="471"/>
        <v>352.08</v>
      </c>
      <c r="AL3300" s="5">
        <f t="shared" si="472"/>
        <v>1</v>
      </c>
    </row>
    <row r="3301" spans="1:38" x14ac:dyDescent="0.2">
      <c r="A3301" s="2">
        <v>2026</v>
      </c>
      <c r="B3301" s="2">
        <v>2</v>
      </c>
      <c r="D3301" s="2" t="s">
        <v>525</v>
      </c>
      <c r="E3301" s="2" t="s">
        <v>108</v>
      </c>
      <c r="F3301" s="2" t="s">
        <v>39</v>
      </c>
      <c r="G3301" s="2">
        <v>509391583</v>
      </c>
      <c r="H3301" s="2" t="s">
        <v>40</v>
      </c>
      <c r="I3301" s="2" t="s">
        <v>526</v>
      </c>
      <c r="J3301" s="2" t="s">
        <v>527</v>
      </c>
      <c r="L3301" s="2" t="s">
        <v>344</v>
      </c>
      <c r="M3301" s="2" t="s">
        <v>40</v>
      </c>
      <c r="O3301" s="2" t="s">
        <v>2616</v>
      </c>
      <c r="P3301" s="2" t="s">
        <v>114</v>
      </c>
      <c r="Q3301" s="2" t="s">
        <v>2225</v>
      </c>
      <c r="R3301" s="2" t="s">
        <v>2226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470"/>
        <v>0.52444444444444449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466"/>
        <v>0</v>
      </c>
      <c r="AG3301" s="2">
        <v>5.35</v>
      </c>
      <c r="AJ3301" s="2">
        <f t="shared" si="467"/>
        <v>0</v>
      </c>
      <c r="AK3301" s="2">
        <f t="shared" si="471"/>
        <v>5.9</v>
      </c>
      <c r="AL3301" s="5">
        <f t="shared" si="472"/>
        <v>0.52444444444444449</v>
      </c>
    </row>
    <row r="3302" spans="1:38" x14ac:dyDescent="0.2">
      <c r="A3302" s="2">
        <v>2026</v>
      </c>
      <c r="B3302" s="2">
        <v>2</v>
      </c>
      <c r="D3302" s="2" t="s">
        <v>2258</v>
      </c>
      <c r="G3302" s="2">
        <v>503636002</v>
      </c>
      <c r="I3302" s="2" t="s">
        <v>2617</v>
      </c>
      <c r="M3302" s="2" t="s">
        <v>40</v>
      </c>
      <c r="O3302" s="2" t="s">
        <v>2618</v>
      </c>
      <c r="P3302" s="2" t="s">
        <v>114</v>
      </c>
      <c r="Q3302" s="2" t="s">
        <v>2227</v>
      </c>
      <c r="R3302" s="2" t="s">
        <v>2228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470"/>
        <v>0.46121344473984049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466"/>
        <v>0</v>
      </c>
      <c r="AG3302" s="2">
        <v>28.372499999999999</v>
      </c>
      <c r="AJ3302" s="2">
        <f t="shared" si="467"/>
        <v>0</v>
      </c>
      <c r="AK3302" s="2">
        <f t="shared" si="471"/>
        <v>97.149999999999991</v>
      </c>
      <c r="AL3302" s="5">
        <f t="shared" si="472"/>
        <v>0.46121344473984049</v>
      </c>
    </row>
    <row r="3303" spans="1:38" x14ac:dyDescent="0.2">
      <c r="A3303" s="2">
        <v>2026</v>
      </c>
      <c r="B3303" s="2">
        <v>2</v>
      </c>
      <c r="D3303" s="2" t="s">
        <v>289</v>
      </c>
      <c r="E3303" s="2" t="s">
        <v>108</v>
      </c>
      <c r="F3303" s="2" t="s">
        <v>39</v>
      </c>
      <c r="G3303" s="2">
        <v>508428300</v>
      </c>
      <c r="H3303" s="2" t="s">
        <v>290</v>
      </c>
      <c r="I3303" s="2" t="s">
        <v>291</v>
      </c>
      <c r="J3303" s="2" t="s">
        <v>292</v>
      </c>
      <c r="K3303" s="2">
        <v>917165642</v>
      </c>
      <c r="L3303" s="2" t="s">
        <v>293</v>
      </c>
      <c r="M3303" s="2" t="s">
        <v>40</v>
      </c>
      <c r="O3303" s="2" t="s">
        <v>2619</v>
      </c>
      <c r="P3303" s="2" t="s">
        <v>114</v>
      </c>
      <c r="Q3303" s="2" t="s">
        <v>2620</v>
      </c>
      <c r="R3303" s="2" t="s">
        <v>2621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470"/>
        <v>0.65483234714003946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466"/>
        <v>0</v>
      </c>
      <c r="AG3303" s="2">
        <v>3.5</v>
      </c>
      <c r="AJ3303" s="2">
        <f t="shared" si="467"/>
        <v>0</v>
      </c>
      <c r="AK3303" s="2">
        <f t="shared" si="471"/>
        <v>26.560000000000002</v>
      </c>
      <c r="AL3303" s="5">
        <f t="shared" si="472"/>
        <v>0.65483234714003946</v>
      </c>
    </row>
    <row r="3304" spans="1:38" x14ac:dyDescent="0.2">
      <c r="A3304" s="2">
        <v>2026</v>
      </c>
      <c r="B3304" s="2">
        <v>3</v>
      </c>
      <c r="C3304" s="2" t="s">
        <v>3507</v>
      </c>
      <c r="D3304" s="2" t="s">
        <v>2049</v>
      </c>
      <c r="E3304" s="2" t="s">
        <v>108</v>
      </c>
      <c r="F3304" s="2" t="s">
        <v>39</v>
      </c>
      <c r="G3304" s="2">
        <v>514960337</v>
      </c>
      <c r="H3304" s="2" t="s">
        <v>290</v>
      </c>
      <c r="I3304" s="2" t="s">
        <v>2779</v>
      </c>
      <c r="J3304" s="2" t="s">
        <v>2820</v>
      </c>
      <c r="K3304" s="2">
        <v>914732950</v>
      </c>
      <c r="L3304" s="2" t="s">
        <v>480</v>
      </c>
      <c r="M3304" s="2" t="s">
        <v>40</v>
      </c>
      <c r="O3304" s="2" t="s">
        <v>2622</v>
      </c>
      <c r="P3304" s="2" t="s">
        <v>114</v>
      </c>
      <c r="Q3304" s="2" t="s">
        <v>779</v>
      </c>
      <c r="R3304" s="2" t="s">
        <v>780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36.2258*S3304</f>
        <v>72.451599999999999</v>
      </c>
      <c r="X3304" s="5">
        <f t="shared" si="470"/>
        <v>0.53905331467107775</v>
      </c>
      <c r="Z3304" s="2" t="s">
        <v>117</v>
      </c>
      <c r="AA3304" s="2" t="s">
        <v>118</v>
      </c>
      <c r="AB3304" s="2" t="s">
        <v>119</v>
      </c>
      <c r="AC3304" s="2" t="s">
        <v>114</v>
      </c>
      <c r="AF3304" s="2">
        <f t="shared" si="466"/>
        <v>0</v>
      </c>
      <c r="AG3304" s="2">
        <v>35.931699999999999</v>
      </c>
      <c r="AJ3304" s="2">
        <f t="shared" si="467"/>
        <v>0</v>
      </c>
      <c r="AK3304" s="2">
        <f t="shared" si="471"/>
        <v>84.728400000000008</v>
      </c>
      <c r="AL3304" s="5">
        <f t="shared" si="472"/>
        <v>0.53905331467107775</v>
      </c>
    </row>
    <row r="3305" spans="1:38" x14ac:dyDescent="0.2">
      <c r="A3305" s="2">
        <v>2026</v>
      </c>
      <c r="B3305" s="2">
        <v>2</v>
      </c>
      <c r="D3305" s="2" t="s">
        <v>2258</v>
      </c>
      <c r="M3305" s="2" t="s">
        <v>40</v>
      </c>
      <c r="O3305" s="2" t="s">
        <v>2618</v>
      </c>
      <c r="P3305" s="2" t="s">
        <v>114</v>
      </c>
      <c r="Q3305" s="2" t="s">
        <v>953</v>
      </c>
      <c r="R3305" s="2" t="s">
        <v>954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470"/>
        <v>0.53160919540229878</v>
      </c>
      <c r="Z3305" s="2" t="s">
        <v>117</v>
      </c>
      <c r="AA3305" s="2" t="s">
        <v>578</v>
      </c>
      <c r="AB3305" s="2" t="s">
        <v>119</v>
      </c>
      <c r="AC3305" s="2" t="s">
        <v>114</v>
      </c>
      <c r="AF3305" s="2">
        <f t="shared" si="466"/>
        <v>0</v>
      </c>
      <c r="AG3305" s="2">
        <f>14.4+0.27</f>
        <v>14.67</v>
      </c>
      <c r="AJ3305" s="2">
        <f t="shared" si="467"/>
        <v>0</v>
      </c>
      <c r="AK3305" s="2">
        <f t="shared" si="471"/>
        <v>16.649999999999999</v>
      </c>
      <c r="AL3305" s="5">
        <f t="shared" si="472"/>
        <v>0.53160919540229878</v>
      </c>
    </row>
    <row r="3306" spans="1:38" x14ac:dyDescent="0.2">
      <c r="A3306" s="2">
        <v>2026</v>
      </c>
      <c r="B3306" s="2">
        <v>3</v>
      </c>
      <c r="D3306" s="2" t="s">
        <v>1168</v>
      </c>
      <c r="E3306" s="2" t="s">
        <v>752</v>
      </c>
      <c r="F3306" s="2" t="s">
        <v>1169</v>
      </c>
      <c r="G3306" s="2">
        <v>505760088</v>
      </c>
      <c r="H3306" s="2" t="s">
        <v>290</v>
      </c>
      <c r="I3306" s="2" t="s">
        <v>1170</v>
      </c>
      <c r="J3306" s="2" t="s">
        <v>1171</v>
      </c>
      <c r="L3306" s="2" t="s">
        <v>339</v>
      </c>
      <c r="M3306" s="2" t="s">
        <v>40</v>
      </c>
      <c r="O3306" s="2" t="s">
        <v>2445</v>
      </c>
      <c r="P3306" s="2" t="s">
        <v>114</v>
      </c>
      <c r="Q3306" s="2" t="s">
        <v>904</v>
      </c>
      <c r="R3306" s="2" t="s">
        <v>905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470"/>
        <v>0.50635864435864431</v>
      </c>
      <c r="Z3306" s="2" t="s">
        <v>117</v>
      </c>
      <c r="AA3306" s="2" t="s">
        <v>181</v>
      </c>
      <c r="AB3306" s="2" t="s">
        <v>119</v>
      </c>
      <c r="AC3306" s="2" t="s">
        <v>114</v>
      </c>
      <c r="AF3306" s="2">
        <f t="shared" si="466"/>
        <v>0</v>
      </c>
      <c r="AG3306" s="2">
        <v>342.22</v>
      </c>
      <c r="AJ3306" s="2">
        <f t="shared" si="467"/>
        <v>0</v>
      </c>
      <c r="AK3306" s="2">
        <f t="shared" si="471"/>
        <v>354.09659999999997</v>
      </c>
      <c r="AL3306" s="5">
        <f t="shared" si="472"/>
        <v>0.50635864435864431</v>
      </c>
    </row>
    <row r="3307" spans="1:38" x14ac:dyDescent="0.2">
      <c r="A3307" s="2">
        <v>2026</v>
      </c>
      <c r="B3307" s="2">
        <v>3</v>
      </c>
      <c r="C3307" s="2" t="s">
        <v>3319</v>
      </c>
      <c r="D3307" s="2" t="s">
        <v>2150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177</v>
      </c>
      <c r="M3307" s="2" t="s">
        <v>40</v>
      </c>
      <c r="O3307" s="2" t="s">
        <v>2623</v>
      </c>
      <c r="P3307" s="2" t="s">
        <v>114</v>
      </c>
      <c r="Q3307" s="2" t="s">
        <v>639</v>
      </c>
      <c r="R3307" s="2" t="s">
        <v>640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470"/>
        <v>0.52132081955945397</v>
      </c>
      <c r="Z3307" s="2" t="s">
        <v>117</v>
      </c>
      <c r="AA3307" s="2" t="s">
        <v>118</v>
      </c>
      <c r="AB3307" s="2" t="s">
        <v>119</v>
      </c>
      <c r="AC3307" s="2" t="s">
        <v>114</v>
      </c>
      <c r="AF3307" s="2">
        <f t="shared" si="466"/>
        <v>0</v>
      </c>
      <c r="AG3307" s="2">
        <f>597.47+8.18</f>
        <v>605.65</v>
      </c>
      <c r="AJ3307" s="2">
        <f t="shared" si="467"/>
        <v>0</v>
      </c>
      <c r="AK3307" s="2">
        <f t="shared" si="471"/>
        <v>637.11659999999983</v>
      </c>
      <c r="AL3307" s="5">
        <f t="shared" si="472"/>
        <v>0.52132081955945397</v>
      </c>
    </row>
    <row r="3308" spans="1:38" x14ac:dyDescent="0.2">
      <c r="A3308" s="2">
        <v>2026</v>
      </c>
      <c r="B3308" s="2">
        <v>4</v>
      </c>
      <c r="D3308" s="2" t="s">
        <v>689</v>
      </c>
      <c r="E3308" s="2" t="s">
        <v>108</v>
      </c>
      <c r="F3308" s="2" t="s">
        <v>39</v>
      </c>
      <c r="G3308" s="2">
        <v>503589950</v>
      </c>
      <c r="H3308" s="2" t="s">
        <v>41</v>
      </c>
      <c r="I3308" s="2" t="s">
        <v>610</v>
      </c>
      <c r="J3308" s="2" t="s">
        <v>690</v>
      </c>
      <c r="K3308" s="2">
        <v>913036545</v>
      </c>
      <c r="L3308" s="2" t="s">
        <v>177</v>
      </c>
      <c r="M3308" s="2" t="s">
        <v>41</v>
      </c>
      <c r="O3308" s="2" t="s">
        <v>2613</v>
      </c>
      <c r="P3308" s="2" t="s">
        <v>43</v>
      </c>
      <c r="Q3308" s="2" t="s">
        <v>857</v>
      </c>
      <c r="R3308" s="2" t="s">
        <v>858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W3308" s="2">
        <f>8.735*S3308</f>
        <v>17.47</v>
      </c>
      <c r="X3308" s="5">
        <f t="shared" si="470"/>
        <v>0.6267094017094017</v>
      </c>
      <c r="Z3308" s="2" t="s">
        <v>3226</v>
      </c>
      <c r="AA3308" s="2" t="s">
        <v>46</v>
      </c>
      <c r="AB3308" s="2" t="s">
        <v>47</v>
      </c>
      <c r="AC3308" s="2" t="s">
        <v>57</v>
      </c>
      <c r="AF3308" s="2">
        <f t="shared" si="466"/>
        <v>0</v>
      </c>
      <c r="AJ3308" s="2">
        <f t="shared" si="467"/>
        <v>0</v>
      </c>
      <c r="AK3308" s="2">
        <f t="shared" si="471"/>
        <v>29.33</v>
      </c>
      <c r="AL3308" s="5">
        <f t="shared" si="472"/>
        <v>0.6267094017094017</v>
      </c>
    </row>
    <row r="3309" spans="1:38" x14ac:dyDescent="0.2">
      <c r="A3309" s="2">
        <v>2026</v>
      </c>
      <c r="B3309" s="2">
        <v>3</v>
      </c>
      <c r="D3309" s="2" t="s">
        <v>2624</v>
      </c>
      <c r="M3309" s="2" t="s">
        <v>40</v>
      </c>
      <c r="O3309" s="2" t="s">
        <v>2625</v>
      </c>
      <c r="P3309" s="2" t="s">
        <v>114</v>
      </c>
      <c r="Q3309" s="2" t="s">
        <v>2626</v>
      </c>
      <c r="R3309" s="2" t="s">
        <v>2627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470"/>
        <v>0.52362846279196096</v>
      </c>
      <c r="Z3309" s="2" t="s">
        <v>117</v>
      </c>
      <c r="AA3309" s="2" t="s">
        <v>118</v>
      </c>
      <c r="AB3309" s="2" t="s">
        <v>119</v>
      </c>
      <c r="AC3309" s="2" t="s">
        <v>114</v>
      </c>
      <c r="AF3309" s="2">
        <f t="shared" si="466"/>
        <v>0</v>
      </c>
      <c r="AG3309" s="2">
        <v>8.77</v>
      </c>
      <c r="AJ3309" s="2">
        <f t="shared" si="467"/>
        <v>0</v>
      </c>
      <c r="AK3309" s="2">
        <f t="shared" si="471"/>
        <v>9.64</v>
      </c>
      <c r="AL3309" s="5">
        <f t="shared" si="472"/>
        <v>0.52362846279196096</v>
      </c>
    </row>
    <row r="3310" spans="1:38" x14ac:dyDescent="0.2">
      <c r="A3310" s="2">
        <v>2026</v>
      </c>
      <c r="B3310" s="2">
        <v>2</v>
      </c>
      <c r="D3310" s="2" t="s">
        <v>741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470"/>
        <v>1</v>
      </c>
      <c r="Z3310" s="2" t="s">
        <v>117</v>
      </c>
      <c r="AF3310" s="2">
        <f t="shared" si="466"/>
        <v>0</v>
      </c>
      <c r="AJ3310" s="2">
        <f t="shared" si="467"/>
        <v>0</v>
      </c>
      <c r="AK3310" s="2">
        <f t="shared" si="471"/>
        <v>79.819999999999993</v>
      </c>
      <c r="AL3310" s="5">
        <f t="shared" si="472"/>
        <v>1</v>
      </c>
    </row>
    <row r="3311" spans="1:38" x14ac:dyDescent="0.2">
      <c r="A3311" s="2">
        <v>2026</v>
      </c>
      <c r="B3311" s="2">
        <v>2</v>
      </c>
      <c r="D3311" s="2" t="s">
        <v>617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618</v>
      </c>
      <c r="J3311" s="2" t="s">
        <v>619</v>
      </c>
      <c r="L3311" s="2" t="s">
        <v>418</v>
      </c>
      <c r="M3311" s="2" t="s">
        <v>41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470"/>
        <v>1</v>
      </c>
      <c r="Z3311" s="2" t="s">
        <v>117</v>
      </c>
      <c r="AF3311" s="2">
        <f t="shared" si="466"/>
        <v>0</v>
      </c>
      <c r="AJ3311" s="2">
        <f t="shared" si="467"/>
        <v>0</v>
      </c>
      <c r="AK3311" s="2">
        <f t="shared" si="471"/>
        <v>83.46</v>
      </c>
      <c r="AL3311" s="5">
        <f t="shared" si="472"/>
        <v>1</v>
      </c>
    </row>
    <row r="3312" spans="1:38" x14ac:dyDescent="0.2">
      <c r="A3312" s="2">
        <v>2026</v>
      </c>
      <c r="B3312" s="2">
        <v>2</v>
      </c>
      <c r="D3312" s="2" t="s">
        <v>643</v>
      </c>
      <c r="E3312" s="2" t="s">
        <v>108</v>
      </c>
      <c r="F3312" s="2" t="s">
        <v>477</v>
      </c>
      <c r="G3312" s="2">
        <v>509056946</v>
      </c>
      <c r="H3312" s="2" t="s">
        <v>109</v>
      </c>
      <c r="I3312" s="2" t="s">
        <v>644</v>
      </c>
      <c r="J3312" s="2" t="s">
        <v>645</v>
      </c>
      <c r="K3312" s="2">
        <v>964495536</v>
      </c>
      <c r="L3312" s="2" t="s">
        <v>112</v>
      </c>
      <c r="M3312" s="2" t="s">
        <v>40</v>
      </c>
      <c r="O3312" s="2" t="s">
        <v>2628</v>
      </c>
      <c r="P3312" s="2" t="s">
        <v>114</v>
      </c>
      <c r="Q3312" s="2" t="s">
        <v>978</v>
      </c>
      <c r="R3312" s="2" t="s">
        <v>979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470"/>
        <v>1</v>
      </c>
      <c r="Z3312" s="2" t="s">
        <v>117</v>
      </c>
      <c r="AA3312" s="2" t="s">
        <v>118</v>
      </c>
      <c r="AB3312" s="2" t="s">
        <v>119</v>
      </c>
      <c r="AC3312" s="2" t="s">
        <v>114</v>
      </c>
      <c r="AF3312" s="2">
        <f t="shared" si="466"/>
        <v>0</v>
      </c>
      <c r="AJ3312" s="2">
        <f t="shared" si="467"/>
        <v>0</v>
      </c>
      <c r="AK3312" s="2">
        <f t="shared" si="471"/>
        <v>83.46</v>
      </c>
      <c r="AL3312" s="5">
        <f t="shared" si="472"/>
        <v>1</v>
      </c>
    </row>
    <row r="3313" spans="1:38" x14ac:dyDescent="0.2">
      <c r="A3313" s="2">
        <v>2026</v>
      </c>
      <c r="B3313" s="2">
        <v>2</v>
      </c>
      <c r="D3313" s="2" t="s">
        <v>906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470"/>
        <v>1</v>
      </c>
      <c r="Z3313" s="2" t="s">
        <v>117</v>
      </c>
      <c r="AF3313" s="2">
        <f t="shared" si="466"/>
        <v>0</v>
      </c>
      <c r="AJ3313" s="2">
        <f t="shared" si="467"/>
        <v>0</v>
      </c>
      <c r="AK3313" s="2">
        <f t="shared" si="471"/>
        <v>689.22</v>
      </c>
      <c r="AL3313" s="5">
        <f t="shared" si="472"/>
        <v>1</v>
      </c>
    </row>
    <row r="3314" spans="1:38" x14ac:dyDescent="0.2">
      <c r="A3314" s="2">
        <v>2026</v>
      </c>
      <c r="B3314" s="2">
        <v>2</v>
      </c>
      <c r="D3314" s="2" t="s">
        <v>2624</v>
      </c>
      <c r="P3314" s="2" t="s">
        <v>114</v>
      </c>
      <c r="Q3314" s="2" t="s">
        <v>1471</v>
      </c>
      <c r="R3314" s="2" t="s">
        <v>1472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470"/>
        <v>1</v>
      </c>
      <c r="Z3314" s="2" t="s">
        <v>117</v>
      </c>
      <c r="AF3314" s="2">
        <f t="shared" si="466"/>
        <v>0</v>
      </c>
      <c r="AJ3314" s="2">
        <f t="shared" si="467"/>
        <v>0</v>
      </c>
      <c r="AK3314" s="2">
        <f t="shared" si="471"/>
        <v>699.3</v>
      </c>
      <c r="AL3314" s="5">
        <f t="shared" si="472"/>
        <v>1</v>
      </c>
    </row>
    <row r="3315" spans="1:38" x14ac:dyDescent="0.2">
      <c r="A3315" s="2">
        <v>2026</v>
      </c>
      <c r="B3315" s="2">
        <v>2</v>
      </c>
      <c r="D3315" s="2" t="s">
        <v>2629</v>
      </c>
      <c r="P3315" s="2" t="s">
        <v>114</v>
      </c>
      <c r="Q3315" s="2" t="s">
        <v>2114</v>
      </c>
      <c r="R3315" s="2" t="s">
        <v>2115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470"/>
        <v>1</v>
      </c>
      <c r="Z3315" s="2" t="s">
        <v>117</v>
      </c>
      <c r="AF3315" s="2">
        <f t="shared" si="466"/>
        <v>0</v>
      </c>
      <c r="AJ3315" s="2">
        <f t="shared" si="467"/>
        <v>0</v>
      </c>
      <c r="AK3315" s="2">
        <f t="shared" si="471"/>
        <v>698.4</v>
      </c>
      <c r="AL3315" s="5">
        <f t="shared" si="472"/>
        <v>1</v>
      </c>
    </row>
    <row r="3316" spans="1:38" x14ac:dyDescent="0.2">
      <c r="A3316" s="2">
        <v>2026</v>
      </c>
      <c r="B3316" s="2">
        <v>2</v>
      </c>
      <c r="D3316" s="2" t="s">
        <v>1590</v>
      </c>
      <c r="M3316" s="2" t="s">
        <v>41</v>
      </c>
      <c r="P3316" s="2" t="s">
        <v>114</v>
      </c>
      <c r="Q3316" s="2" t="s">
        <v>2630</v>
      </c>
      <c r="R3316" s="2" t="s">
        <v>2631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470"/>
        <v>1</v>
      </c>
      <c r="Z3316" s="2" t="s">
        <v>117</v>
      </c>
      <c r="AF3316" s="2">
        <f t="shared" si="466"/>
        <v>0</v>
      </c>
      <c r="AJ3316" s="2">
        <f t="shared" si="467"/>
        <v>0</v>
      </c>
      <c r="AK3316" s="2">
        <f t="shared" si="471"/>
        <v>136.22999999999999</v>
      </c>
      <c r="AL3316" s="5">
        <f t="shared" si="472"/>
        <v>1</v>
      </c>
    </row>
    <row r="3317" spans="1:38" x14ac:dyDescent="0.2">
      <c r="A3317" s="2">
        <v>2026</v>
      </c>
      <c r="B3317" s="2">
        <v>2</v>
      </c>
      <c r="D3317" s="2" t="s">
        <v>97</v>
      </c>
      <c r="E3317" s="2" t="s">
        <v>98</v>
      </c>
      <c r="F3317" s="2" t="s">
        <v>39</v>
      </c>
      <c r="G3317" s="2">
        <v>517450925</v>
      </c>
      <c r="H3317" s="2" t="s">
        <v>40</v>
      </c>
      <c r="I3317" s="2" t="s">
        <v>99</v>
      </c>
      <c r="J3317" s="2" t="s">
        <v>100</v>
      </c>
      <c r="L3317" s="2" t="s">
        <v>99</v>
      </c>
      <c r="M3317" s="2" t="s">
        <v>40</v>
      </c>
      <c r="P3317" s="2" t="s">
        <v>114</v>
      </c>
      <c r="Q3317" s="2" t="s">
        <v>1183</v>
      </c>
      <c r="R3317" s="2" t="s">
        <v>1184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466"/>
        <v>0</v>
      </c>
      <c r="AG3317" s="2">
        <v>7437.5950000000003</v>
      </c>
      <c r="AJ3317" s="2">
        <f t="shared" si="467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C3318" s="2" t="s">
        <v>3420</v>
      </c>
      <c r="D3318" s="2" t="s">
        <v>2629</v>
      </c>
      <c r="E3318" s="2" t="s">
        <v>38</v>
      </c>
      <c r="F3318" s="2" t="s">
        <v>39</v>
      </c>
      <c r="M3318" s="2" t="s">
        <v>41</v>
      </c>
      <c r="P3318" s="2" t="s">
        <v>114</v>
      </c>
      <c r="Q3318" s="2" t="s">
        <v>1183</v>
      </c>
      <c r="R3318" s="2" t="s">
        <v>1184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>(T3318-W3318)/T3318</f>
        <v>0.39529781456307522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466"/>
        <v>0</v>
      </c>
      <c r="AG3318" s="2">
        <v>7437.5950000000003</v>
      </c>
      <c r="AJ3318" s="2">
        <f t="shared" si="467"/>
        <v>0</v>
      </c>
      <c r="AK3318" s="2">
        <f t="shared" ref="AK3318:AK3349" si="473">T3318-W3318</f>
        <v>4862.0050000000001</v>
      </c>
      <c r="AL3318" s="5">
        <f t="shared" ref="AL3318:AL3328" si="474">(T3318-W3318)/T3318</f>
        <v>0.39529781456307522</v>
      </c>
    </row>
    <row r="3319" spans="1:38" x14ac:dyDescent="0.2">
      <c r="A3319" s="2">
        <v>2026</v>
      </c>
      <c r="B3319" s="2">
        <v>3</v>
      </c>
      <c r="C3319" s="2" t="s">
        <v>3420</v>
      </c>
      <c r="D3319" s="2" t="s">
        <v>2632</v>
      </c>
      <c r="E3319" s="2" t="s">
        <v>38</v>
      </c>
      <c r="G3319" s="2">
        <v>508857562</v>
      </c>
      <c r="H3319" s="2" t="s">
        <v>109</v>
      </c>
      <c r="I3319" s="2" t="s">
        <v>2633</v>
      </c>
      <c r="J3319" s="2" t="s">
        <v>2634</v>
      </c>
      <c r="L3319" s="2" t="s">
        <v>461</v>
      </c>
      <c r="M3319" s="2" t="s">
        <v>109</v>
      </c>
      <c r="P3319" s="2" t="s">
        <v>114</v>
      </c>
      <c r="Q3319" s="2" t="s">
        <v>412</v>
      </c>
      <c r="R3319" s="2" t="s">
        <v>413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>(T3319-W3319)/T3319</f>
        <v>0.28823215476984659</v>
      </c>
      <c r="Z3319" s="2" t="s">
        <v>104</v>
      </c>
      <c r="AA3319" s="2" t="s">
        <v>414</v>
      </c>
      <c r="AB3319" s="2" t="s">
        <v>151</v>
      </c>
      <c r="AC3319" s="2" t="s">
        <v>114</v>
      </c>
      <c r="AF3319" s="2">
        <f t="shared" si="466"/>
        <v>0</v>
      </c>
      <c r="AJ3319" s="2">
        <f t="shared" si="467"/>
        <v>0</v>
      </c>
      <c r="AK3319" s="2">
        <f t="shared" si="473"/>
        <v>4320.6000000000004</v>
      </c>
      <c r="AL3319" s="5">
        <f t="shared" si="474"/>
        <v>0.28823215476984659</v>
      </c>
    </row>
    <row r="3320" spans="1:38" x14ac:dyDescent="0.2">
      <c r="A3320" s="2">
        <v>2026</v>
      </c>
      <c r="B3320" s="2">
        <v>3</v>
      </c>
      <c r="D3320" s="2" t="s">
        <v>1884</v>
      </c>
      <c r="M3320" s="2" t="s">
        <v>290</v>
      </c>
      <c r="O3320" s="2" t="s">
        <v>2635</v>
      </c>
      <c r="P3320" s="2" t="s">
        <v>2636</v>
      </c>
      <c r="Q3320" s="2" t="s">
        <v>2637</v>
      </c>
      <c r="R3320" s="2" t="s">
        <v>2638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>(T3320-W3320)/T3320</f>
        <v>0.18970189701897019</v>
      </c>
      <c r="Z3320" s="2" t="s">
        <v>3226</v>
      </c>
      <c r="AA3320" s="2" t="s">
        <v>71</v>
      </c>
      <c r="AB3320" s="2" t="s">
        <v>119</v>
      </c>
      <c r="AC3320" s="2" t="s">
        <v>2636</v>
      </c>
      <c r="AF3320" s="2">
        <f t="shared" si="466"/>
        <v>0</v>
      </c>
      <c r="AG3320" s="2">
        <v>299</v>
      </c>
      <c r="AJ3320" s="2">
        <f t="shared" si="467"/>
        <v>0</v>
      </c>
      <c r="AK3320" s="2">
        <f t="shared" si="473"/>
        <v>70</v>
      </c>
      <c r="AL3320" s="5">
        <f t="shared" si="474"/>
        <v>0.18970189701897019</v>
      </c>
    </row>
    <row r="3321" spans="1:38" x14ac:dyDescent="0.2">
      <c r="A3321" s="2">
        <v>2026</v>
      </c>
      <c r="B3321" s="2">
        <v>3</v>
      </c>
      <c r="D3321" s="2" t="s">
        <v>2516</v>
      </c>
      <c r="E3321" s="2" t="s">
        <v>752</v>
      </c>
      <c r="F3321" s="2" t="s">
        <v>39</v>
      </c>
      <c r="G3321" s="2">
        <v>515570354</v>
      </c>
      <c r="H3321" s="2" t="s">
        <v>109</v>
      </c>
      <c r="I3321" s="2" t="s">
        <v>2517</v>
      </c>
      <c r="J3321" s="2" t="s">
        <v>2518</v>
      </c>
      <c r="K3321" s="2">
        <v>967032538</v>
      </c>
      <c r="L3321" s="2" t="s">
        <v>398</v>
      </c>
      <c r="M3321" s="2" t="s">
        <v>109</v>
      </c>
      <c r="O3321" s="2" t="s">
        <v>2639</v>
      </c>
      <c r="P3321" s="2" t="s">
        <v>282</v>
      </c>
      <c r="Q3321" s="2" t="s">
        <v>1205</v>
      </c>
      <c r="R3321" s="2" t="s">
        <v>1206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>(T3321-W3321)/T3321</f>
        <v>0.39999999999999997</v>
      </c>
      <c r="Z3321" s="2" t="s">
        <v>3226</v>
      </c>
      <c r="AA3321" s="2" t="s">
        <v>71</v>
      </c>
      <c r="AB3321" s="2" t="s">
        <v>119</v>
      </c>
      <c r="AC3321" s="2" t="s">
        <v>119</v>
      </c>
      <c r="AF3321" s="2">
        <f t="shared" si="466"/>
        <v>0</v>
      </c>
      <c r="AG3321" s="2">
        <v>14.34</v>
      </c>
      <c r="AJ3321" s="2">
        <f t="shared" si="467"/>
        <v>0</v>
      </c>
      <c r="AK3321" s="2">
        <f t="shared" si="473"/>
        <v>9.5599999999999987</v>
      </c>
      <c r="AL3321" s="5">
        <f t="shared" si="474"/>
        <v>0.39999999999999997</v>
      </c>
    </row>
    <row r="3322" spans="1:38" x14ac:dyDescent="0.2">
      <c r="A3322" s="2">
        <v>2026</v>
      </c>
      <c r="B3322" s="2">
        <v>3</v>
      </c>
      <c r="D3322" s="2" t="s">
        <v>2640</v>
      </c>
      <c r="P3322" s="2" t="s">
        <v>282</v>
      </c>
      <c r="Q3322" s="2" t="s">
        <v>1662</v>
      </c>
      <c r="R3322" s="2" t="s">
        <v>1663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>(T3322-W3322)/T3322</f>
        <v>0.32857142857142857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466"/>
        <v>0</v>
      </c>
      <c r="AJ3322" s="2">
        <f t="shared" si="467"/>
        <v>0</v>
      </c>
      <c r="AK3322" s="2">
        <f t="shared" si="473"/>
        <v>1610</v>
      </c>
      <c r="AL3322" s="5">
        <f t="shared" si="474"/>
        <v>0.32857142857142857</v>
      </c>
    </row>
    <row r="3323" spans="1:38" x14ac:dyDescent="0.2">
      <c r="A3323" s="2">
        <v>2026</v>
      </c>
      <c r="B3323" s="2">
        <v>3</v>
      </c>
      <c r="D3323" s="2" t="s">
        <v>2640</v>
      </c>
      <c r="P3323" s="2" t="s">
        <v>282</v>
      </c>
      <c r="Q3323" s="2" t="s">
        <v>1664</v>
      </c>
      <c r="R3323" s="2" t="s">
        <v>1665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104</v>
      </c>
      <c r="AA3323" s="2" t="s">
        <v>387</v>
      </c>
      <c r="AB3323" s="2" t="s">
        <v>2641</v>
      </c>
      <c r="AC3323" s="2" t="s">
        <v>1327</v>
      </c>
      <c r="AF3323" s="2">
        <f t="shared" si="466"/>
        <v>0</v>
      </c>
      <c r="AJ3323" s="2">
        <f t="shared" si="467"/>
        <v>0</v>
      </c>
      <c r="AK3323" s="2">
        <f t="shared" si="473"/>
        <v>0</v>
      </c>
      <c r="AL3323" s="5" t="e">
        <f t="shared" si="474"/>
        <v>#DIV/0!</v>
      </c>
    </row>
    <row r="3324" spans="1:38" x14ac:dyDescent="0.2">
      <c r="A3324" s="2">
        <v>2026</v>
      </c>
      <c r="B3324" s="2">
        <v>3</v>
      </c>
      <c r="D3324" s="2" t="s">
        <v>2642</v>
      </c>
      <c r="E3324" s="2" t="s">
        <v>38</v>
      </c>
      <c r="G3324" s="2">
        <v>506820378</v>
      </c>
      <c r="H3324" s="2" t="s">
        <v>41</v>
      </c>
      <c r="I3324" s="2" t="s">
        <v>2643</v>
      </c>
      <c r="J3324" s="2" t="s">
        <v>2644</v>
      </c>
      <c r="L3324" s="2" t="s">
        <v>418</v>
      </c>
      <c r="M3324" s="2" t="s">
        <v>41</v>
      </c>
      <c r="O3324" s="2" t="s">
        <v>2645</v>
      </c>
      <c r="P3324" s="2" t="s">
        <v>282</v>
      </c>
      <c r="Q3324" s="2" t="s">
        <v>1779</v>
      </c>
      <c r="R3324" s="2" t="s">
        <v>1780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>(T3324-W3324)/T3324</f>
        <v>0.26733668341708544</v>
      </c>
      <c r="Z3324" s="2" t="s">
        <v>104</v>
      </c>
      <c r="AA3324" s="2" t="s">
        <v>387</v>
      </c>
      <c r="AB3324" s="2" t="s">
        <v>1330</v>
      </c>
      <c r="AC3324" s="2" t="s">
        <v>1327</v>
      </c>
      <c r="AF3324" s="2">
        <f t="shared" si="466"/>
        <v>0</v>
      </c>
      <c r="AG3324" s="2">
        <v>1458</v>
      </c>
      <c r="AJ3324" s="2">
        <f t="shared" si="467"/>
        <v>0</v>
      </c>
      <c r="AK3324" s="2">
        <f t="shared" si="473"/>
        <v>532</v>
      </c>
      <c r="AL3324" s="5">
        <f t="shared" si="474"/>
        <v>0.26733668341708544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2647</v>
      </c>
      <c r="R3325" s="2" t="s">
        <v>2648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466"/>
        <v>0</v>
      </c>
      <c r="AJ3325" s="2">
        <f t="shared" si="467"/>
        <v>0</v>
      </c>
      <c r="AK3325" s="2">
        <f t="shared" si="473"/>
        <v>0</v>
      </c>
      <c r="AL3325" s="5" t="e">
        <f t="shared" si="474"/>
        <v>#DIV/0!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2649</v>
      </c>
      <c r="R3326" s="2" t="s">
        <v>2650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466"/>
        <v>0</v>
      </c>
      <c r="AG3326" s="2">
        <v>10257</v>
      </c>
      <c r="AJ3326" s="2">
        <f t="shared" si="467"/>
        <v>0</v>
      </c>
      <c r="AK3326" s="2">
        <f t="shared" si="473"/>
        <v>2243</v>
      </c>
      <c r="AL3326" s="5">
        <f t="shared" si="474"/>
        <v>0.17943999999999999</v>
      </c>
    </row>
    <row r="3327" spans="1:38" x14ac:dyDescent="0.2">
      <c r="A3327" s="2">
        <v>2026</v>
      </c>
      <c r="B3327" s="2">
        <v>3</v>
      </c>
      <c r="D3327" s="2" t="s">
        <v>3257</v>
      </c>
      <c r="E3327" s="2" t="s">
        <v>38</v>
      </c>
      <c r="G3327" s="2">
        <v>500844321</v>
      </c>
      <c r="H3327" s="2" t="s">
        <v>40</v>
      </c>
      <c r="I3327" s="2" t="s">
        <v>339</v>
      </c>
      <c r="J3327" s="2" t="s">
        <v>2646</v>
      </c>
      <c r="L3327" s="2" t="s">
        <v>418</v>
      </c>
      <c r="M3327" s="2" t="s">
        <v>41</v>
      </c>
      <c r="O3327" s="2" t="s">
        <v>3256</v>
      </c>
      <c r="P3327" s="2" t="s">
        <v>282</v>
      </c>
      <c r="Q3327" s="2" t="s">
        <v>2651</v>
      </c>
      <c r="R3327" s="2" t="s">
        <v>2652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466"/>
        <v>0</v>
      </c>
      <c r="AJ3327" s="2">
        <f t="shared" si="467"/>
        <v>0</v>
      </c>
      <c r="AK3327" s="2">
        <f t="shared" si="473"/>
        <v>0</v>
      </c>
      <c r="AL3327" s="5" t="e">
        <f t="shared" si="474"/>
        <v>#DIV/0!</v>
      </c>
    </row>
    <row r="3328" spans="1:38" x14ac:dyDescent="0.2">
      <c r="A3328" s="2">
        <v>2026</v>
      </c>
      <c r="B3328" s="2">
        <v>3</v>
      </c>
      <c r="C3328" s="2" t="s">
        <v>3420</v>
      </c>
      <c r="D3328" s="2" t="s">
        <v>3417</v>
      </c>
      <c r="E3328" s="2" t="s">
        <v>3418</v>
      </c>
      <c r="F3328" s="2" t="s">
        <v>3419</v>
      </c>
      <c r="L3328" s="2" t="s">
        <v>293</v>
      </c>
      <c r="M3328" s="2" t="s">
        <v>290</v>
      </c>
      <c r="O3328" s="2" t="s">
        <v>2653</v>
      </c>
      <c r="P3328" s="2" t="s">
        <v>282</v>
      </c>
      <c r="Q3328" s="2" t="s">
        <v>1282</v>
      </c>
      <c r="R3328" s="2" t="s">
        <v>1283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104</v>
      </c>
      <c r="AA3328" s="2" t="s">
        <v>1574</v>
      </c>
      <c r="AB3328" s="2" t="s">
        <v>388</v>
      </c>
      <c r="AC3328" s="2" t="s">
        <v>1327</v>
      </c>
      <c r="AF3328" s="2">
        <f t="shared" si="466"/>
        <v>0</v>
      </c>
      <c r="AG3328" s="2">
        <v>1389</v>
      </c>
      <c r="AJ3328" s="2">
        <f t="shared" si="467"/>
        <v>0</v>
      </c>
      <c r="AK3328" s="2">
        <f t="shared" si="473"/>
        <v>111</v>
      </c>
      <c r="AL3328" s="5">
        <f t="shared" si="474"/>
        <v>7.3999999999999996E-2</v>
      </c>
    </row>
    <row r="3329" spans="1:38" x14ac:dyDescent="0.2">
      <c r="A3329" s="2">
        <v>2026</v>
      </c>
      <c r="B3329" s="2">
        <v>3</v>
      </c>
      <c r="C3329" s="2" t="s">
        <v>3420</v>
      </c>
      <c r="D3329" s="2" t="s">
        <v>3417</v>
      </c>
      <c r="E3329" s="2" t="s">
        <v>3418</v>
      </c>
      <c r="F3329" s="2" t="s">
        <v>3419</v>
      </c>
      <c r="L3329" s="2" t="s">
        <v>293</v>
      </c>
      <c r="M3329" s="2" t="s">
        <v>40</v>
      </c>
      <c r="O3329" s="2" t="s">
        <v>2653</v>
      </c>
      <c r="P3329" s="2" t="s">
        <v>282</v>
      </c>
      <c r="Q3329" s="2" t="s">
        <v>1284</v>
      </c>
      <c r="R3329" s="2" t="s">
        <v>1285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117</v>
      </c>
      <c r="AA3329" s="2" t="s">
        <v>181</v>
      </c>
      <c r="AB3329" s="2" t="s">
        <v>3380</v>
      </c>
      <c r="AC3329" s="2" t="s">
        <v>1327</v>
      </c>
      <c r="AF3329" s="2">
        <f t="shared" si="466"/>
        <v>0</v>
      </c>
      <c r="AJ3329" s="2">
        <f t="shared" si="467"/>
        <v>0</v>
      </c>
      <c r="AK3329" s="2">
        <f t="shared" si="473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3420</v>
      </c>
      <c r="D3330" s="2" t="s">
        <v>3417</v>
      </c>
      <c r="E3330" s="2" t="s">
        <v>3418</v>
      </c>
      <c r="F3330" s="2" t="s">
        <v>3419</v>
      </c>
      <c r="L3330" s="2" t="s">
        <v>293</v>
      </c>
      <c r="M3330" s="2" t="s">
        <v>290</v>
      </c>
      <c r="O3330" s="2" t="s">
        <v>2653</v>
      </c>
      <c r="P3330" s="2" t="s">
        <v>282</v>
      </c>
      <c r="Q3330" s="2" t="s">
        <v>1154</v>
      </c>
      <c r="R3330" s="2" t="s">
        <v>1155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ref="AF3330:AF3393" si="475">AJ3330</f>
        <v>0</v>
      </c>
      <c r="AG3330" s="2">
        <v>2189</v>
      </c>
      <c r="AJ3330" s="2">
        <f t="shared" ref="AJ3330:AJ3393" si="476">AI3330*T3330</f>
        <v>0</v>
      </c>
      <c r="AK3330" s="2">
        <f t="shared" si="473"/>
        <v>800</v>
      </c>
      <c r="AL3330" s="5">
        <f t="shared" ref="AL3330:AL3336" si="477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2654</v>
      </c>
      <c r="E3331" s="2" t="s">
        <v>752</v>
      </c>
      <c r="F3331" s="2" t="s">
        <v>39</v>
      </c>
      <c r="G3331" s="2">
        <v>157409490</v>
      </c>
      <c r="H3331" s="2" t="s">
        <v>40</v>
      </c>
      <c r="I3331" s="2" t="s">
        <v>2655</v>
      </c>
      <c r="J3331" s="2" t="s">
        <v>2656</v>
      </c>
      <c r="K3331" s="2">
        <v>917531684</v>
      </c>
      <c r="L3331" s="2" t="s">
        <v>177</v>
      </c>
      <c r="M3331" s="2" t="s">
        <v>40</v>
      </c>
      <c r="O3331" s="2" t="s">
        <v>2657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475"/>
        <v>0</v>
      </c>
      <c r="AG3331" s="2">
        <v>1195</v>
      </c>
      <c r="AJ3331" s="2">
        <f t="shared" si="476"/>
        <v>0</v>
      </c>
      <c r="AK3331" s="2">
        <f t="shared" si="473"/>
        <v>705</v>
      </c>
      <c r="AL3331" s="5">
        <f t="shared" si="477"/>
        <v>0.37105263157894736</v>
      </c>
    </row>
    <row r="3332" spans="1:38" x14ac:dyDescent="0.2">
      <c r="A3332" s="2">
        <v>2026</v>
      </c>
      <c r="B3332" s="2">
        <v>3</v>
      </c>
      <c r="D3332" s="2" t="s">
        <v>2640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475"/>
        <v>0</v>
      </c>
      <c r="AG3332" s="2">
        <v>1195</v>
      </c>
      <c r="AJ3332" s="2">
        <f t="shared" si="476"/>
        <v>0</v>
      </c>
      <c r="AK3332" s="2">
        <f t="shared" si="473"/>
        <v>695</v>
      </c>
      <c r="AL3332" s="5">
        <f t="shared" si="477"/>
        <v>0.36772486772486773</v>
      </c>
    </row>
    <row r="3333" spans="1:38" x14ac:dyDescent="0.2">
      <c r="A3333" s="2">
        <v>2026</v>
      </c>
      <c r="B3333" s="2">
        <v>3</v>
      </c>
      <c r="D3333" s="2" t="s">
        <v>2658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475"/>
        <v>0</v>
      </c>
      <c r="AG3333" s="2">
        <v>1195</v>
      </c>
      <c r="AJ3333" s="2">
        <f t="shared" si="476"/>
        <v>0</v>
      </c>
      <c r="AK3333" s="2">
        <f t="shared" si="473"/>
        <v>705</v>
      </c>
      <c r="AL3333" s="5">
        <f t="shared" si="477"/>
        <v>0.37105263157894736</v>
      </c>
    </row>
    <row r="3334" spans="1:38" x14ac:dyDescent="0.2">
      <c r="A3334" s="2">
        <v>2026</v>
      </c>
      <c r="B3334" s="2">
        <v>3</v>
      </c>
      <c r="D3334" s="2" t="s">
        <v>2659</v>
      </c>
      <c r="E3334" s="2" t="s">
        <v>752</v>
      </c>
      <c r="F3334" s="2" t="s">
        <v>39</v>
      </c>
      <c r="G3334" s="2">
        <v>514057190</v>
      </c>
      <c r="H3334" s="2" t="s">
        <v>40</v>
      </c>
      <c r="I3334" s="2" t="s">
        <v>2660</v>
      </c>
      <c r="J3334" s="2" t="s">
        <v>2661</v>
      </c>
      <c r="K3334" s="2">
        <v>934367883</v>
      </c>
      <c r="L3334" s="2" t="s">
        <v>418</v>
      </c>
      <c r="O3334" s="2" t="s">
        <v>2662</v>
      </c>
      <c r="P3334" s="2" t="s">
        <v>282</v>
      </c>
      <c r="Q3334" s="2" t="s">
        <v>1286</v>
      </c>
      <c r="R3334" s="2" t="s">
        <v>1287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475"/>
        <v>0</v>
      </c>
      <c r="AG3334" s="2">
        <v>1195</v>
      </c>
      <c r="AJ3334" s="2">
        <f t="shared" si="476"/>
        <v>0</v>
      </c>
      <c r="AK3334" s="2">
        <f t="shared" si="473"/>
        <v>705</v>
      </c>
      <c r="AL3334" s="5">
        <f t="shared" si="477"/>
        <v>0.37105263157894736</v>
      </c>
    </row>
    <row r="3335" spans="1:38" x14ac:dyDescent="0.2">
      <c r="A3335" s="2">
        <v>2026</v>
      </c>
      <c r="B3335" s="2">
        <v>3</v>
      </c>
      <c r="D3335" s="2" t="s">
        <v>2654</v>
      </c>
      <c r="E3335" s="2" t="s">
        <v>752</v>
      </c>
      <c r="F3335" s="2" t="s">
        <v>39</v>
      </c>
      <c r="G3335" s="2">
        <v>157409490</v>
      </c>
      <c r="H3335" s="2" t="s">
        <v>40</v>
      </c>
      <c r="I3335" s="2" t="s">
        <v>2655</v>
      </c>
      <c r="J3335" s="2" t="s">
        <v>2656</v>
      </c>
      <c r="K3335" s="2">
        <v>917531684</v>
      </c>
      <c r="L3335" s="2" t="s">
        <v>177</v>
      </c>
      <c r="M3335" s="2" t="s">
        <v>40</v>
      </c>
      <c r="O3335" s="2" t="s">
        <v>2657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475"/>
        <v>0</v>
      </c>
      <c r="AG3335" s="2">
        <v>0</v>
      </c>
      <c r="AH3335" s="2">
        <v>0</v>
      </c>
      <c r="AJ3335" s="2">
        <f t="shared" si="476"/>
        <v>0</v>
      </c>
      <c r="AK3335" s="2">
        <f t="shared" si="473"/>
        <v>0</v>
      </c>
      <c r="AL3335" s="5" t="e">
        <f t="shared" si="477"/>
        <v>#DIV/0!</v>
      </c>
    </row>
    <row r="3336" spans="1:38" x14ac:dyDescent="0.2">
      <c r="A3336" s="2">
        <v>2026</v>
      </c>
      <c r="B3336" s="2">
        <v>3</v>
      </c>
      <c r="D3336" s="2" t="s">
        <v>2640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475"/>
        <v>0</v>
      </c>
      <c r="AG3336" s="2">
        <v>0</v>
      </c>
      <c r="AH3336" s="2">
        <v>0</v>
      </c>
      <c r="AJ3336" s="2">
        <f t="shared" si="476"/>
        <v>0</v>
      </c>
      <c r="AK3336" s="2">
        <f t="shared" si="473"/>
        <v>0</v>
      </c>
      <c r="AL3336" s="5" t="e">
        <f t="shared" si="477"/>
        <v>#DIV/0!</v>
      </c>
    </row>
    <row r="3337" spans="1:38" x14ac:dyDescent="0.2">
      <c r="A3337" s="2">
        <v>2026</v>
      </c>
      <c r="B3337" s="2">
        <v>3</v>
      </c>
      <c r="C3337" s="2" t="s">
        <v>3420</v>
      </c>
      <c r="D3337" s="2" t="s">
        <v>3417</v>
      </c>
      <c r="E3337" s="2" t="s">
        <v>3418</v>
      </c>
      <c r="F3337" s="2" t="s">
        <v>3419</v>
      </c>
      <c r="L3337" s="2" t="s">
        <v>293</v>
      </c>
      <c r="M3337" s="2" t="s">
        <v>290</v>
      </c>
      <c r="O3337" s="2" t="s">
        <v>2653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475"/>
        <v>0</v>
      </c>
      <c r="AG3337" s="2">
        <v>0</v>
      </c>
      <c r="AH3337" s="2">
        <v>0</v>
      </c>
      <c r="AJ3337" s="2">
        <f t="shared" si="476"/>
        <v>0</v>
      </c>
      <c r="AK3337" s="2">
        <f t="shared" si="473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2658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475"/>
        <v>0</v>
      </c>
      <c r="AG3338" s="2">
        <v>0</v>
      </c>
      <c r="AH3338" s="2">
        <v>0</v>
      </c>
      <c r="AJ3338" s="2">
        <f t="shared" si="476"/>
        <v>0</v>
      </c>
      <c r="AK3338" s="2">
        <f t="shared" si="473"/>
        <v>0</v>
      </c>
      <c r="AL3338" s="5" t="e">
        <f t="shared" ref="AL3338:AL3364" si="478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2659</v>
      </c>
      <c r="E3339" s="2" t="s">
        <v>752</v>
      </c>
      <c r="F3339" s="2" t="s">
        <v>39</v>
      </c>
      <c r="G3339" s="2">
        <v>514057190</v>
      </c>
      <c r="H3339" s="2" t="s">
        <v>40</v>
      </c>
      <c r="I3339" s="2" t="s">
        <v>2660</v>
      </c>
      <c r="J3339" s="2" t="s">
        <v>2661</v>
      </c>
      <c r="K3339" s="2">
        <v>934367883</v>
      </c>
      <c r="L3339" s="2" t="s">
        <v>418</v>
      </c>
      <c r="O3339" s="2" t="s">
        <v>2662</v>
      </c>
      <c r="P3339" s="2" t="s">
        <v>282</v>
      </c>
      <c r="Q3339" s="2" t="s">
        <v>1158</v>
      </c>
      <c r="R3339" s="2" t="s">
        <v>1159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475"/>
        <v>0</v>
      </c>
      <c r="AG3339" s="2">
        <v>0</v>
      </c>
      <c r="AH3339" s="2">
        <v>0</v>
      </c>
      <c r="AJ3339" s="2">
        <f t="shared" si="476"/>
        <v>0</v>
      </c>
      <c r="AK3339" s="2">
        <f t="shared" si="473"/>
        <v>0</v>
      </c>
      <c r="AL3339" s="5" t="e">
        <f t="shared" si="478"/>
        <v>#DIV/0!</v>
      </c>
    </row>
    <row r="3340" spans="1:38" x14ac:dyDescent="0.2">
      <c r="A3340" s="2">
        <v>2026</v>
      </c>
      <c r="B3340" s="2">
        <v>3</v>
      </c>
      <c r="D3340" s="2" t="s">
        <v>2654</v>
      </c>
      <c r="E3340" s="2" t="s">
        <v>752</v>
      </c>
      <c r="F3340" s="2" t="s">
        <v>39</v>
      </c>
      <c r="G3340" s="2">
        <v>157409490</v>
      </c>
      <c r="H3340" s="2" t="s">
        <v>40</v>
      </c>
      <c r="I3340" s="2" t="s">
        <v>2655</v>
      </c>
      <c r="J3340" s="2" t="s">
        <v>2656</v>
      </c>
      <c r="K3340" s="2">
        <v>917531684</v>
      </c>
      <c r="L3340" s="2" t="s">
        <v>177</v>
      </c>
      <c r="M3340" s="2" t="s">
        <v>40</v>
      </c>
      <c r="O3340" s="2" t="s">
        <v>2657</v>
      </c>
      <c r="P3340" s="2" t="s">
        <v>282</v>
      </c>
      <c r="Q3340" s="2" t="s">
        <v>1288</v>
      </c>
      <c r="R3340" s="2" t="s">
        <v>1289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475"/>
        <v>0</v>
      </c>
      <c r="AG3340" s="2">
        <v>0</v>
      </c>
      <c r="AH3340" s="2">
        <v>0</v>
      </c>
      <c r="AJ3340" s="2">
        <f t="shared" si="476"/>
        <v>0</v>
      </c>
      <c r="AK3340" s="2">
        <f t="shared" si="473"/>
        <v>0</v>
      </c>
      <c r="AL3340" s="5" t="e">
        <f t="shared" si="478"/>
        <v>#DIV/0!</v>
      </c>
    </row>
    <row r="3341" spans="1:38" x14ac:dyDescent="0.2">
      <c r="A3341" s="2">
        <v>2026</v>
      </c>
      <c r="B3341" s="2">
        <v>3</v>
      </c>
      <c r="D3341" s="2" t="s">
        <v>2640</v>
      </c>
      <c r="E3341" s="2" t="s">
        <v>752</v>
      </c>
      <c r="G3341" s="2">
        <v>504481991</v>
      </c>
      <c r="H3341" s="2" t="s">
        <v>40</v>
      </c>
      <c r="I3341" s="2" t="s">
        <v>2663</v>
      </c>
      <c r="J3341" s="2" t="s">
        <v>2664</v>
      </c>
      <c r="L3341" s="2" t="s">
        <v>201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475"/>
        <v>0</v>
      </c>
      <c r="AG3341" s="2">
        <v>0</v>
      </c>
      <c r="AH3341" s="2">
        <v>0</v>
      </c>
      <c r="AJ3341" s="2">
        <f t="shared" si="476"/>
        <v>0</v>
      </c>
      <c r="AK3341" s="2">
        <f t="shared" si="473"/>
        <v>0</v>
      </c>
      <c r="AL3341" s="5" t="e">
        <f t="shared" si="478"/>
        <v>#DIV/0!</v>
      </c>
    </row>
    <row r="3342" spans="1:38" x14ac:dyDescent="0.2">
      <c r="A3342" s="2">
        <v>2026</v>
      </c>
      <c r="B3342" s="2">
        <v>3</v>
      </c>
      <c r="D3342" s="2" t="s">
        <v>2658</v>
      </c>
      <c r="E3342" s="2" t="s">
        <v>752</v>
      </c>
      <c r="G3342" s="2">
        <v>509674658</v>
      </c>
      <c r="H3342" s="2" t="s">
        <v>40</v>
      </c>
      <c r="I3342" s="2" t="s">
        <v>2665</v>
      </c>
      <c r="J3342" s="2" t="s">
        <v>2666</v>
      </c>
      <c r="L3342" s="2" t="s">
        <v>177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475"/>
        <v>0</v>
      </c>
      <c r="AG3342" s="2">
        <v>0</v>
      </c>
      <c r="AH3342" s="2">
        <v>0</v>
      </c>
      <c r="AJ3342" s="2">
        <f t="shared" si="476"/>
        <v>0</v>
      </c>
      <c r="AK3342" s="2">
        <f t="shared" si="473"/>
        <v>0</v>
      </c>
      <c r="AL3342" s="5" t="e">
        <f t="shared" si="478"/>
        <v>#DIV/0!</v>
      </c>
    </row>
    <row r="3343" spans="1:38" x14ac:dyDescent="0.2">
      <c r="A3343" s="2">
        <v>2026</v>
      </c>
      <c r="B3343" s="2">
        <v>3</v>
      </c>
      <c r="D3343" s="2" t="s">
        <v>2659</v>
      </c>
      <c r="E3343" s="2" t="s">
        <v>752</v>
      </c>
      <c r="F3343" s="2" t="s">
        <v>39</v>
      </c>
      <c r="G3343" s="2">
        <v>514057190</v>
      </c>
      <c r="H3343" s="2" t="s">
        <v>40</v>
      </c>
      <c r="I3343" s="2" t="s">
        <v>2660</v>
      </c>
      <c r="J3343" s="2" t="s">
        <v>2661</v>
      </c>
      <c r="K3343" s="2">
        <v>934367883</v>
      </c>
      <c r="L3343" s="2" t="s">
        <v>418</v>
      </c>
      <c r="O3343" s="2" t="s">
        <v>2662</v>
      </c>
      <c r="P3343" s="2" t="s">
        <v>282</v>
      </c>
      <c r="Q3343" s="2" t="s">
        <v>1288</v>
      </c>
      <c r="R3343" s="2" t="s">
        <v>1289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104</v>
      </c>
      <c r="AA3343" s="2" t="s">
        <v>1574</v>
      </c>
      <c r="AB3343" s="2" t="s">
        <v>388</v>
      </c>
      <c r="AC3343" s="2" t="s">
        <v>1327</v>
      </c>
      <c r="AF3343" s="2">
        <f t="shared" si="475"/>
        <v>0</v>
      </c>
      <c r="AG3343" s="2">
        <v>0</v>
      </c>
      <c r="AH3343" s="2">
        <v>0</v>
      </c>
      <c r="AJ3343" s="2">
        <f t="shared" si="476"/>
        <v>0</v>
      </c>
      <c r="AK3343" s="2">
        <f t="shared" si="473"/>
        <v>0</v>
      </c>
      <c r="AL3343" s="5" t="e">
        <f t="shared" si="478"/>
        <v>#DIV/0!</v>
      </c>
    </row>
    <row r="3344" spans="1:38" x14ac:dyDescent="0.2">
      <c r="A3344" s="2">
        <v>2026</v>
      </c>
      <c r="B3344" s="2">
        <v>3</v>
      </c>
      <c r="D3344" s="2" t="s">
        <v>1884</v>
      </c>
      <c r="P3344" s="2" t="s">
        <v>282</v>
      </c>
      <c r="Q3344" s="2" t="s">
        <v>1950</v>
      </c>
      <c r="R3344" s="2" t="s">
        <v>1951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79">(T3344-W3344)/T3344</f>
        <v>0.46364312267657992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475"/>
        <v>0</v>
      </c>
      <c r="AJ3344" s="2">
        <f t="shared" si="476"/>
        <v>0</v>
      </c>
      <c r="AK3344" s="2">
        <f t="shared" si="473"/>
        <v>124.72</v>
      </c>
      <c r="AL3344" s="5">
        <f t="shared" si="478"/>
        <v>0.46364312267657992</v>
      </c>
    </row>
    <row r="3345" spans="1:38" x14ac:dyDescent="0.2">
      <c r="A3345" s="2">
        <v>2026</v>
      </c>
      <c r="B3345" s="2">
        <v>3</v>
      </c>
      <c r="D3345" s="2" t="s">
        <v>2667</v>
      </c>
      <c r="P3345" s="2" t="s">
        <v>282</v>
      </c>
      <c r="Q3345" s="2" t="s">
        <v>1436</v>
      </c>
      <c r="R3345" s="2" t="s">
        <v>1437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>5.135*S3345</f>
        <v>154.04999999999998</v>
      </c>
      <c r="X3345" s="5">
        <f t="shared" si="479"/>
        <v>0.25579710144927542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475"/>
        <v>0</v>
      </c>
      <c r="AG3345" s="2">
        <v>2.4323999999999999</v>
      </c>
      <c r="AH3345" s="2">
        <v>7.9</v>
      </c>
      <c r="AJ3345" s="2">
        <f t="shared" si="476"/>
        <v>0</v>
      </c>
      <c r="AK3345" s="2">
        <f t="shared" si="473"/>
        <v>52.950000000000017</v>
      </c>
      <c r="AL3345" s="5">
        <f t="shared" si="478"/>
        <v>0.25579710144927542</v>
      </c>
    </row>
    <row r="3346" spans="1:38" x14ac:dyDescent="0.2">
      <c r="A3346" s="2">
        <v>2026</v>
      </c>
      <c r="B3346" s="2">
        <v>3</v>
      </c>
      <c r="D3346" s="2" t="s">
        <v>488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489</v>
      </c>
      <c r="J3346" s="2" t="s">
        <v>490</v>
      </c>
      <c r="K3346" s="2">
        <v>912293443</v>
      </c>
      <c r="L3346" s="2" t="s">
        <v>99</v>
      </c>
      <c r="M3346" s="2" t="s">
        <v>80</v>
      </c>
      <c r="O3346" s="2" t="s">
        <v>2668</v>
      </c>
      <c r="P3346" s="2" t="s">
        <v>282</v>
      </c>
      <c r="Q3346" s="2" t="s">
        <v>1436</v>
      </c>
      <c r="R3346" s="2" t="s">
        <v>1437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>5.135*S3346</f>
        <v>10.27</v>
      </c>
      <c r="X3346" s="5">
        <f t="shared" si="479"/>
        <v>0.35000000000000003</v>
      </c>
      <c r="Z3346" s="2" t="s">
        <v>3226</v>
      </c>
      <c r="AA3346" s="2" t="s">
        <v>71</v>
      </c>
      <c r="AB3346" s="2" t="s">
        <v>119</v>
      </c>
      <c r="AC3346" s="2" t="s">
        <v>119</v>
      </c>
      <c r="AF3346" s="2">
        <f t="shared" si="475"/>
        <v>0</v>
      </c>
      <c r="AG3346" s="2">
        <v>2.4323999999999999</v>
      </c>
      <c r="AH3346" s="2">
        <v>7.9</v>
      </c>
      <c r="AJ3346" s="2">
        <f t="shared" si="476"/>
        <v>0</v>
      </c>
      <c r="AK3346" s="2">
        <f t="shared" si="473"/>
        <v>5.5300000000000011</v>
      </c>
      <c r="AL3346" s="5">
        <f t="shared" si="478"/>
        <v>0.35000000000000003</v>
      </c>
    </row>
    <row r="3347" spans="1:38" x14ac:dyDescent="0.2">
      <c r="A3347" s="2">
        <v>2026</v>
      </c>
      <c r="B3347" s="2">
        <v>3</v>
      </c>
      <c r="D3347" s="2" t="s">
        <v>2669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1554</v>
      </c>
      <c r="K3347" s="2">
        <v>965119464</v>
      </c>
      <c r="L3347" s="2" t="s">
        <v>177</v>
      </c>
      <c r="M3347" s="2" t="s">
        <v>41</v>
      </c>
      <c r="P3347" s="2" t="s">
        <v>282</v>
      </c>
      <c r="Q3347" s="2" t="s">
        <v>1547</v>
      </c>
      <c r="R3347" s="2" t="s">
        <v>1548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79"/>
        <v>0.4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475"/>
        <v>0</v>
      </c>
      <c r="AG3347" s="2">
        <v>297</v>
      </c>
      <c r="AH3347" s="2">
        <v>595</v>
      </c>
      <c r="AJ3347" s="2">
        <f t="shared" si="476"/>
        <v>0</v>
      </c>
      <c r="AK3347" s="2">
        <f t="shared" si="473"/>
        <v>198</v>
      </c>
      <c r="AL3347" s="5">
        <f t="shared" si="478"/>
        <v>0.4</v>
      </c>
    </row>
    <row r="3348" spans="1:38" x14ac:dyDescent="0.2">
      <c r="A3348" s="2">
        <v>2026</v>
      </c>
      <c r="B3348" s="2">
        <v>3</v>
      </c>
      <c r="D3348" s="2" t="s">
        <v>3257</v>
      </c>
      <c r="E3348" s="2" t="s">
        <v>38</v>
      </c>
      <c r="G3348" s="2">
        <v>500844321</v>
      </c>
      <c r="H3348" s="2" t="s">
        <v>40</v>
      </c>
      <c r="I3348" s="2" t="s">
        <v>339</v>
      </c>
      <c r="J3348" s="2" t="s">
        <v>2646</v>
      </c>
      <c r="L3348" s="2" t="s">
        <v>418</v>
      </c>
      <c r="M3348" s="2" t="s">
        <v>41</v>
      </c>
      <c r="O3348" s="2" t="s">
        <v>3256</v>
      </c>
      <c r="P3348" s="2" t="s">
        <v>282</v>
      </c>
      <c r="Q3348" s="2" t="s">
        <v>1252</v>
      </c>
      <c r="R3348" s="2" t="s">
        <v>1253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79"/>
        <v>0.17399999999999999</v>
      </c>
      <c r="Z3348" s="2" t="s">
        <v>104</v>
      </c>
      <c r="AA3348" s="2" t="s">
        <v>387</v>
      </c>
      <c r="AB3348" s="2" t="s">
        <v>388</v>
      </c>
      <c r="AC3348" s="2" t="s">
        <v>389</v>
      </c>
      <c r="AF3348" s="2">
        <f t="shared" si="475"/>
        <v>0</v>
      </c>
      <c r="AG3348" s="2">
        <v>1239</v>
      </c>
      <c r="AH3348" s="2">
        <v>2950</v>
      </c>
      <c r="AJ3348" s="2">
        <f t="shared" si="476"/>
        <v>0</v>
      </c>
      <c r="AK3348" s="2">
        <f t="shared" si="473"/>
        <v>261</v>
      </c>
      <c r="AL3348" s="5">
        <f t="shared" si="478"/>
        <v>0.17399999999999999</v>
      </c>
    </row>
    <row r="3349" spans="1:38" x14ac:dyDescent="0.2">
      <c r="A3349" s="2">
        <v>2026</v>
      </c>
      <c r="B3349" s="2">
        <v>3</v>
      </c>
      <c r="D3349" s="2" t="s">
        <v>2669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1554</v>
      </c>
      <c r="K3349" s="2">
        <v>965119464</v>
      </c>
      <c r="L3349" s="2" t="s">
        <v>177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80">14.5099*S3349</f>
        <v>145.09899999999999</v>
      </c>
      <c r="X3349" s="5">
        <f t="shared" si="479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3331</v>
      </c>
      <c r="AF3349" s="2">
        <f t="shared" si="475"/>
        <v>0</v>
      </c>
      <c r="AJ3349" s="2">
        <f t="shared" si="476"/>
        <v>0</v>
      </c>
      <c r="AK3349" s="2">
        <f t="shared" si="473"/>
        <v>54.90100000000001</v>
      </c>
      <c r="AL3349" s="5">
        <f t="shared" si="478"/>
        <v>0.27450500000000005</v>
      </c>
    </row>
    <row r="3350" spans="1:38" x14ac:dyDescent="0.2">
      <c r="A3350" s="2">
        <v>2026</v>
      </c>
      <c r="B3350" s="2">
        <v>3</v>
      </c>
      <c r="D3350" s="2" t="s">
        <v>1355</v>
      </c>
      <c r="E3350" s="2" t="s">
        <v>752</v>
      </c>
      <c r="F3350" s="2" t="s">
        <v>39</v>
      </c>
      <c r="G3350" s="2">
        <v>518238334</v>
      </c>
      <c r="H3350" s="2" t="s">
        <v>41</v>
      </c>
      <c r="I3350" s="2" t="s">
        <v>762</v>
      </c>
      <c r="J3350" s="2" t="s">
        <v>1356</v>
      </c>
      <c r="L3350" s="2" t="s">
        <v>418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80"/>
        <v>145.09899999999999</v>
      </c>
      <c r="X3350" s="5">
        <f t="shared" si="479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3331</v>
      </c>
      <c r="AF3350" s="2">
        <f t="shared" si="475"/>
        <v>0</v>
      </c>
      <c r="AJ3350" s="2">
        <f t="shared" si="476"/>
        <v>0</v>
      </c>
      <c r="AK3350" s="2">
        <f t="shared" ref="AK3350:AK3381" si="481">T3350-W3350</f>
        <v>54.90100000000001</v>
      </c>
      <c r="AL3350" s="5">
        <f t="shared" si="478"/>
        <v>0.27450500000000005</v>
      </c>
    </row>
    <row r="3351" spans="1:38" x14ac:dyDescent="0.2">
      <c r="A3351" s="2">
        <v>2026</v>
      </c>
      <c r="B3351" s="2">
        <v>3</v>
      </c>
      <c r="D3351" s="2" t="s">
        <v>1006</v>
      </c>
      <c r="E3351" s="2" t="s">
        <v>108</v>
      </c>
      <c r="F3351" s="2" t="s">
        <v>39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80"/>
        <v>145.09899999999999</v>
      </c>
      <c r="X3351" s="5">
        <f t="shared" si="479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3331</v>
      </c>
      <c r="AF3351" s="2">
        <f t="shared" si="475"/>
        <v>0</v>
      </c>
      <c r="AJ3351" s="2">
        <f t="shared" si="476"/>
        <v>0</v>
      </c>
      <c r="AK3351" s="2">
        <f t="shared" si="481"/>
        <v>54.90100000000001</v>
      </c>
      <c r="AL3351" s="5">
        <f t="shared" si="478"/>
        <v>0.27450500000000005</v>
      </c>
    </row>
    <row r="3352" spans="1:38" x14ac:dyDescent="0.2">
      <c r="A3352" s="2">
        <v>2026</v>
      </c>
      <c r="B3352" s="2">
        <v>3</v>
      </c>
      <c r="D3352" s="2" t="s">
        <v>1553</v>
      </c>
      <c r="E3352" s="2" t="s">
        <v>108</v>
      </c>
      <c r="F3352" s="2" t="s">
        <v>717</v>
      </c>
      <c r="G3352" s="2">
        <v>500975914</v>
      </c>
      <c r="H3352" s="2" t="s">
        <v>41</v>
      </c>
      <c r="I3352" s="2" t="s">
        <v>1554</v>
      </c>
      <c r="J3352" s="2" t="s">
        <v>1555</v>
      </c>
      <c r="L3352" s="2" t="s">
        <v>177</v>
      </c>
      <c r="M3352" s="2" t="s">
        <v>41</v>
      </c>
      <c r="P3352" s="2" t="s">
        <v>282</v>
      </c>
      <c r="Q3352" s="2" t="s">
        <v>399</v>
      </c>
      <c r="R3352" s="2" t="s">
        <v>400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80"/>
        <v>290.19799999999998</v>
      </c>
      <c r="X3352" s="5">
        <f t="shared" si="479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3331</v>
      </c>
      <c r="AF3352" s="2">
        <f t="shared" si="475"/>
        <v>0</v>
      </c>
      <c r="AJ3352" s="2">
        <f t="shared" si="476"/>
        <v>0</v>
      </c>
      <c r="AK3352" s="2">
        <f t="shared" si="481"/>
        <v>109.80200000000002</v>
      </c>
      <c r="AL3352" s="5">
        <f t="shared" si="478"/>
        <v>0.27450500000000005</v>
      </c>
    </row>
    <row r="3353" spans="1:38" x14ac:dyDescent="0.2">
      <c r="A3353" s="2">
        <v>2026</v>
      </c>
      <c r="B3353" s="2">
        <v>3</v>
      </c>
      <c r="D3353" s="2" t="s">
        <v>2669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1554</v>
      </c>
      <c r="K3353" s="2">
        <v>965119464</v>
      </c>
      <c r="L3353" s="2" t="s">
        <v>177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80"/>
        <v>145.09899999999999</v>
      </c>
      <c r="X3353" s="5">
        <f t="shared" si="479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3331</v>
      </c>
      <c r="AF3353" s="2">
        <f t="shared" si="475"/>
        <v>0</v>
      </c>
      <c r="AJ3353" s="2">
        <f t="shared" si="476"/>
        <v>0</v>
      </c>
      <c r="AK3353" s="2">
        <f t="shared" si="481"/>
        <v>54.90100000000001</v>
      </c>
      <c r="AL3353" s="5">
        <f t="shared" si="478"/>
        <v>0.27450500000000005</v>
      </c>
    </row>
    <row r="3354" spans="1:38" x14ac:dyDescent="0.2">
      <c r="A3354" s="2">
        <v>2026</v>
      </c>
      <c r="B3354" s="2">
        <v>3</v>
      </c>
      <c r="D3354" s="2" t="s">
        <v>1355</v>
      </c>
      <c r="E3354" s="2" t="s">
        <v>752</v>
      </c>
      <c r="F3354" s="2" t="s">
        <v>39</v>
      </c>
      <c r="G3354" s="2">
        <v>518238334</v>
      </c>
      <c r="H3354" s="2" t="s">
        <v>41</v>
      </c>
      <c r="I3354" s="2" t="s">
        <v>762</v>
      </c>
      <c r="J3354" s="2" t="s">
        <v>1356</v>
      </c>
      <c r="L3354" s="2" t="s">
        <v>418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80"/>
        <v>145.09899999999999</v>
      </c>
      <c r="X3354" s="5">
        <f t="shared" si="479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3331</v>
      </c>
      <c r="AF3354" s="2">
        <f t="shared" si="475"/>
        <v>0</v>
      </c>
      <c r="AJ3354" s="2">
        <f t="shared" si="476"/>
        <v>0</v>
      </c>
      <c r="AK3354" s="2">
        <f t="shared" si="481"/>
        <v>54.90100000000001</v>
      </c>
      <c r="AL3354" s="5">
        <f t="shared" si="478"/>
        <v>0.27450500000000005</v>
      </c>
    </row>
    <row r="3355" spans="1:38" x14ac:dyDescent="0.2">
      <c r="A3355" s="2">
        <v>2026</v>
      </c>
      <c r="B3355" s="2">
        <v>3</v>
      </c>
      <c r="D3355" s="2" t="s">
        <v>1006</v>
      </c>
      <c r="E3355" s="2" t="s">
        <v>108</v>
      </c>
      <c r="F3355" s="2" t="s">
        <v>39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80"/>
        <v>145.09899999999999</v>
      </c>
      <c r="X3355" s="5">
        <f t="shared" si="479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3331</v>
      </c>
      <c r="AF3355" s="2">
        <f t="shared" si="475"/>
        <v>0</v>
      </c>
      <c r="AJ3355" s="2">
        <f t="shared" si="476"/>
        <v>0</v>
      </c>
      <c r="AK3355" s="2">
        <f t="shared" si="481"/>
        <v>54.90100000000001</v>
      </c>
      <c r="AL3355" s="5">
        <f t="shared" si="478"/>
        <v>0.27450500000000005</v>
      </c>
    </row>
    <row r="3356" spans="1:38" x14ac:dyDescent="0.2">
      <c r="A3356" s="2">
        <v>2026</v>
      </c>
      <c r="B3356" s="2">
        <v>3</v>
      </c>
      <c r="D3356" s="2" t="s">
        <v>1553</v>
      </c>
      <c r="E3356" s="2" t="s">
        <v>108</v>
      </c>
      <c r="F3356" s="2" t="s">
        <v>717</v>
      </c>
      <c r="G3356" s="2">
        <v>500975914</v>
      </c>
      <c r="H3356" s="2" t="s">
        <v>41</v>
      </c>
      <c r="I3356" s="2" t="s">
        <v>1554</v>
      </c>
      <c r="J3356" s="2" t="s">
        <v>1555</v>
      </c>
      <c r="L3356" s="2" t="s">
        <v>177</v>
      </c>
      <c r="M3356" s="2" t="s">
        <v>41</v>
      </c>
      <c r="P3356" s="2" t="s">
        <v>282</v>
      </c>
      <c r="Q3356" s="2" t="s">
        <v>401</v>
      </c>
      <c r="R3356" s="2" t="s">
        <v>402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80"/>
        <v>290.19799999999998</v>
      </c>
      <c r="X3356" s="5">
        <f t="shared" si="479"/>
        <v>0.27450500000000005</v>
      </c>
      <c r="Z3356" s="2" t="s">
        <v>3226</v>
      </c>
      <c r="AA3356" s="2" t="s">
        <v>46</v>
      </c>
      <c r="AB3356" s="2" t="s">
        <v>60</v>
      </c>
      <c r="AC3356" s="2" t="s">
        <v>3331</v>
      </c>
      <c r="AF3356" s="2">
        <f t="shared" si="475"/>
        <v>0</v>
      </c>
      <c r="AJ3356" s="2">
        <f t="shared" si="476"/>
        <v>0</v>
      </c>
      <c r="AK3356" s="2">
        <f t="shared" si="481"/>
        <v>109.80200000000002</v>
      </c>
      <c r="AL3356" s="5">
        <f t="shared" si="478"/>
        <v>0.27450500000000005</v>
      </c>
    </row>
    <row r="3357" spans="1:38" x14ac:dyDescent="0.2">
      <c r="A3357" s="2">
        <v>2026</v>
      </c>
      <c r="B3357" s="2">
        <v>3</v>
      </c>
      <c r="D3357" s="2" t="s">
        <v>2516</v>
      </c>
      <c r="E3357" s="2" t="s">
        <v>752</v>
      </c>
      <c r="F3357" s="2" t="s">
        <v>39</v>
      </c>
      <c r="G3357" s="2">
        <v>515570354</v>
      </c>
      <c r="H3357" s="2" t="s">
        <v>109</v>
      </c>
      <c r="I3357" s="2" t="s">
        <v>2517</v>
      </c>
      <c r="J3357" s="2" t="s">
        <v>2518</v>
      </c>
      <c r="K3357" s="2">
        <v>967032538</v>
      </c>
      <c r="L3357" s="2" t="s">
        <v>398</v>
      </c>
      <c r="M3357" s="2" t="s">
        <v>109</v>
      </c>
      <c r="O3357" s="2" t="s">
        <v>2639</v>
      </c>
      <c r="P3357" s="2" t="s">
        <v>43</v>
      </c>
      <c r="Q3357" s="2" t="s">
        <v>1104</v>
      </c>
      <c r="R3357" s="2" t="s">
        <v>1105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79"/>
        <v>0.52380952380952384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475"/>
        <v>0</v>
      </c>
      <c r="AG3357" s="2">
        <v>10</v>
      </c>
      <c r="AH3357" s="2">
        <v>21</v>
      </c>
      <c r="AJ3357" s="2">
        <f t="shared" si="476"/>
        <v>0</v>
      </c>
      <c r="AK3357" s="2">
        <f t="shared" si="481"/>
        <v>11</v>
      </c>
      <c r="AL3357" s="5">
        <f t="shared" si="478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48</v>
      </c>
      <c r="R3358" s="2" t="s">
        <v>49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79"/>
        <v>0.49025384615384621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475"/>
        <v>0</v>
      </c>
      <c r="AG3358" s="2">
        <v>6.6266999999999996</v>
      </c>
      <c r="AH3358" s="2">
        <v>12</v>
      </c>
      <c r="AJ3358" s="2">
        <f t="shared" si="476"/>
        <v>0</v>
      </c>
      <c r="AK3358" s="2">
        <f t="shared" si="481"/>
        <v>12.746600000000001</v>
      </c>
      <c r="AL3358" s="5">
        <f t="shared" si="478"/>
        <v>0.49025384615384621</v>
      </c>
    </row>
    <row r="3359" spans="1:38" x14ac:dyDescent="0.2">
      <c r="A3359" s="2">
        <v>2026</v>
      </c>
      <c r="B3359" s="2">
        <v>3</v>
      </c>
      <c r="D3359" s="2" t="s">
        <v>2516</v>
      </c>
      <c r="E3359" s="2" t="s">
        <v>752</v>
      </c>
      <c r="F3359" s="2" t="s">
        <v>39</v>
      </c>
      <c r="G3359" s="2">
        <v>515570354</v>
      </c>
      <c r="H3359" s="2" t="s">
        <v>109</v>
      </c>
      <c r="I3359" s="2" t="s">
        <v>2517</v>
      </c>
      <c r="J3359" s="2" t="s">
        <v>2518</v>
      </c>
      <c r="K3359" s="2">
        <v>967032538</v>
      </c>
      <c r="L3359" s="2" t="s">
        <v>398</v>
      </c>
      <c r="M3359" s="2" t="s">
        <v>109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79"/>
        <v>0.44777500000000003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475"/>
        <v>0</v>
      </c>
      <c r="AG3359" s="2">
        <v>6.6266999999999996</v>
      </c>
      <c r="AH3359" s="2">
        <v>12</v>
      </c>
      <c r="AJ3359" s="2">
        <f t="shared" si="476"/>
        <v>0</v>
      </c>
      <c r="AK3359" s="2">
        <f t="shared" si="481"/>
        <v>5.3733000000000004</v>
      </c>
      <c r="AL3359" s="5">
        <f t="shared" si="478"/>
        <v>0.44777500000000003</v>
      </c>
    </row>
    <row r="3360" spans="1:38" x14ac:dyDescent="0.2">
      <c r="A3360" s="2">
        <v>2026</v>
      </c>
      <c r="B3360" s="2">
        <v>3</v>
      </c>
      <c r="D3360" s="2" t="s">
        <v>1008</v>
      </c>
      <c r="E3360" s="2" t="s">
        <v>108</v>
      </c>
      <c r="F3360" s="2" t="s">
        <v>39</v>
      </c>
      <c r="L3360" s="2" t="s">
        <v>418</v>
      </c>
      <c r="M3360" s="2" t="s">
        <v>41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79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475"/>
        <v>0</v>
      </c>
      <c r="AG3360" s="2">
        <v>6.6266999999999996</v>
      </c>
      <c r="AH3360" s="2">
        <v>12</v>
      </c>
      <c r="AJ3360" s="2">
        <f t="shared" si="476"/>
        <v>0</v>
      </c>
      <c r="AK3360" s="2">
        <f t="shared" si="481"/>
        <v>6.3733000000000004</v>
      </c>
      <c r="AL3360" s="5">
        <f t="shared" si="478"/>
        <v>0.49025384615384621</v>
      </c>
    </row>
    <row r="3361" spans="1:38" x14ac:dyDescent="0.2">
      <c r="A3361" s="2">
        <v>2026</v>
      </c>
      <c r="B3361" s="2">
        <v>3</v>
      </c>
      <c r="D3361" s="2" t="s">
        <v>843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418</v>
      </c>
      <c r="K3361" s="2" t="s">
        <v>844</v>
      </c>
      <c r="L3361" s="2" t="s">
        <v>418</v>
      </c>
      <c r="M3361" s="2" t="s">
        <v>41</v>
      </c>
      <c r="O3361" s="2" t="s">
        <v>2670</v>
      </c>
      <c r="P3361" s="2" t="s">
        <v>43</v>
      </c>
      <c r="Q3361" s="2" t="s">
        <v>48</v>
      </c>
      <c r="R3361" s="2" t="s">
        <v>49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79"/>
        <v>0.49025384615384621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475"/>
        <v>0</v>
      </c>
      <c r="AG3361" s="2">
        <v>6.6266999999999996</v>
      </c>
      <c r="AH3361" s="2">
        <v>12</v>
      </c>
      <c r="AJ3361" s="2">
        <f t="shared" si="476"/>
        <v>0</v>
      </c>
      <c r="AK3361" s="2">
        <f t="shared" si="481"/>
        <v>6.3733000000000004</v>
      </c>
      <c r="AL3361" s="5">
        <f t="shared" si="478"/>
        <v>0.49025384615384621</v>
      </c>
    </row>
    <row r="3362" spans="1:38" x14ac:dyDescent="0.2">
      <c r="A3362" s="2">
        <v>2026</v>
      </c>
      <c r="B3362" s="2">
        <v>4</v>
      </c>
      <c r="D3362" s="2" t="s">
        <v>689</v>
      </c>
      <c r="E3362" s="2" t="s">
        <v>108</v>
      </c>
      <c r="F3362" s="2" t="s">
        <v>39</v>
      </c>
      <c r="G3362" s="2">
        <v>503589950</v>
      </c>
      <c r="H3362" s="2" t="s">
        <v>41</v>
      </c>
      <c r="I3362" s="2" t="s">
        <v>610</v>
      </c>
      <c r="J3362" s="2" t="s">
        <v>690</v>
      </c>
      <c r="K3362" s="2">
        <v>913036545</v>
      </c>
      <c r="L3362" s="2" t="s">
        <v>177</v>
      </c>
      <c r="M3362" s="2" t="s">
        <v>41</v>
      </c>
      <c r="O3362" s="2" t="s">
        <v>2613</v>
      </c>
      <c r="P3362" s="2" t="s">
        <v>43</v>
      </c>
      <c r="Q3362" s="2" t="s">
        <v>50</v>
      </c>
      <c r="R3362" s="2" t="s">
        <v>51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79"/>
        <v>0.31428571428571428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475"/>
        <v>0</v>
      </c>
      <c r="AG3362" s="2">
        <v>14.4</v>
      </c>
      <c r="AH3362" s="2">
        <v>21</v>
      </c>
      <c r="AJ3362" s="2">
        <f t="shared" si="476"/>
        <v>0</v>
      </c>
      <c r="AK3362" s="2">
        <f t="shared" si="481"/>
        <v>13.2</v>
      </c>
      <c r="AL3362" s="5">
        <f t="shared" si="478"/>
        <v>0.31428571428571428</v>
      </c>
    </row>
    <row r="3363" spans="1:38" x14ac:dyDescent="0.2">
      <c r="A3363" s="2">
        <v>2026</v>
      </c>
      <c r="B3363" s="2">
        <v>3</v>
      </c>
      <c r="D3363" s="2" t="s">
        <v>864</v>
      </c>
      <c r="E3363" s="2" t="s">
        <v>38</v>
      </c>
      <c r="G3363" s="2">
        <v>517724308</v>
      </c>
      <c r="I3363" s="2" t="s">
        <v>177</v>
      </c>
      <c r="L3363" s="2" t="s">
        <v>177</v>
      </c>
      <c r="M3363" s="2" t="s">
        <v>41</v>
      </c>
      <c r="O3363" s="2" t="s">
        <v>2671</v>
      </c>
      <c r="P3363" s="2" t="s">
        <v>43</v>
      </c>
      <c r="Q3363" s="2" t="s">
        <v>48</v>
      </c>
      <c r="R3363" s="2" t="s">
        <v>49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79"/>
        <v>0.44777500000000003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475"/>
        <v>0</v>
      </c>
      <c r="AG3363" s="2">
        <v>6.6266999999999996</v>
      </c>
      <c r="AH3363" s="2">
        <v>12</v>
      </c>
      <c r="AJ3363" s="2">
        <f t="shared" si="476"/>
        <v>0</v>
      </c>
      <c r="AK3363" s="2">
        <f t="shared" si="481"/>
        <v>5.3733000000000004</v>
      </c>
      <c r="AL3363" s="5">
        <f t="shared" si="478"/>
        <v>0.44777500000000003</v>
      </c>
    </row>
    <row r="3364" spans="1:38" x14ac:dyDescent="0.2">
      <c r="A3364" s="2">
        <v>2026</v>
      </c>
      <c r="B3364" s="2">
        <v>3</v>
      </c>
      <c r="D3364" s="2" t="s">
        <v>1092</v>
      </c>
      <c r="E3364" s="2" t="s">
        <v>108</v>
      </c>
      <c r="F3364" s="2" t="s">
        <v>39</v>
      </c>
      <c r="G3364" s="2">
        <v>513356932</v>
      </c>
      <c r="H3364" s="2" t="s">
        <v>41</v>
      </c>
      <c r="I3364" s="2" t="s">
        <v>2672</v>
      </c>
      <c r="J3364" s="2" t="s">
        <v>2673</v>
      </c>
      <c r="K3364" s="2">
        <v>962939747</v>
      </c>
      <c r="L3364" s="2" t="s">
        <v>99</v>
      </c>
      <c r="M3364" s="2" t="s">
        <v>41</v>
      </c>
      <c r="O3364" s="2" t="s">
        <v>2674</v>
      </c>
      <c r="P3364" s="2" t="s">
        <v>43</v>
      </c>
      <c r="Q3364" s="2" t="s">
        <v>48</v>
      </c>
      <c r="R3364" s="2" t="s">
        <v>49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79"/>
        <v>0.3975727272727273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475"/>
        <v>0</v>
      </c>
      <c r="AG3364" s="2">
        <v>6.6266999999999996</v>
      </c>
      <c r="AH3364" s="2">
        <v>12</v>
      </c>
      <c r="AJ3364" s="2">
        <f t="shared" si="476"/>
        <v>0</v>
      </c>
      <c r="AK3364" s="2">
        <f t="shared" si="481"/>
        <v>43.733000000000004</v>
      </c>
      <c r="AL3364" s="5">
        <f t="shared" si="478"/>
        <v>0.3975727272727273</v>
      </c>
    </row>
    <row r="3365" spans="1:38" x14ac:dyDescent="0.2">
      <c r="A3365" s="2">
        <v>2026</v>
      </c>
      <c r="B3365" s="2">
        <v>3</v>
      </c>
      <c r="D3365" s="2" t="s">
        <v>597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598</v>
      </c>
      <c r="J3365" s="2" t="s">
        <v>599</v>
      </c>
      <c r="K3365" s="2">
        <v>919603867</v>
      </c>
      <c r="L3365" s="2" t="s">
        <v>600</v>
      </c>
      <c r="M3365" s="2" t="s">
        <v>41</v>
      </c>
      <c r="O3365" s="2" t="s">
        <v>2675</v>
      </c>
      <c r="P3365" s="2" t="s">
        <v>43</v>
      </c>
      <c r="Q3365" s="2" t="s">
        <v>48</v>
      </c>
      <c r="R3365" s="2" t="s">
        <v>49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18">
        <f>IF(T3365=0,IF(W3365&gt;0,-100%,0%),(T3365-W3365)/T3365)</f>
        <v>-1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475"/>
        <v>0</v>
      </c>
      <c r="AG3365" s="2">
        <v>6.6266999999999996</v>
      </c>
      <c r="AH3365" s="2">
        <v>12</v>
      </c>
      <c r="AJ3365" s="2">
        <f t="shared" si="476"/>
        <v>0</v>
      </c>
      <c r="AK3365" s="2">
        <f t="shared" si="481"/>
        <v>-13.253399999999999</v>
      </c>
      <c r="AL3365" s="18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1312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177</v>
      </c>
      <c r="J3366" s="2" t="s">
        <v>1313</v>
      </c>
      <c r="L3366" s="2" t="s">
        <v>177</v>
      </c>
      <c r="M3366" s="2" t="s">
        <v>41</v>
      </c>
      <c r="O3366" s="2" t="s">
        <v>2676</v>
      </c>
      <c r="P3366" s="2" t="s">
        <v>43</v>
      </c>
      <c r="Q3366" s="2" t="s">
        <v>592</v>
      </c>
      <c r="R3366" s="2" t="s">
        <v>593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11.295*S3366</f>
        <v>11.295</v>
      </c>
      <c r="X3366" s="5">
        <f t="shared" ref="X3366:X3373" si="482">(T3366-W3366)/T3366</f>
        <v>0.68624999999999992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475"/>
        <v>0</v>
      </c>
      <c r="AG3366" s="2">
        <v>11.76</v>
      </c>
      <c r="AH3366" s="2">
        <v>36</v>
      </c>
      <c r="AJ3366" s="2">
        <f t="shared" si="476"/>
        <v>0</v>
      </c>
      <c r="AK3366" s="2">
        <f t="shared" si="481"/>
        <v>24.704999999999998</v>
      </c>
      <c r="AL3366" s="5">
        <f t="shared" ref="AL3366:AL3373" si="483">(T3366-W3366)/T3366</f>
        <v>0.68624999999999992</v>
      </c>
    </row>
    <row r="3367" spans="1:38" x14ac:dyDescent="0.2">
      <c r="A3367" s="2">
        <v>2026</v>
      </c>
      <c r="B3367" s="2">
        <v>3</v>
      </c>
      <c r="D3367" s="2" t="s">
        <v>813</v>
      </c>
      <c r="E3367" s="2" t="s">
        <v>38</v>
      </c>
      <c r="F3367" s="2" t="s">
        <v>39</v>
      </c>
      <c r="G3367" s="2" t="s">
        <v>814</v>
      </c>
      <c r="H3367" s="2" t="s">
        <v>41</v>
      </c>
      <c r="I3367" s="2" t="s">
        <v>626</v>
      </c>
      <c r="L3367" s="2" t="s">
        <v>626</v>
      </c>
      <c r="M3367" s="2" t="s">
        <v>41</v>
      </c>
      <c r="O3367" s="2" t="s">
        <v>2677</v>
      </c>
      <c r="P3367" s="2" t="s">
        <v>43</v>
      </c>
      <c r="Q3367" s="2" t="s">
        <v>50</v>
      </c>
      <c r="R3367" s="2" t="s">
        <v>51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82"/>
        <v>0.31428571428571428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475"/>
        <v>0</v>
      </c>
      <c r="AG3367" s="2">
        <v>14.4</v>
      </c>
      <c r="AH3367" s="2">
        <v>21</v>
      </c>
      <c r="AJ3367" s="2">
        <f t="shared" si="476"/>
        <v>0</v>
      </c>
      <c r="AK3367" s="2">
        <f t="shared" si="481"/>
        <v>6.6</v>
      </c>
      <c r="AL3367" s="5">
        <f t="shared" si="483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82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475"/>
        <v>0</v>
      </c>
      <c r="AG3368" s="2">
        <v>3.7357999999999998</v>
      </c>
      <c r="AH3368" s="2">
        <v>9</v>
      </c>
      <c r="AJ3368" s="2">
        <f t="shared" si="476"/>
        <v>0</v>
      </c>
      <c r="AK3368" s="2">
        <f t="shared" si="481"/>
        <v>5.2642000000000007</v>
      </c>
      <c r="AL3368" s="5">
        <f t="shared" si="483"/>
        <v>0.58491111111111116</v>
      </c>
    </row>
    <row r="3369" spans="1:38" x14ac:dyDescent="0.2">
      <c r="A3369" s="2">
        <v>2026</v>
      </c>
      <c r="B3369" s="2">
        <v>3</v>
      </c>
      <c r="D3369" s="2" t="s">
        <v>813</v>
      </c>
      <c r="E3369" s="2" t="s">
        <v>38</v>
      </c>
      <c r="F3369" s="2" t="s">
        <v>39</v>
      </c>
      <c r="G3369" s="2" t="s">
        <v>814</v>
      </c>
      <c r="H3369" s="2" t="s">
        <v>41</v>
      </c>
      <c r="I3369" s="2" t="s">
        <v>626</v>
      </c>
      <c r="L3369" s="2" t="s">
        <v>626</v>
      </c>
      <c r="M3369" s="2" t="s">
        <v>41</v>
      </c>
      <c r="O3369" s="2" t="s">
        <v>2677</v>
      </c>
      <c r="P3369" s="2" t="s">
        <v>43</v>
      </c>
      <c r="Q3369" s="2" t="s">
        <v>160</v>
      </c>
      <c r="R3369" s="2" t="s">
        <v>161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82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475"/>
        <v>0</v>
      </c>
      <c r="AG3369" s="2">
        <v>3.7357999999999998</v>
      </c>
      <c r="AH3369" s="2">
        <v>9</v>
      </c>
      <c r="AJ3369" s="2">
        <f t="shared" si="476"/>
        <v>0</v>
      </c>
      <c r="AK3369" s="2">
        <f t="shared" si="481"/>
        <v>5.2642000000000007</v>
      </c>
      <c r="AL3369" s="5">
        <f t="shared" si="483"/>
        <v>0.58491111111111116</v>
      </c>
    </row>
    <row r="3370" spans="1:38" x14ac:dyDescent="0.2">
      <c r="A3370" s="2">
        <v>2026</v>
      </c>
      <c r="B3370" s="2">
        <v>3</v>
      </c>
      <c r="D3370" s="2" t="s">
        <v>439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177</v>
      </c>
      <c r="J3370" s="2" t="s">
        <v>3175</v>
      </c>
      <c r="K3370" s="2">
        <v>911577458</v>
      </c>
      <c r="L3370" s="2" t="s">
        <v>177</v>
      </c>
      <c r="M3370" s="2" t="s">
        <v>41</v>
      </c>
      <c r="O3370" s="2" t="s">
        <v>3179</v>
      </c>
      <c r="P3370" s="2" t="s">
        <v>43</v>
      </c>
      <c r="Q3370" s="2" t="s">
        <v>160</v>
      </c>
      <c r="R3370" s="2" t="s">
        <v>161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82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475"/>
        <v>0</v>
      </c>
      <c r="AG3370" s="2">
        <v>3.7357999999999998</v>
      </c>
      <c r="AH3370" s="2">
        <v>9</v>
      </c>
      <c r="AJ3370" s="2">
        <f t="shared" si="476"/>
        <v>0</v>
      </c>
      <c r="AK3370" s="2">
        <f t="shared" si="481"/>
        <v>10.528400000000001</v>
      </c>
      <c r="AL3370" s="5">
        <f t="shared" si="483"/>
        <v>0.58491111111111116</v>
      </c>
    </row>
    <row r="3371" spans="1:38" x14ac:dyDescent="0.2">
      <c r="A3371" s="2">
        <v>2026</v>
      </c>
      <c r="B3371" s="2">
        <v>3</v>
      </c>
      <c r="D3371" s="2" t="s">
        <v>588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177</v>
      </c>
      <c r="J3371" s="2" t="s">
        <v>589</v>
      </c>
      <c r="L3371" s="2" t="s">
        <v>177</v>
      </c>
      <c r="M3371" s="2" t="s">
        <v>41</v>
      </c>
      <c r="P3371" s="2" t="s">
        <v>43</v>
      </c>
      <c r="Q3371" s="2" t="s">
        <v>160</v>
      </c>
      <c r="R3371" s="2" t="s">
        <v>161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82"/>
        <v>0.58491111111111116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475"/>
        <v>0</v>
      </c>
      <c r="AG3371" s="2">
        <v>3.7357999999999998</v>
      </c>
      <c r="AH3371" s="2">
        <v>9</v>
      </c>
      <c r="AJ3371" s="2">
        <f t="shared" si="476"/>
        <v>0</v>
      </c>
      <c r="AK3371" s="2">
        <f t="shared" si="481"/>
        <v>5.2642000000000007</v>
      </c>
      <c r="AL3371" s="5">
        <f t="shared" si="483"/>
        <v>0.58491111111111116</v>
      </c>
    </row>
    <row r="3372" spans="1:38" x14ac:dyDescent="0.2">
      <c r="A3372" s="2">
        <v>2026</v>
      </c>
      <c r="B3372" s="2">
        <v>3</v>
      </c>
      <c r="D3372" s="2" t="s">
        <v>2516</v>
      </c>
      <c r="E3372" s="2" t="s">
        <v>752</v>
      </c>
      <c r="F3372" s="2" t="s">
        <v>39</v>
      </c>
      <c r="G3372" s="2">
        <v>515570354</v>
      </c>
      <c r="H3372" s="2" t="s">
        <v>109</v>
      </c>
      <c r="I3372" s="2" t="s">
        <v>2517</v>
      </c>
      <c r="J3372" s="2" t="s">
        <v>2518</v>
      </c>
      <c r="K3372" s="2">
        <v>967032538</v>
      </c>
      <c r="L3372" s="2" t="s">
        <v>398</v>
      </c>
      <c r="M3372" s="2" t="s">
        <v>109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82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475"/>
        <v>0</v>
      </c>
      <c r="AG3372" s="2">
        <v>5.2972999999999999</v>
      </c>
      <c r="AH3372" s="2">
        <v>10.8</v>
      </c>
      <c r="AJ3372" s="2">
        <f t="shared" si="476"/>
        <v>0</v>
      </c>
      <c r="AK3372" s="2">
        <f t="shared" si="481"/>
        <v>5.5027000000000008</v>
      </c>
      <c r="AL3372" s="5">
        <f t="shared" si="483"/>
        <v>0.50950925925925927</v>
      </c>
    </row>
    <row r="3373" spans="1:38" x14ac:dyDescent="0.2">
      <c r="A3373" s="2">
        <v>2026</v>
      </c>
      <c r="B3373" s="2">
        <v>3</v>
      </c>
      <c r="D3373" s="2" t="s">
        <v>864</v>
      </c>
      <c r="E3373" s="2" t="s">
        <v>38</v>
      </c>
      <c r="G3373" s="2">
        <v>517724308</v>
      </c>
      <c r="I3373" s="2" t="s">
        <v>177</v>
      </c>
      <c r="L3373" s="2" t="s">
        <v>177</v>
      </c>
      <c r="M3373" s="2" t="s">
        <v>41</v>
      </c>
      <c r="O3373" s="2" t="s">
        <v>2678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82"/>
        <v>0.50950925925925927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475"/>
        <v>0</v>
      </c>
      <c r="AG3373" s="2">
        <v>5.2972999999999999</v>
      </c>
      <c r="AH3373" s="2">
        <v>10.8</v>
      </c>
      <c r="AJ3373" s="2">
        <f t="shared" si="476"/>
        <v>0</v>
      </c>
      <c r="AK3373" s="2">
        <f t="shared" si="481"/>
        <v>5.5027000000000008</v>
      </c>
      <c r="AL3373" s="5">
        <f t="shared" si="483"/>
        <v>0.50950925925925927</v>
      </c>
    </row>
    <row r="3374" spans="1:38" x14ac:dyDescent="0.2">
      <c r="A3374" s="2">
        <v>2026</v>
      </c>
      <c r="B3374" s="2">
        <v>3</v>
      </c>
      <c r="D3374" s="2" t="s">
        <v>597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598</v>
      </c>
      <c r="J3374" s="2" t="s">
        <v>599</v>
      </c>
      <c r="K3374" s="2">
        <v>919603867</v>
      </c>
      <c r="L3374" s="2" t="s">
        <v>600</v>
      </c>
      <c r="M3374" s="2" t="s">
        <v>41</v>
      </c>
      <c r="O3374" s="2" t="s">
        <v>2675</v>
      </c>
      <c r="P3374" s="2" t="s">
        <v>43</v>
      </c>
      <c r="Q3374" s="2" t="s">
        <v>52</v>
      </c>
      <c r="R3374" s="2" t="s">
        <v>53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18">
        <f>IF(T3374=0,IF(W3374&gt;0,-100%,0%),(T3374-W3374)/T3374)</f>
        <v>-1</v>
      </c>
      <c r="Z3374" s="2" t="s">
        <v>3226</v>
      </c>
      <c r="AA3374" s="2" t="s">
        <v>46</v>
      </c>
      <c r="AB3374" s="2" t="s">
        <v>47</v>
      </c>
      <c r="AC3374" s="2" t="s">
        <v>57</v>
      </c>
      <c r="AF3374" s="2">
        <f t="shared" si="475"/>
        <v>0</v>
      </c>
      <c r="AG3374" s="2">
        <v>5.2972999999999999</v>
      </c>
      <c r="AH3374" s="2">
        <v>10.8</v>
      </c>
      <c r="AJ3374" s="2">
        <f t="shared" si="476"/>
        <v>0</v>
      </c>
      <c r="AK3374" s="2">
        <f t="shared" si="481"/>
        <v>-5.2972999999999999</v>
      </c>
      <c r="AL3374" s="18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214</v>
      </c>
      <c r="R3375" s="2" t="s">
        <v>215</v>
      </c>
      <c r="S3375" s="2">
        <v>1</v>
      </c>
      <c r="T3375" s="2">
        <v>15</v>
      </c>
      <c r="U3375" s="2">
        <v>3.45</v>
      </c>
      <c r="V3375" s="2">
        <v>18.45</v>
      </c>
      <c r="W3375" s="2">
        <f>7.915*S3375</f>
        <v>7.915</v>
      </c>
      <c r="X3375" s="5">
        <f t="shared" ref="X3375:X3406" si="484">(T3375-W3375)/T3375</f>
        <v>0.47233333333333333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475"/>
        <v>0</v>
      </c>
      <c r="AJ3375" s="2">
        <f t="shared" si="476"/>
        <v>0</v>
      </c>
      <c r="AK3375" s="2">
        <f t="shared" si="481"/>
        <v>7.085</v>
      </c>
      <c r="AL3375" s="5">
        <f t="shared" ref="AL3375:AL3406" si="485">(T3375-W3375)/T3375</f>
        <v>0.47233333333333333</v>
      </c>
    </row>
    <row r="3376" spans="1:38" x14ac:dyDescent="0.2">
      <c r="A3376" s="2">
        <v>2026</v>
      </c>
      <c r="B3376" s="2">
        <v>3</v>
      </c>
      <c r="D3376" s="2" t="s">
        <v>889</v>
      </c>
      <c r="E3376" s="2" t="s">
        <v>108</v>
      </c>
      <c r="F3376" s="2" t="s">
        <v>39</v>
      </c>
      <c r="G3376" s="2">
        <v>507216970</v>
      </c>
      <c r="H3376" s="2" t="s">
        <v>41</v>
      </c>
      <c r="I3376" s="2" t="s">
        <v>890</v>
      </c>
      <c r="J3376" s="2" t="s">
        <v>891</v>
      </c>
      <c r="L3376" s="2" t="s">
        <v>99</v>
      </c>
      <c r="M3376" s="2" t="s">
        <v>41</v>
      </c>
      <c r="O3376" s="2" t="s">
        <v>2679</v>
      </c>
      <c r="P3376" s="2" t="s">
        <v>43</v>
      </c>
      <c r="Q3376" s="2" t="s">
        <v>216</v>
      </c>
      <c r="R3376" s="2" t="s">
        <v>217</v>
      </c>
      <c r="S3376" s="2">
        <v>1</v>
      </c>
      <c r="T3376" s="2">
        <v>19.2</v>
      </c>
      <c r="U3376" s="2">
        <v>4.4160000000000004</v>
      </c>
      <c r="V3376" s="2">
        <v>23.616</v>
      </c>
      <c r="W3376" s="2">
        <v>10.035</v>
      </c>
      <c r="X3376" s="5">
        <f t="shared" si="484"/>
        <v>0.47734374999999996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475"/>
        <v>0</v>
      </c>
      <c r="AJ3376" s="2">
        <f t="shared" si="476"/>
        <v>0</v>
      </c>
      <c r="AK3376" s="2">
        <f t="shared" si="481"/>
        <v>9.1649999999999991</v>
      </c>
      <c r="AL3376" s="5">
        <f t="shared" si="485"/>
        <v>0.47734374999999996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220</v>
      </c>
      <c r="R3377" s="2" t="s">
        <v>221</v>
      </c>
      <c r="S3377" s="2">
        <v>1</v>
      </c>
      <c r="T3377" s="2">
        <v>27.6</v>
      </c>
      <c r="U3377" s="2">
        <v>6.3480000000000008</v>
      </c>
      <c r="V3377" s="2">
        <v>33.948</v>
      </c>
      <c r="W3377" s="2">
        <v>14.855</v>
      </c>
      <c r="X3377" s="5">
        <f t="shared" si="484"/>
        <v>0.46177536231884059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475"/>
        <v>0</v>
      </c>
      <c r="AJ3377" s="2">
        <f t="shared" si="476"/>
        <v>0</v>
      </c>
      <c r="AK3377" s="2">
        <f t="shared" si="481"/>
        <v>12.745000000000001</v>
      </c>
      <c r="AL3377" s="5">
        <f t="shared" si="485"/>
        <v>0.46177536231884059</v>
      </c>
    </row>
    <row r="3378" spans="1:38" x14ac:dyDescent="0.2">
      <c r="A3378" s="2">
        <v>2026</v>
      </c>
      <c r="B3378" s="2">
        <v>3</v>
      </c>
      <c r="D3378" s="2" t="s">
        <v>980</v>
      </c>
      <c r="E3378" s="2" t="s">
        <v>38</v>
      </c>
      <c r="F3378" s="2" t="s">
        <v>39</v>
      </c>
      <c r="L3378" s="2" t="s">
        <v>418</v>
      </c>
      <c r="M3378" s="2" t="s">
        <v>41</v>
      </c>
      <c r="P3378" s="2" t="s">
        <v>43</v>
      </c>
      <c r="Q3378" s="2" t="s">
        <v>222</v>
      </c>
      <c r="R3378" s="2" t="s">
        <v>223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W3378" s="2">
        <f t="shared" ref="W3378:W3379" si="486">16*S3378</f>
        <v>32</v>
      </c>
      <c r="X3378" s="5">
        <f t="shared" si="484"/>
        <v>0.34959349593495936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475"/>
        <v>0</v>
      </c>
      <c r="AJ3378" s="2">
        <f t="shared" si="476"/>
        <v>0</v>
      </c>
      <c r="AK3378" s="2">
        <f t="shared" si="481"/>
        <v>17.200000000000003</v>
      </c>
      <c r="AL3378" s="5">
        <f t="shared" si="485"/>
        <v>0.34959349593495936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222</v>
      </c>
      <c r="R3379" s="2" t="s">
        <v>223</v>
      </c>
      <c r="S3379" s="2">
        <v>1</v>
      </c>
      <c r="T3379" s="2">
        <v>30</v>
      </c>
      <c r="U3379" s="2">
        <v>6.9</v>
      </c>
      <c r="V3379" s="2">
        <v>36.9</v>
      </c>
      <c r="W3379" s="2">
        <f t="shared" si="486"/>
        <v>16</v>
      </c>
      <c r="X3379" s="5">
        <f t="shared" si="484"/>
        <v>0.46666666666666667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475"/>
        <v>0</v>
      </c>
      <c r="AJ3379" s="2">
        <f t="shared" si="476"/>
        <v>0</v>
      </c>
      <c r="AK3379" s="2">
        <f t="shared" si="481"/>
        <v>14</v>
      </c>
      <c r="AL3379" s="5">
        <f t="shared" si="485"/>
        <v>0.46666666666666667</v>
      </c>
    </row>
    <row r="3380" spans="1:38" x14ac:dyDescent="0.2">
      <c r="A3380" s="2">
        <v>2026</v>
      </c>
      <c r="B3380" s="2">
        <v>3</v>
      </c>
      <c r="D3380" s="2" t="s">
        <v>889</v>
      </c>
      <c r="E3380" s="2" t="s">
        <v>108</v>
      </c>
      <c r="F3380" s="2" t="s">
        <v>39</v>
      </c>
      <c r="G3380" s="2">
        <v>507216970</v>
      </c>
      <c r="H3380" s="2" t="s">
        <v>41</v>
      </c>
      <c r="I3380" s="2" t="s">
        <v>890</v>
      </c>
      <c r="J3380" s="2" t="s">
        <v>891</v>
      </c>
      <c r="L3380" s="2" t="s">
        <v>99</v>
      </c>
      <c r="M3380" s="2" t="s">
        <v>41</v>
      </c>
      <c r="O3380" s="2" t="s">
        <v>2679</v>
      </c>
      <c r="P3380" s="2" t="s">
        <v>43</v>
      </c>
      <c r="Q3380" s="2" t="s">
        <v>230</v>
      </c>
      <c r="R3380" s="2" t="s">
        <v>231</v>
      </c>
      <c r="S3380" s="2">
        <v>1</v>
      </c>
      <c r="T3380" s="2">
        <v>13.2</v>
      </c>
      <c r="U3380" s="2">
        <v>3.036</v>
      </c>
      <c r="V3380" s="2">
        <v>16.236000000000001</v>
      </c>
      <c r="W3380" s="2">
        <f>6.605*S3380</f>
        <v>6.6050000000000004</v>
      </c>
      <c r="X3380" s="5">
        <f t="shared" si="484"/>
        <v>0.49962121212121208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475"/>
        <v>0</v>
      </c>
      <c r="AJ3380" s="2">
        <f t="shared" si="476"/>
        <v>0</v>
      </c>
      <c r="AK3380" s="2">
        <f t="shared" si="481"/>
        <v>6.5949999999999989</v>
      </c>
      <c r="AL3380" s="5">
        <f t="shared" si="485"/>
        <v>0.49962121212121208</v>
      </c>
    </row>
    <row r="3381" spans="1:38" x14ac:dyDescent="0.2">
      <c r="A3381" s="2">
        <v>2026</v>
      </c>
      <c r="B3381" s="2">
        <v>3</v>
      </c>
      <c r="D3381" s="2" t="s">
        <v>2516</v>
      </c>
      <c r="E3381" s="2" t="s">
        <v>752</v>
      </c>
      <c r="F3381" s="2" t="s">
        <v>39</v>
      </c>
      <c r="G3381" s="2">
        <v>515570354</v>
      </c>
      <c r="H3381" s="2" t="s">
        <v>109</v>
      </c>
      <c r="I3381" s="2" t="s">
        <v>2517</v>
      </c>
      <c r="J3381" s="2" t="s">
        <v>2518</v>
      </c>
      <c r="K3381" s="2">
        <v>967032538</v>
      </c>
      <c r="L3381" s="2" t="s">
        <v>398</v>
      </c>
      <c r="M3381" s="2" t="s">
        <v>109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84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475"/>
        <v>0</v>
      </c>
      <c r="AG3381" s="2">
        <v>5.9066999999999998</v>
      </c>
      <c r="AH3381" s="2">
        <v>12.6</v>
      </c>
      <c r="AJ3381" s="2">
        <f t="shared" si="476"/>
        <v>0</v>
      </c>
      <c r="AK3381" s="2">
        <f t="shared" si="481"/>
        <v>6.6932999999999998</v>
      </c>
      <c r="AL3381" s="5">
        <f t="shared" si="485"/>
        <v>0.53121428571428575</v>
      </c>
    </row>
    <row r="3382" spans="1:38" x14ac:dyDescent="0.2">
      <c r="A3382" s="2">
        <v>2026</v>
      </c>
      <c r="B3382" s="2">
        <v>3</v>
      </c>
      <c r="D3382" s="2" t="s">
        <v>889</v>
      </c>
      <c r="E3382" s="2" t="s">
        <v>108</v>
      </c>
      <c r="F3382" s="2" t="s">
        <v>39</v>
      </c>
      <c r="G3382" s="2">
        <v>507216970</v>
      </c>
      <c r="H3382" s="2" t="s">
        <v>41</v>
      </c>
      <c r="I3382" s="2" t="s">
        <v>890</v>
      </c>
      <c r="J3382" s="2" t="s">
        <v>891</v>
      </c>
      <c r="L3382" s="2" t="s">
        <v>99</v>
      </c>
      <c r="M3382" s="2" t="s">
        <v>41</v>
      </c>
      <c r="O3382" s="2" t="s">
        <v>2679</v>
      </c>
      <c r="P3382" s="2" t="s">
        <v>43</v>
      </c>
      <c r="Q3382" s="2" t="s">
        <v>232</v>
      </c>
      <c r="R3382" s="2" t="s">
        <v>233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84"/>
        <v>0.53121428571428575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475"/>
        <v>0</v>
      </c>
      <c r="AG3382" s="2">
        <v>5.9066999999999998</v>
      </c>
      <c r="AH3382" s="2">
        <v>12.6</v>
      </c>
      <c r="AJ3382" s="2">
        <f t="shared" si="476"/>
        <v>0</v>
      </c>
      <c r="AK3382" s="2">
        <f t="shared" ref="AK3382:AK3413" si="487">T3382-W3382</f>
        <v>6.6932999999999998</v>
      </c>
      <c r="AL3382" s="5">
        <f t="shared" si="485"/>
        <v>0.53121428571428575</v>
      </c>
    </row>
    <row r="3383" spans="1:38" x14ac:dyDescent="0.2">
      <c r="A3383" s="2">
        <v>2026</v>
      </c>
      <c r="B3383" s="2">
        <v>3</v>
      </c>
      <c r="D3383" s="2" t="s">
        <v>1419</v>
      </c>
      <c r="E3383" s="2" t="s">
        <v>108</v>
      </c>
      <c r="F3383" s="2" t="s">
        <v>39</v>
      </c>
      <c r="G3383" s="2">
        <v>513795855</v>
      </c>
      <c r="H3383" s="2" t="s">
        <v>41</v>
      </c>
      <c r="I3383" s="2" t="s">
        <v>1272</v>
      </c>
      <c r="J3383" s="2" t="s">
        <v>2394</v>
      </c>
      <c r="L3383" s="2" t="s">
        <v>177</v>
      </c>
      <c r="M3383" s="2" t="s">
        <v>41</v>
      </c>
      <c r="P3383" s="2" t="s">
        <v>43</v>
      </c>
      <c r="Q3383" s="2" t="s">
        <v>234</v>
      </c>
      <c r="R3383" s="2" t="s">
        <v>235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84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475"/>
        <v>0</v>
      </c>
      <c r="AG3383" s="2">
        <v>7.2217000000000002</v>
      </c>
      <c r="AH3383" s="2">
        <v>14.4</v>
      </c>
      <c r="AJ3383" s="2">
        <f t="shared" si="476"/>
        <v>0</v>
      </c>
      <c r="AK3383" s="2">
        <f t="shared" si="487"/>
        <v>14.3566</v>
      </c>
      <c r="AL3383" s="5">
        <f t="shared" si="485"/>
        <v>0.49849305555555556</v>
      </c>
    </row>
    <row r="3384" spans="1:38" x14ac:dyDescent="0.2">
      <c r="A3384" s="2">
        <v>2026</v>
      </c>
      <c r="B3384" s="2">
        <v>3</v>
      </c>
      <c r="D3384" s="2" t="s">
        <v>889</v>
      </c>
      <c r="E3384" s="2" t="s">
        <v>108</v>
      </c>
      <c r="F3384" s="2" t="s">
        <v>39</v>
      </c>
      <c r="G3384" s="2">
        <v>507216970</v>
      </c>
      <c r="H3384" s="2" t="s">
        <v>41</v>
      </c>
      <c r="I3384" s="2" t="s">
        <v>890</v>
      </c>
      <c r="J3384" s="2" t="s">
        <v>891</v>
      </c>
      <c r="L3384" s="2" t="s">
        <v>99</v>
      </c>
      <c r="M3384" s="2" t="s">
        <v>41</v>
      </c>
      <c r="O3384" s="2" t="s">
        <v>2679</v>
      </c>
      <c r="P3384" s="2" t="s">
        <v>43</v>
      </c>
      <c r="Q3384" s="2" t="s">
        <v>234</v>
      </c>
      <c r="R3384" s="2" t="s">
        <v>235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84"/>
        <v>0.49849305555555556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475"/>
        <v>0</v>
      </c>
      <c r="AG3384" s="2">
        <v>7.2217000000000002</v>
      </c>
      <c r="AH3384" s="2">
        <v>14.4</v>
      </c>
      <c r="AJ3384" s="2">
        <f t="shared" si="476"/>
        <v>0</v>
      </c>
      <c r="AK3384" s="2">
        <f t="shared" si="487"/>
        <v>7.1783000000000001</v>
      </c>
      <c r="AL3384" s="5">
        <f t="shared" si="485"/>
        <v>0.49849305555555556</v>
      </c>
    </row>
    <row r="3385" spans="1:38" x14ac:dyDescent="0.2">
      <c r="A3385" s="2">
        <v>2026</v>
      </c>
      <c r="B3385" s="2">
        <v>3</v>
      </c>
      <c r="D3385" s="2" t="s">
        <v>2516</v>
      </c>
      <c r="E3385" s="2" t="s">
        <v>752</v>
      </c>
      <c r="F3385" s="2" t="s">
        <v>39</v>
      </c>
      <c r="G3385" s="2">
        <v>515570354</v>
      </c>
      <c r="H3385" s="2" t="s">
        <v>109</v>
      </c>
      <c r="I3385" s="2" t="s">
        <v>2517</v>
      </c>
      <c r="J3385" s="2" t="s">
        <v>2518</v>
      </c>
      <c r="K3385" s="2">
        <v>967032538</v>
      </c>
      <c r="L3385" s="2" t="s">
        <v>398</v>
      </c>
      <c r="M3385" s="2" t="s">
        <v>109</v>
      </c>
      <c r="P3385" s="2" t="s">
        <v>43</v>
      </c>
      <c r="Q3385" s="2" t="s">
        <v>236</v>
      </c>
      <c r="R3385" s="2" t="s">
        <v>237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W3385" s="2">
        <f>9.075*S3385</f>
        <v>9.0749999999999993</v>
      </c>
      <c r="X3385" s="5">
        <f t="shared" si="484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475"/>
        <v>0</v>
      </c>
      <c r="AJ3385" s="2">
        <f t="shared" si="476"/>
        <v>0</v>
      </c>
      <c r="AK3385" s="2">
        <f t="shared" si="487"/>
        <v>8.3249999999999993</v>
      </c>
      <c r="AL3385" s="5">
        <f t="shared" si="485"/>
        <v>0.47844827586206895</v>
      </c>
    </row>
    <row r="3386" spans="1:38" x14ac:dyDescent="0.2">
      <c r="A3386" s="2">
        <v>2026</v>
      </c>
      <c r="B3386" s="2">
        <v>3</v>
      </c>
      <c r="D3386" s="2" t="s">
        <v>1419</v>
      </c>
      <c r="E3386" s="2" t="s">
        <v>108</v>
      </c>
      <c r="F3386" s="2" t="s">
        <v>39</v>
      </c>
      <c r="G3386" s="2">
        <v>513795855</v>
      </c>
      <c r="H3386" s="2" t="s">
        <v>41</v>
      </c>
      <c r="I3386" s="2" t="s">
        <v>1272</v>
      </c>
      <c r="J3386" s="2" t="s">
        <v>2394</v>
      </c>
      <c r="L3386" s="2" t="s">
        <v>177</v>
      </c>
      <c r="M3386" s="2" t="s">
        <v>41</v>
      </c>
      <c r="P3386" s="2" t="s">
        <v>43</v>
      </c>
      <c r="Q3386" s="2" t="s">
        <v>236</v>
      </c>
      <c r="R3386" s="2" t="s">
        <v>237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W3386" s="2">
        <f>9.075*S3386</f>
        <v>18.149999999999999</v>
      </c>
      <c r="X3386" s="5">
        <f t="shared" si="484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475"/>
        <v>0</v>
      </c>
      <c r="AJ3386" s="2">
        <f t="shared" si="476"/>
        <v>0</v>
      </c>
      <c r="AK3386" s="2">
        <f t="shared" si="487"/>
        <v>16.649999999999999</v>
      </c>
      <c r="AL3386" s="5">
        <f t="shared" si="485"/>
        <v>0.47844827586206895</v>
      </c>
    </row>
    <row r="3387" spans="1:38" x14ac:dyDescent="0.2">
      <c r="A3387" s="2">
        <v>2026</v>
      </c>
      <c r="B3387" s="2">
        <v>3</v>
      </c>
      <c r="D3387" s="2" t="s">
        <v>889</v>
      </c>
      <c r="E3387" s="2" t="s">
        <v>108</v>
      </c>
      <c r="F3387" s="2" t="s">
        <v>39</v>
      </c>
      <c r="G3387" s="2">
        <v>507216970</v>
      </c>
      <c r="H3387" s="2" t="s">
        <v>41</v>
      </c>
      <c r="I3387" s="2" t="s">
        <v>890</v>
      </c>
      <c r="J3387" s="2" t="s">
        <v>891</v>
      </c>
      <c r="L3387" s="2" t="s">
        <v>99</v>
      </c>
      <c r="M3387" s="2" t="s">
        <v>41</v>
      </c>
      <c r="O3387" s="2" t="s">
        <v>2680</v>
      </c>
      <c r="P3387" s="2" t="s">
        <v>43</v>
      </c>
      <c r="Q3387" s="2" t="s">
        <v>236</v>
      </c>
      <c r="R3387" s="2" t="s">
        <v>237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W3387" s="2">
        <f>9.075*S3387</f>
        <v>9.0749999999999993</v>
      </c>
      <c r="X3387" s="5">
        <f t="shared" si="484"/>
        <v>0.47844827586206895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475"/>
        <v>0</v>
      </c>
      <c r="AJ3387" s="2">
        <f t="shared" si="476"/>
        <v>0</v>
      </c>
      <c r="AK3387" s="2">
        <f t="shared" si="487"/>
        <v>8.3249999999999993</v>
      </c>
      <c r="AL3387" s="5">
        <f t="shared" si="485"/>
        <v>0.47844827586206895</v>
      </c>
    </row>
    <row r="3388" spans="1:38" x14ac:dyDescent="0.2">
      <c r="A3388" s="2">
        <v>2026</v>
      </c>
      <c r="B3388" s="2">
        <v>3</v>
      </c>
      <c r="D3388" s="2" t="s">
        <v>2516</v>
      </c>
      <c r="E3388" s="2" t="s">
        <v>752</v>
      </c>
      <c r="F3388" s="2" t="s">
        <v>39</v>
      </c>
      <c r="G3388" s="2">
        <v>515570354</v>
      </c>
      <c r="H3388" s="2" t="s">
        <v>109</v>
      </c>
      <c r="I3388" s="2" t="s">
        <v>2517</v>
      </c>
      <c r="J3388" s="2" t="s">
        <v>2518</v>
      </c>
      <c r="K3388" s="2">
        <v>967032538</v>
      </c>
      <c r="L3388" s="2" t="s">
        <v>398</v>
      </c>
      <c r="M3388" s="2" t="s">
        <v>109</v>
      </c>
      <c r="P3388" s="2" t="s">
        <v>43</v>
      </c>
      <c r="Q3388" s="2" t="s">
        <v>238</v>
      </c>
      <c r="R3388" s="2" t="s">
        <v>239</v>
      </c>
      <c r="S3388" s="2">
        <v>1</v>
      </c>
      <c r="T3388" s="2">
        <v>21</v>
      </c>
      <c r="U3388" s="2">
        <v>4.83</v>
      </c>
      <c r="V3388" s="2">
        <v>25.83</v>
      </c>
      <c r="W3388" s="2">
        <f t="shared" ref="W3388:W3389" si="488">11.045*S3388</f>
        <v>11.045</v>
      </c>
      <c r="X3388" s="5">
        <f t="shared" si="484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475"/>
        <v>0</v>
      </c>
      <c r="AJ3388" s="2">
        <f t="shared" si="476"/>
        <v>0</v>
      </c>
      <c r="AK3388" s="2">
        <f t="shared" si="487"/>
        <v>9.9550000000000001</v>
      </c>
      <c r="AL3388" s="5">
        <f t="shared" si="485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238</v>
      </c>
      <c r="R3389" s="2" t="s">
        <v>239</v>
      </c>
      <c r="S3389" s="2">
        <v>2</v>
      </c>
      <c r="T3389" s="2">
        <v>42</v>
      </c>
      <c r="U3389" s="2">
        <v>9.66</v>
      </c>
      <c r="V3389" s="2">
        <v>51.66</v>
      </c>
      <c r="W3389" s="2">
        <f t="shared" si="488"/>
        <v>22.09</v>
      </c>
      <c r="X3389" s="5">
        <f t="shared" si="484"/>
        <v>0.47404761904761905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475"/>
        <v>0</v>
      </c>
      <c r="AJ3389" s="2">
        <f t="shared" si="476"/>
        <v>0</v>
      </c>
      <c r="AK3389" s="2">
        <f t="shared" si="487"/>
        <v>19.91</v>
      </c>
      <c r="AL3389" s="5">
        <f t="shared" si="485"/>
        <v>0.47404761904761905</v>
      </c>
    </row>
    <row r="3390" spans="1:38" x14ac:dyDescent="0.2">
      <c r="A3390" s="2">
        <v>2026</v>
      </c>
      <c r="B3390" s="2">
        <v>3</v>
      </c>
      <c r="D3390" s="2" t="s">
        <v>1419</v>
      </c>
      <c r="E3390" s="2" t="s">
        <v>108</v>
      </c>
      <c r="F3390" s="2" t="s">
        <v>39</v>
      </c>
      <c r="G3390" s="2">
        <v>513795855</v>
      </c>
      <c r="H3390" s="2" t="s">
        <v>41</v>
      </c>
      <c r="I3390" s="2" t="s">
        <v>1272</v>
      </c>
      <c r="J3390" s="2" t="s">
        <v>2394</v>
      </c>
      <c r="L3390" s="2" t="s">
        <v>177</v>
      </c>
      <c r="M3390" s="2" t="s">
        <v>41</v>
      </c>
      <c r="P3390" s="2" t="s">
        <v>43</v>
      </c>
      <c r="Q3390" s="2" t="s">
        <v>240</v>
      </c>
      <c r="R3390" s="2" t="s">
        <v>241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W3390" s="2">
        <f t="shared" ref="W3390:W3391" si="489">13.4067*S3390</f>
        <v>26.813400000000001</v>
      </c>
      <c r="X3390" s="5">
        <f t="shared" si="484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475"/>
        <v>0</v>
      </c>
      <c r="AJ3390" s="2">
        <f t="shared" si="476"/>
        <v>0</v>
      </c>
      <c r="AK3390" s="2">
        <f t="shared" si="487"/>
        <v>23.586599999999997</v>
      </c>
      <c r="AL3390" s="5">
        <f t="shared" si="485"/>
        <v>0.4679880952380952</v>
      </c>
    </row>
    <row r="3391" spans="1:38" x14ac:dyDescent="0.2">
      <c r="A3391" s="2">
        <v>2026</v>
      </c>
      <c r="B3391" s="2">
        <v>3</v>
      </c>
      <c r="D3391" s="2" t="s">
        <v>889</v>
      </c>
      <c r="E3391" s="2" t="s">
        <v>108</v>
      </c>
      <c r="F3391" s="2" t="s">
        <v>39</v>
      </c>
      <c r="G3391" s="2">
        <v>507216970</v>
      </c>
      <c r="H3391" s="2" t="s">
        <v>41</v>
      </c>
      <c r="I3391" s="2" t="s">
        <v>890</v>
      </c>
      <c r="J3391" s="2" t="s">
        <v>891</v>
      </c>
      <c r="L3391" s="2" t="s">
        <v>99</v>
      </c>
      <c r="M3391" s="2" t="s">
        <v>41</v>
      </c>
      <c r="O3391" s="2" t="s">
        <v>2680</v>
      </c>
      <c r="P3391" s="2" t="s">
        <v>43</v>
      </c>
      <c r="Q3391" s="2" t="s">
        <v>240</v>
      </c>
      <c r="R3391" s="2" t="s">
        <v>241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W3391" s="2">
        <f t="shared" si="489"/>
        <v>13.406700000000001</v>
      </c>
      <c r="X3391" s="5">
        <f t="shared" si="484"/>
        <v>0.4679880952380952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475"/>
        <v>0</v>
      </c>
      <c r="AJ3391" s="2">
        <f t="shared" si="476"/>
        <v>0</v>
      </c>
      <c r="AK3391" s="2">
        <f t="shared" si="487"/>
        <v>11.793299999999999</v>
      </c>
      <c r="AL3391" s="5">
        <f t="shared" si="485"/>
        <v>0.4679880952380952</v>
      </c>
    </row>
    <row r="3392" spans="1:38" x14ac:dyDescent="0.2">
      <c r="A3392" s="2">
        <v>2026</v>
      </c>
      <c r="B3392" s="2">
        <v>3</v>
      </c>
      <c r="D3392" s="2" t="s">
        <v>1419</v>
      </c>
      <c r="E3392" s="2" t="s">
        <v>108</v>
      </c>
      <c r="F3392" s="2" t="s">
        <v>39</v>
      </c>
      <c r="G3392" s="2">
        <v>513795855</v>
      </c>
      <c r="H3392" s="2" t="s">
        <v>41</v>
      </c>
      <c r="I3392" s="2" t="s">
        <v>1272</v>
      </c>
      <c r="J3392" s="2" t="s">
        <v>2394</v>
      </c>
      <c r="L3392" s="2" t="s">
        <v>177</v>
      </c>
      <c r="M3392" s="2" t="s">
        <v>41</v>
      </c>
      <c r="P3392" s="2" t="s">
        <v>43</v>
      </c>
      <c r="Q3392" s="2" t="s">
        <v>242</v>
      </c>
      <c r="R3392" s="2" t="s">
        <v>243</v>
      </c>
      <c r="S3392" s="2">
        <v>2</v>
      </c>
      <c r="T3392" s="2">
        <v>60</v>
      </c>
      <c r="U3392" s="2">
        <v>13.8</v>
      </c>
      <c r="V3392" s="2">
        <v>73.8</v>
      </c>
      <c r="W3392" s="2">
        <f t="shared" ref="W3392:W3393" si="490">16.2249*S3392</f>
        <v>32.449800000000003</v>
      </c>
      <c r="X3392" s="5">
        <f t="shared" si="484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475"/>
        <v>0</v>
      </c>
      <c r="AJ3392" s="2">
        <f t="shared" si="476"/>
        <v>0</v>
      </c>
      <c r="AK3392" s="2">
        <f t="shared" si="487"/>
        <v>27.550199999999997</v>
      </c>
      <c r="AL3392" s="5">
        <f t="shared" si="485"/>
        <v>0.45916999999999997</v>
      </c>
    </row>
    <row r="3393" spans="1:38" x14ac:dyDescent="0.2">
      <c r="A3393" s="2">
        <v>2026</v>
      </c>
      <c r="B3393" s="2">
        <v>3</v>
      </c>
      <c r="D3393" s="2" t="s">
        <v>889</v>
      </c>
      <c r="E3393" s="2" t="s">
        <v>108</v>
      </c>
      <c r="F3393" s="2" t="s">
        <v>39</v>
      </c>
      <c r="G3393" s="2">
        <v>507216970</v>
      </c>
      <c r="H3393" s="2" t="s">
        <v>41</v>
      </c>
      <c r="I3393" s="2" t="s">
        <v>890</v>
      </c>
      <c r="J3393" s="2" t="s">
        <v>891</v>
      </c>
      <c r="L3393" s="2" t="s">
        <v>99</v>
      </c>
      <c r="M3393" s="2" t="s">
        <v>41</v>
      </c>
      <c r="O3393" s="2" t="s">
        <v>2679</v>
      </c>
      <c r="P3393" s="2" t="s">
        <v>43</v>
      </c>
      <c r="Q3393" s="2" t="s">
        <v>242</v>
      </c>
      <c r="R3393" s="2" t="s">
        <v>243</v>
      </c>
      <c r="S3393" s="2">
        <v>1</v>
      </c>
      <c r="T3393" s="2">
        <v>30</v>
      </c>
      <c r="U3393" s="2">
        <v>6.9</v>
      </c>
      <c r="V3393" s="2">
        <v>36.9</v>
      </c>
      <c r="W3393" s="2">
        <f t="shared" si="490"/>
        <v>16.224900000000002</v>
      </c>
      <c r="X3393" s="5">
        <f t="shared" si="484"/>
        <v>0.45916999999999997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si="475"/>
        <v>0</v>
      </c>
      <c r="AJ3393" s="2">
        <f t="shared" si="476"/>
        <v>0</v>
      </c>
      <c r="AK3393" s="2">
        <f t="shared" si="487"/>
        <v>13.775099999999998</v>
      </c>
      <c r="AL3393" s="5">
        <f t="shared" si="485"/>
        <v>0.45916999999999997</v>
      </c>
    </row>
    <row r="3394" spans="1:38" x14ac:dyDescent="0.2">
      <c r="A3394" s="2">
        <v>2026</v>
      </c>
      <c r="B3394" s="2">
        <v>3</v>
      </c>
      <c r="D3394" s="2" t="s">
        <v>509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156</v>
      </c>
      <c r="J3394" s="2" t="s">
        <v>510</v>
      </c>
      <c r="K3394" s="2">
        <v>919770433</v>
      </c>
      <c r="L3394" s="2" t="s">
        <v>99</v>
      </c>
      <c r="M3394" s="2" t="s">
        <v>80</v>
      </c>
      <c r="P3394" s="2" t="s">
        <v>43</v>
      </c>
      <c r="Q3394" s="2" t="s">
        <v>244</v>
      </c>
      <c r="R3394" s="2" t="s">
        <v>245</v>
      </c>
      <c r="S3394" s="2">
        <v>1</v>
      </c>
      <c r="T3394" s="2">
        <v>18</v>
      </c>
      <c r="U3394" s="2">
        <v>4.1400000000000006</v>
      </c>
      <c r="V3394" s="2">
        <v>22.14</v>
      </c>
      <c r="W3394" s="2">
        <f t="shared" ref="W3394:W3395" si="491">9.2346*S3394</f>
        <v>9.2346000000000004</v>
      </c>
      <c r="X3394" s="5">
        <f t="shared" si="484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ref="AF3394:AF3457" si="492">AJ3394</f>
        <v>0</v>
      </c>
      <c r="AJ3394" s="2">
        <f t="shared" ref="AJ3394:AJ3457" si="493">AI3394*T3394</f>
        <v>0</v>
      </c>
      <c r="AK3394" s="2">
        <f t="shared" si="487"/>
        <v>8.7653999999999996</v>
      </c>
      <c r="AL3394" s="5">
        <f t="shared" si="485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244</v>
      </c>
      <c r="R3395" s="2" t="s">
        <v>245</v>
      </c>
      <c r="S3395" s="2">
        <v>2</v>
      </c>
      <c r="T3395" s="2">
        <v>36</v>
      </c>
      <c r="U3395" s="2">
        <v>8.2800000000000011</v>
      </c>
      <c r="V3395" s="2">
        <v>44.28</v>
      </c>
      <c r="W3395" s="2">
        <f t="shared" si="491"/>
        <v>18.469200000000001</v>
      </c>
      <c r="X3395" s="5">
        <f t="shared" si="484"/>
        <v>0.48696666666666666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492"/>
        <v>0</v>
      </c>
      <c r="AJ3395" s="2">
        <f t="shared" si="493"/>
        <v>0</v>
      </c>
      <c r="AK3395" s="2">
        <f t="shared" si="487"/>
        <v>17.530799999999999</v>
      </c>
      <c r="AL3395" s="5">
        <f t="shared" si="485"/>
        <v>0.48696666666666666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246</v>
      </c>
      <c r="R3396" s="2" t="s">
        <v>247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W3396" s="2">
        <f>10.5267*S3396</f>
        <v>21.0534</v>
      </c>
      <c r="X3396" s="5">
        <f t="shared" si="484"/>
        <v>0.46834848484848485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492"/>
        <v>0</v>
      </c>
      <c r="AJ3396" s="2">
        <f t="shared" si="493"/>
        <v>0</v>
      </c>
      <c r="AK3396" s="2">
        <f t="shared" si="487"/>
        <v>18.546600000000002</v>
      </c>
      <c r="AL3396" s="5">
        <f t="shared" si="485"/>
        <v>0.46834848484848485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285</v>
      </c>
      <c r="R3397" s="2" t="s">
        <v>286</v>
      </c>
      <c r="S3397" s="2">
        <v>2</v>
      </c>
      <c r="T3397" s="2">
        <v>45.6</v>
      </c>
      <c r="U3397" s="2">
        <v>10.488</v>
      </c>
      <c r="V3397" s="2">
        <v>56.088000000000001</v>
      </c>
      <c r="W3397" s="2">
        <f>12.2604*S3397</f>
        <v>24.520800000000001</v>
      </c>
      <c r="X3397" s="5">
        <f t="shared" si="484"/>
        <v>0.46226315789473682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492"/>
        <v>0</v>
      </c>
      <c r="AJ3397" s="2">
        <f t="shared" si="493"/>
        <v>0</v>
      </c>
      <c r="AK3397" s="2">
        <f t="shared" si="487"/>
        <v>21.0792</v>
      </c>
      <c r="AL3397" s="5">
        <f t="shared" si="485"/>
        <v>0.46226315789473682</v>
      </c>
    </row>
    <row r="3398" spans="1:38" x14ac:dyDescent="0.2">
      <c r="A3398" s="2">
        <v>2026</v>
      </c>
      <c r="B3398" s="2">
        <v>3</v>
      </c>
      <c r="D3398" s="2" t="s">
        <v>1419</v>
      </c>
      <c r="E3398" s="2" t="s">
        <v>108</v>
      </c>
      <c r="F3398" s="2" t="s">
        <v>39</v>
      </c>
      <c r="G3398" s="2">
        <v>513795855</v>
      </c>
      <c r="H3398" s="2" t="s">
        <v>41</v>
      </c>
      <c r="I3398" s="2" t="s">
        <v>1272</v>
      </c>
      <c r="J3398" s="2" t="s">
        <v>2394</v>
      </c>
      <c r="L3398" s="2" t="s">
        <v>177</v>
      </c>
      <c r="M3398" s="2" t="s">
        <v>41</v>
      </c>
      <c r="P3398" s="2" t="s">
        <v>43</v>
      </c>
      <c r="Q3398" s="2" t="s">
        <v>248</v>
      </c>
      <c r="R3398" s="2" t="s">
        <v>249</v>
      </c>
      <c r="S3398" s="2">
        <v>2</v>
      </c>
      <c r="T3398" s="2">
        <v>48</v>
      </c>
      <c r="U3398" s="2">
        <v>11.04</v>
      </c>
      <c r="V3398" s="2">
        <v>59.04</v>
      </c>
      <c r="W3398" s="2">
        <f>12.71*S3398</f>
        <v>25.42</v>
      </c>
      <c r="X3398" s="5">
        <f t="shared" si="484"/>
        <v>0.47041666666666665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492"/>
        <v>0</v>
      </c>
      <c r="AJ3398" s="2">
        <f t="shared" si="493"/>
        <v>0</v>
      </c>
      <c r="AK3398" s="2">
        <f t="shared" si="487"/>
        <v>22.58</v>
      </c>
      <c r="AL3398" s="5">
        <f t="shared" si="485"/>
        <v>0.47041666666666665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54</v>
      </c>
      <c r="R3399" s="2" t="s">
        <v>55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94">10.6*S3399</f>
        <v>106</v>
      </c>
      <c r="X3399" s="5">
        <f t="shared" si="484"/>
        <v>0.26896551724137929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492"/>
        <v>0</v>
      </c>
      <c r="AG3399" s="2">
        <v>10.6</v>
      </c>
      <c r="AH3399" s="2">
        <v>18</v>
      </c>
      <c r="AJ3399" s="2">
        <f t="shared" si="493"/>
        <v>0</v>
      </c>
      <c r="AK3399" s="2">
        <f t="shared" si="487"/>
        <v>39</v>
      </c>
      <c r="AL3399" s="5">
        <f t="shared" si="485"/>
        <v>0.26896551724137929</v>
      </c>
    </row>
    <row r="3400" spans="1:38" x14ac:dyDescent="0.2">
      <c r="A3400" s="2">
        <v>2026</v>
      </c>
      <c r="B3400" s="2">
        <v>3</v>
      </c>
      <c r="D3400" s="2" t="s">
        <v>1145</v>
      </c>
      <c r="E3400" s="2" t="s">
        <v>108</v>
      </c>
      <c r="F3400" s="2" t="s">
        <v>39</v>
      </c>
      <c r="G3400" s="2">
        <v>518312798</v>
      </c>
      <c r="H3400" s="2" t="s">
        <v>41</v>
      </c>
      <c r="I3400" s="2" t="s">
        <v>1146</v>
      </c>
      <c r="J3400" s="2" t="s">
        <v>1147</v>
      </c>
      <c r="L3400" s="2" t="s">
        <v>133</v>
      </c>
      <c r="M3400" s="2" t="s">
        <v>41</v>
      </c>
      <c r="O3400" s="2" t="s">
        <v>2681</v>
      </c>
      <c r="P3400" s="2" t="s">
        <v>43</v>
      </c>
      <c r="Q3400" s="2" t="s">
        <v>54</v>
      </c>
      <c r="R3400" s="2" t="s">
        <v>55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94"/>
        <v>127.19999999999999</v>
      </c>
      <c r="X3400" s="5">
        <f t="shared" si="484"/>
        <v>0.29333333333333339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492"/>
        <v>0</v>
      </c>
      <c r="AG3400" s="2">
        <v>10.6</v>
      </c>
      <c r="AH3400" s="2">
        <v>18</v>
      </c>
      <c r="AJ3400" s="2">
        <f t="shared" si="493"/>
        <v>0</v>
      </c>
      <c r="AK3400" s="2">
        <f t="shared" si="487"/>
        <v>52.800000000000011</v>
      </c>
      <c r="AL3400" s="5">
        <f t="shared" si="485"/>
        <v>0.29333333333333339</v>
      </c>
    </row>
    <row r="3401" spans="1:38" x14ac:dyDescent="0.2">
      <c r="A3401" s="2">
        <v>2026</v>
      </c>
      <c r="B3401" s="2">
        <v>3</v>
      </c>
      <c r="D3401" s="2" t="s">
        <v>2682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94"/>
        <v>21.2</v>
      </c>
      <c r="X3401" s="5">
        <f t="shared" si="484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492"/>
        <v>0</v>
      </c>
      <c r="AG3401" s="2">
        <v>10.6</v>
      </c>
      <c r="AH3401" s="2">
        <v>18</v>
      </c>
      <c r="AJ3401" s="2">
        <f t="shared" si="493"/>
        <v>0</v>
      </c>
      <c r="AK3401" s="2">
        <f t="shared" si="487"/>
        <v>14.8</v>
      </c>
      <c r="AL3401" s="5">
        <f t="shared" si="485"/>
        <v>0.41111111111111115</v>
      </c>
    </row>
    <row r="3402" spans="1:38" x14ac:dyDescent="0.2">
      <c r="A3402" s="2">
        <v>2026</v>
      </c>
      <c r="B3402" s="2">
        <v>3</v>
      </c>
      <c r="D3402" s="2" t="s">
        <v>1008</v>
      </c>
      <c r="E3402" s="2" t="s">
        <v>108</v>
      </c>
      <c r="F3402" s="2" t="s">
        <v>39</v>
      </c>
      <c r="L3402" s="2" t="s">
        <v>418</v>
      </c>
      <c r="M3402" s="2" t="s">
        <v>41</v>
      </c>
      <c r="P3402" s="2" t="s">
        <v>43</v>
      </c>
      <c r="Q3402" s="2" t="s">
        <v>54</v>
      </c>
      <c r="R3402" s="2" t="s">
        <v>55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94"/>
        <v>21.2</v>
      </c>
      <c r="X3402" s="5">
        <f t="shared" si="484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492"/>
        <v>0</v>
      </c>
      <c r="AG3402" s="2">
        <v>10.6</v>
      </c>
      <c r="AH3402" s="2">
        <v>18</v>
      </c>
      <c r="AJ3402" s="2">
        <f t="shared" si="493"/>
        <v>0</v>
      </c>
      <c r="AK3402" s="2">
        <f t="shared" si="487"/>
        <v>14.8</v>
      </c>
      <c r="AL3402" s="5">
        <f t="shared" si="485"/>
        <v>0.41111111111111115</v>
      </c>
    </row>
    <row r="3403" spans="1:38" x14ac:dyDescent="0.2">
      <c r="A3403" s="2">
        <v>2026</v>
      </c>
      <c r="B3403" s="2">
        <v>3</v>
      </c>
      <c r="D3403" s="2" t="s">
        <v>781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782</v>
      </c>
      <c r="J3403" s="2" t="s">
        <v>783</v>
      </c>
      <c r="K3403" s="2">
        <v>917341136</v>
      </c>
      <c r="L3403" s="2" t="s">
        <v>99</v>
      </c>
      <c r="M3403" s="2" t="s">
        <v>80</v>
      </c>
      <c r="P3403" s="2" t="s">
        <v>43</v>
      </c>
      <c r="Q3403" s="2" t="s">
        <v>54</v>
      </c>
      <c r="R3403" s="2" t="s">
        <v>55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94"/>
        <v>10.6</v>
      </c>
      <c r="X3403" s="5">
        <f t="shared" si="484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492"/>
        <v>0</v>
      </c>
      <c r="AG3403" s="2">
        <v>10.6</v>
      </c>
      <c r="AH3403" s="2">
        <v>18</v>
      </c>
      <c r="AJ3403" s="2">
        <f t="shared" si="493"/>
        <v>0</v>
      </c>
      <c r="AK3403" s="2">
        <f t="shared" si="487"/>
        <v>7.4</v>
      </c>
      <c r="AL3403" s="5">
        <f t="shared" si="485"/>
        <v>0.41111111111111115</v>
      </c>
    </row>
    <row r="3404" spans="1:38" x14ac:dyDescent="0.2">
      <c r="A3404" s="2">
        <v>2026</v>
      </c>
      <c r="B3404" s="2">
        <v>3</v>
      </c>
      <c r="D3404" s="2" t="s">
        <v>843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418</v>
      </c>
      <c r="K3404" s="2" t="s">
        <v>844</v>
      </c>
      <c r="L3404" s="2" t="s">
        <v>418</v>
      </c>
      <c r="M3404" s="2" t="s">
        <v>41</v>
      </c>
      <c r="O3404" s="2" t="s">
        <v>2670</v>
      </c>
      <c r="P3404" s="2" t="s">
        <v>43</v>
      </c>
      <c r="Q3404" s="2" t="s">
        <v>54</v>
      </c>
      <c r="R3404" s="2" t="s">
        <v>55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94"/>
        <v>21.2</v>
      </c>
      <c r="X3404" s="5">
        <f t="shared" si="484"/>
        <v>0.41111111111111115</v>
      </c>
      <c r="Z3404" s="2" t="s">
        <v>3226</v>
      </c>
      <c r="AA3404" s="2" t="s">
        <v>46</v>
      </c>
      <c r="AB3404" s="2" t="s">
        <v>56</v>
      </c>
      <c r="AC3404" s="2" t="s">
        <v>57</v>
      </c>
      <c r="AF3404" s="2">
        <f t="shared" si="492"/>
        <v>0</v>
      </c>
      <c r="AG3404" s="2">
        <v>10.6</v>
      </c>
      <c r="AH3404" s="2">
        <v>18</v>
      </c>
      <c r="AJ3404" s="2">
        <f t="shared" si="493"/>
        <v>0</v>
      </c>
      <c r="AK3404" s="2">
        <f t="shared" si="487"/>
        <v>14.8</v>
      </c>
      <c r="AL3404" s="5">
        <f t="shared" si="485"/>
        <v>0.41111111111111115</v>
      </c>
    </row>
    <row r="3405" spans="1:38" x14ac:dyDescent="0.2">
      <c r="A3405" s="2">
        <v>2026</v>
      </c>
      <c r="B3405" s="2">
        <v>4</v>
      </c>
      <c r="D3405" s="2" t="s">
        <v>689</v>
      </c>
      <c r="E3405" s="2" t="s">
        <v>108</v>
      </c>
      <c r="F3405" s="2" t="s">
        <v>39</v>
      </c>
      <c r="G3405" s="2">
        <v>503589950</v>
      </c>
      <c r="H3405" s="2" t="s">
        <v>41</v>
      </c>
      <c r="I3405" s="2" t="s">
        <v>610</v>
      </c>
      <c r="J3405" s="2" t="s">
        <v>690</v>
      </c>
      <c r="K3405" s="2">
        <v>913036545</v>
      </c>
      <c r="L3405" s="2" t="s">
        <v>177</v>
      </c>
      <c r="M3405" s="2" t="s">
        <v>41</v>
      </c>
      <c r="O3405" s="2" t="s">
        <v>2613</v>
      </c>
      <c r="P3405" s="2" t="s">
        <v>43</v>
      </c>
      <c r="Q3405" s="2" t="s">
        <v>212</v>
      </c>
      <c r="R3405" s="2" t="s">
        <v>213</v>
      </c>
      <c r="S3405" s="2">
        <v>1</v>
      </c>
      <c r="T3405" s="2">
        <v>48</v>
      </c>
      <c r="U3405" s="2">
        <v>11.04</v>
      </c>
      <c r="V3405" s="2">
        <v>59.04</v>
      </c>
      <c r="W3405" s="2">
        <v>25.6</v>
      </c>
      <c r="X3405" s="5">
        <f t="shared" si="484"/>
        <v>0.46666666666666662</v>
      </c>
      <c r="Z3405" s="2" t="s">
        <v>3226</v>
      </c>
      <c r="AA3405" s="2" t="s">
        <v>46</v>
      </c>
      <c r="AB3405" s="2" t="s">
        <v>47</v>
      </c>
      <c r="AC3405" s="2" t="s">
        <v>57</v>
      </c>
      <c r="AF3405" s="2">
        <f t="shared" si="492"/>
        <v>0</v>
      </c>
      <c r="AJ3405" s="2">
        <f t="shared" si="493"/>
        <v>0</v>
      </c>
      <c r="AK3405" s="2">
        <f t="shared" si="487"/>
        <v>22.4</v>
      </c>
      <c r="AL3405" s="5">
        <f t="shared" si="485"/>
        <v>0.46666666666666662</v>
      </c>
    </row>
    <row r="3406" spans="1:38" x14ac:dyDescent="0.2">
      <c r="A3406" s="2">
        <v>2026</v>
      </c>
      <c r="B3406" s="2">
        <v>3</v>
      </c>
      <c r="D3406" s="2" t="s">
        <v>1397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3216</v>
      </c>
      <c r="J3406" s="2" t="s">
        <v>3215</v>
      </c>
      <c r="K3406" s="2">
        <v>913814877</v>
      </c>
      <c r="L3406" s="2" t="s">
        <v>201</v>
      </c>
      <c r="M3406" s="2" t="s">
        <v>80</v>
      </c>
      <c r="O3406" s="2" t="s">
        <v>3213</v>
      </c>
      <c r="P3406" s="2" t="s">
        <v>43</v>
      </c>
      <c r="Q3406" s="2" t="s">
        <v>54</v>
      </c>
      <c r="R3406" s="2" t="s">
        <v>55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95">10.6*S3406</f>
        <v>31.799999999999997</v>
      </c>
      <c r="X3406" s="5">
        <f t="shared" si="484"/>
        <v>0.41111111111111115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492"/>
        <v>0</v>
      </c>
      <c r="AG3406" s="2">
        <v>10.6</v>
      </c>
      <c r="AH3406" s="2">
        <v>18</v>
      </c>
      <c r="AJ3406" s="2">
        <f t="shared" si="493"/>
        <v>0</v>
      </c>
      <c r="AK3406" s="2">
        <f t="shared" si="487"/>
        <v>22.200000000000003</v>
      </c>
      <c r="AL3406" s="5">
        <f t="shared" si="485"/>
        <v>0.41111111111111115</v>
      </c>
    </row>
    <row r="3407" spans="1:38" x14ac:dyDescent="0.2">
      <c r="A3407" s="2">
        <v>2026</v>
      </c>
      <c r="B3407" s="2">
        <v>3</v>
      </c>
      <c r="D3407" s="2" t="s">
        <v>508</v>
      </c>
      <c r="P3407" s="2" t="s">
        <v>43</v>
      </c>
      <c r="Q3407" s="2" t="s">
        <v>54</v>
      </c>
      <c r="R3407" s="2" t="s">
        <v>55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95"/>
        <v>42.4</v>
      </c>
      <c r="X3407" s="5">
        <f t="shared" ref="X3407:X3425" si="496">(T3407-W3407)/T3407</f>
        <v>0.33750000000000002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492"/>
        <v>0</v>
      </c>
      <c r="AG3407" s="2">
        <v>10.6</v>
      </c>
      <c r="AH3407" s="2">
        <v>18</v>
      </c>
      <c r="AJ3407" s="2">
        <f t="shared" si="493"/>
        <v>0</v>
      </c>
      <c r="AK3407" s="2">
        <f t="shared" si="487"/>
        <v>21.6</v>
      </c>
      <c r="AL3407" s="5">
        <f t="shared" ref="AL3407:AL3425" si="497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864</v>
      </c>
      <c r="E3408" s="2" t="s">
        <v>38</v>
      </c>
      <c r="G3408" s="2">
        <v>517724308</v>
      </c>
      <c r="I3408" s="2" t="s">
        <v>177</v>
      </c>
      <c r="L3408" s="2" t="s">
        <v>177</v>
      </c>
      <c r="M3408" s="2" t="s">
        <v>41</v>
      </c>
      <c r="O3408" s="2" t="s">
        <v>2671</v>
      </c>
      <c r="P3408" s="2" t="s">
        <v>43</v>
      </c>
      <c r="Q3408" s="2" t="s">
        <v>54</v>
      </c>
      <c r="R3408" s="2" t="s">
        <v>55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95"/>
        <v>10.6</v>
      </c>
      <c r="X3408" s="5">
        <f t="shared" si="496"/>
        <v>0.41111111111111115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492"/>
        <v>0</v>
      </c>
      <c r="AG3408" s="2">
        <v>10.6</v>
      </c>
      <c r="AH3408" s="2">
        <v>18</v>
      </c>
      <c r="AJ3408" s="2">
        <f t="shared" si="493"/>
        <v>0</v>
      </c>
      <c r="AK3408" s="2">
        <f t="shared" si="487"/>
        <v>7.4</v>
      </c>
      <c r="AL3408" s="5">
        <f t="shared" si="497"/>
        <v>0.41111111111111115</v>
      </c>
    </row>
    <row r="3409" spans="1:38" x14ac:dyDescent="0.2">
      <c r="A3409" s="2">
        <v>2026</v>
      </c>
      <c r="B3409" s="2">
        <v>3</v>
      </c>
      <c r="D3409" s="2" t="s">
        <v>889</v>
      </c>
      <c r="E3409" s="2" t="s">
        <v>108</v>
      </c>
      <c r="F3409" s="2" t="s">
        <v>39</v>
      </c>
      <c r="G3409" s="2">
        <v>507216970</v>
      </c>
      <c r="H3409" s="2" t="s">
        <v>41</v>
      </c>
      <c r="I3409" s="2" t="s">
        <v>890</v>
      </c>
      <c r="J3409" s="2" t="s">
        <v>891</v>
      </c>
      <c r="L3409" s="2" t="s">
        <v>99</v>
      </c>
      <c r="M3409" s="2" t="s">
        <v>41</v>
      </c>
      <c r="O3409" s="2" t="s">
        <v>2683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95"/>
        <v>106</v>
      </c>
      <c r="X3409" s="5">
        <f t="shared" si="496"/>
        <v>0.29333333333333333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492"/>
        <v>0</v>
      </c>
      <c r="AG3409" s="2">
        <v>10.6</v>
      </c>
      <c r="AH3409" s="2">
        <v>18</v>
      </c>
      <c r="AJ3409" s="2">
        <f t="shared" si="493"/>
        <v>0</v>
      </c>
      <c r="AK3409" s="2">
        <f t="shared" si="487"/>
        <v>44</v>
      </c>
      <c r="AL3409" s="5">
        <f t="shared" si="497"/>
        <v>0.29333333333333333</v>
      </c>
    </row>
    <row r="3410" spans="1:38" x14ac:dyDescent="0.2">
      <c r="A3410" s="2">
        <v>2026</v>
      </c>
      <c r="B3410" s="2">
        <v>3</v>
      </c>
      <c r="D3410" s="2" t="s">
        <v>606</v>
      </c>
      <c r="E3410" s="2" t="s">
        <v>108</v>
      </c>
      <c r="F3410" s="2" t="s">
        <v>39</v>
      </c>
      <c r="G3410" s="2">
        <v>504822187</v>
      </c>
      <c r="H3410" s="2" t="s">
        <v>109</v>
      </c>
      <c r="I3410" s="2" t="s">
        <v>607</v>
      </c>
      <c r="J3410" s="2" t="s">
        <v>608</v>
      </c>
      <c r="K3410" s="2">
        <v>966216853</v>
      </c>
      <c r="L3410" s="2" t="s">
        <v>461</v>
      </c>
      <c r="P3410" s="2" t="s">
        <v>43</v>
      </c>
      <c r="Q3410" s="2" t="s">
        <v>54</v>
      </c>
      <c r="R3410" s="2" t="s">
        <v>55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95"/>
        <v>106</v>
      </c>
      <c r="X3410" s="5">
        <f t="shared" si="496"/>
        <v>0.26896551724137929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492"/>
        <v>0</v>
      </c>
      <c r="AG3410" s="2">
        <v>10.6</v>
      </c>
      <c r="AH3410" s="2">
        <v>18</v>
      </c>
      <c r="AJ3410" s="2">
        <f t="shared" si="493"/>
        <v>0</v>
      </c>
      <c r="AK3410" s="2">
        <f t="shared" si="487"/>
        <v>39</v>
      </c>
      <c r="AL3410" s="5">
        <f t="shared" si="497"/>
        <v>0.26896551724137929</v>
      </c>
    </row>
    <row r="3411" spans="1:38" x14ac:dyDescent="0.2">
      <c r="A3411" s="2">
        <v>2026</v>
      </c>
      <c r="B3411" s="2">
        <v>3</v>
      </c>
      <c r="D3411" s="2" t="s">
        <v>917</v>
      </c>
      <c r="E3411" s="2" t="s">
        <v>752</v>
      </c>
      <c r="F3411" s="2" t="s">
        <v>918</v>
      </c>
      <c r="G3411" s="2">
        <v>505973960</v>
      </c>
      <c r="H3411" s="2" t="s">
        <v>40</v>
      </c>
      <c r="I3411" s="2" t="s">
        <v>156</v>
      </c>
      <c r="J3411" s="2" t="s">
        <v>919</v>
      </c>
      <c r="L3411" s="2" t="s">
        <v>99</v>
      </c>
      <c r="M3411" s="2" t="s">
        <v>80</v>
      </c>
      <c r="O3411" s="2" t="s">
        <v>2684</v>
      </c>
      <c r="P3411" s="2" t="s">
        <v>43</v>
      </c>
      <c r="Q3411" s="2" t="s">
        <v>54</v>
      </c>
      <c r="R3411" s="2" t="s">
        <v>55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95"/>
        <v>10.6</v>
      </c>
      <c r="X3411" s="5">
        <f t="shared" si="496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492"/>
        <v>0</v>
      </c>
      <c r="AG3411" s="2">
        <v>10.6</v>
      </c>
      <c r="AH3411" s="2">
        <v>18</v>
      </c>
      <c r="AJ3411" s="2">
        <f t="shared" si="493"/>
        <v>0</v>
      </c>
      <c r="AK3411" s="2">
        <f t="shared" si="487"/>
        <v>7.4</v>
      </c>
      <c r="AL3411" s="5">
        <f t="shared" si="497"/>
        <v>0.41111111111111115</v>
      </c>
    </row>
    <row r="3412" spans="1:38" x14ac:dyDescent="0.2">
      <c r="A3412" s="2">
        <v>2026</v>
      </c>
      <c r="B3412" s="2">
        <v>3</v>
      </c>
      <c r="D3412" s="2" t="s">
        <v>1312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177</v>
      </c>
      <c r="J3412" s="2" t="s">
        <v>1313</v>
      </c>
      <c r="L3412" s="2" t="s">
        <v>177</v>
      </c>
      <c r="M3412" s="2" t="s">
        <v>41</v>
      </c>
      <c r="O3412" s="2" t="s">
        <v>2676</v>
      </c>
      <c r="P3412" s="2" t="s">
        <v>43</v>
      </c>
      <c r="Q3412" s="2" t="s">
        <v>54</v>
      </c>
      <c r="R3412" s="2" t="s">
        <v>55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95"/>
        <v>21.2</v>
      </c>
      <c r="X3412" s="5">
        <f t="shared" si="496"/>
        <v>0.41111111111111115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492"/>
        <v>0</v>
      </c>
      <c r="AG3412" s="2">
        <v>10.6</v>
      </c>
      <c r="AH3412" s="2">
        <v>18</v>
      </c>
      <c r="AJ3412" s="2">
        <f t="shared" si="493"/>
        <v>0</v>
      </c>
      <c r="AK3412" s="2">
        <f t="shared" si="487"/>
        <v>14.8</v>
      </c>
      <c r="AL3412" s="5">
        <f t="shared" si="497"/>
        <v>0.41111111111111115</v>
      </c>
    </row>
    <row r="3413" spans="1:38" x14ac:dyDescent="0.2">
      <c r="A3413" s="2">
        <v>2026</v>
      </c>
      <c r="B3413" s="2">
        <v>3</v>
      </c>
      <c r="D3413" s="2" t="s">
        <v>864</v>
      </c>
      <c r="E3413" s="2" t="s">
        <v>38</v>
      </c>
      <c r="G3413" s="2">
        <v>517724308</v>
      </c>
      <c r="I3413" s="2" t="s">
        <v>177</v>
      </c>
      <c r="L3413" s="2" t="s">
        <v>177</v>
      </c>
      <c r="M3413" s="2" t="s">
        <v>41</v>
      </c>
      <c r="O3413" s="2" t="s">
        <v>2685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96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492"/>
        <v>0</v>
      </c>
      <c r="AG3413" s="2">
        <v>29.27</v>
      </c>
      <c r="AH3413" s="2">
        <v>60</v>
      </c>
      <c r="AJ3413" s="2">
        <f t="shared" si="493"/>
        <v>0</v>
      </c>
      <c r="AK3413" s="2">
        <f t="shared" si="487"/>
        <v>30.73</v>
      </c>
      <c r="AL3413" s="5">
        <f t="shared" si="497"/>
        <v>0.51216666666666666</v>
      </c>
    </row>
    <row r="3414" spans="1:38" x14ac:dyDescent="0.2">
      <c r="A3414" s="2">
        <v>2026</v>
      </c>
      <c r="B3414" s="2">
        <v>3</v>
      </c>
      <c r="D3414" s="2" t="s">
        <v>1312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177</v>
      </c>
      <c r="J3414" s="2" t="s">
        <v>1313</v>
      </c>
      <c r="L3414" s="2" t="s">
        <v>177</v>
      </c>
      <c r="M3414" s="2" t="s">
        <v>41</v>
      </c>
      <c r="O3414" s="2" t="s">
        <v>2686</v>
      </c>
      <c r="P3414" s="2" t="s">
        <v>43</v>
      </c>
      <c r="Q3414" s="2" t="s">
        <v>669</v>
      </c>
      <c r="R3414" s="2" t="s">
        <v>670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96"/>
        <v>0.51216666666666666</v>
      </c>
      <c r="Z3414" s="2" t="s">
        <v>3226</v>
      </c>
      <c r="AA3414" s="2" t="s">
        <v>46</v>
      </c>
      <c r="AB3414" s="2" t="s">
        <v>56</v>
      </c>
      <c r="AC3414" s="2" t="s">
        <v>57</v>
      </c>
      <c r="AF3414" s="2">
        <f t="shared" si="492"/>
        <v>0</v>
      </c>
      <c r="AG3414" s="2">
        <v>29.27</v>
      </c>
      <c r="AH3414" s="2">
        <v>60</v>
      </c>
      <c r="AJ3414" s="2">
        <f t="shared" si="493"/>
        <v>0</v>
      </c>
      <c r="AK3414" s="2">
        <f t="shared" ref="AK3414:AK3445" si="498">T3414-W3414</f>
        <v>30.73</v>
      </c>
      <c r="AL3414" s="5">
        <f t="shared" si="497"/>
        <v>0.51216666666666666</v>
      </c>
    </row>
    <row r="3415" spans="1:38" x14ac:dyDescent="0.2">
      <c r="A3415" s="2">
        <v>2026</v>
      </c>
      <c r="B3415" s="2">
        <v>3</v>
      </c>
      <c r="D3415" s="2" t="s">
        <v>332</v>
      </c>
      <c r="E3415" s="2" t="s">
        <v>108</v>
      </c>
      <c r="F3415" s="2" t="s">
        <v>39</v>
      </c>
      <c r="G3415" s="2">
        <v>513493557</v>
      </c>
      <c r="H3415" s="2" t="s">
        <v>41</v>
      </c>
      <c r="I3415" s="2" t="s">
        <v>279</v>
      </c>
      <c r="J3415" s="2" t="s">
        <v>333</v>
      </c>
      <c r="L3415" s="2" t="s">
        <v>177</v>
      </c>
      <c r="M3415" s="2" t="s">
        <v>41</v>
      </c>
      <c r="O3415" s="2" t="s">
        <v>2687</v>
      </c>
      <c r="P3415" s="2" t="s">
        <v>43</v>
      </c>
      <c r="Q3415" s="2" t="s">
        <v>58</v>
      </c>
      <c r="R3415" s="2" t="s">
        <v>59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96"/>
        <v>0.29692307692307701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492"/>
        <v>0</v>
      </c>
      <c r="AG3415" s="2">
        <v>9.14</v>
      </c>
      <c r="AH3415" s="2">
        <v>16</v>
      </c>
      <c r="AJ3415" s="2">
        <f t="shared" si="493"/>
        <v>0</v>
      </c>
      <c r="AK3415" s="2">
        <f t="shared" si="498"/>
        <v>19.300000000000004</v>
      </c>
      <c r="AL3415" s="5">
        <f t="shared" si="497"/>
        <v>0.29692307692307701</v>
      </c>
    </row>
    <row r="3416" spans="1:38" x14ac:dyDescent="0.2">
      <c r="A3416" s="2">
        <v>2026</v>
      </c>
      <c r="B3416" s="2">
        <v>3</v>
      </c>
      <c r="D3416" s="2" t="s">
        <v>2516</v>
      </c>
      <c r="E3416" s="2" t="s">
        <v>752</v>
      </c>
      <c r="F3416" s="2" t="s">
        <v>39</v>
      </c>
      <c r="G3416" s="2">
        <v>515570354</v>
      </c>
      <c r="H3416" s="2" t="s">
        <v>109</v>
      </c>
      <c r="I3416" s="2" t="s">
        <v>2517</v>
      </c>
      <c r="J3416" s="2" t="s">
        <v>2518</v>
      </c>
      <c r="K3416" s="2">
        <v>967032538</v>
      </c>
      <c r="L3416" s="2" t="s">
        <v>398</v>
      </c>
      <c r="M3416" s="2" t="s">
        <v>109</v>
      </c>
      <c r="O3416" s="2" t="s">
        <v>2639</v>
      </c>
      <c r="P3416" s="2" t="s">
        <v>43</v>
      </c>
      <c r="Q3416" s="2" t="s">
        <v>58</v>
      </c>
      <c r="R3416" s="2" t="s">
        <v>59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96"/>
        <v>0.39066666666666677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492"/>
        <v>0</v>
      </c>
      <c r="AG3416" s="2">
        <v>9.14</v>
      </c>
      <c r="AH3416" s="2">
        <v>16</v>
      </c>
      <c r="AJ3416" s="2">
        <f t="shared" si="493"/>
        <v>0</v>
      </c>
      <c r="AK3416" s="2">
        <f t="shared" si="498"/>
        <v>5.8600000000000012</v>
      </c>
      <c r="AL3416" s="5">
        <f t="shared" si="497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61</v>
      </c>
      <c r="R3417" s="2" t="s">
        <v>62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96"/>
        <v>0.26666666666666666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492"/>
        <v>0</v>
      </c>
      <c r="AG3417" s="2">
        <v>8.1999999999999993</v>
      </c>
      <c r="AH3417" s="2">
        <v>13</v>
      </c>
      <c r="AJ3417" s="2">
        <f t="shared" si="493"/>
        <v>0</v>
      </c>
      <c r="AK3417" s="2">
        <f t="shared" si="498"/>
        <v>65.599999999999994</v>
      </c>
      <c r="AL3417" s="5">
        <f t="shared" si="497"/>
        <v>0.26666666666666666</v>
      </c>
    </row>
    <row r="3418" spans="1:38" x14ac:dyDescent="0.2">
      <c r="A3418" s="2">
        <v>2026</v>
      </c>
      <c r="B3418" s="2">
        <v>3</v>
      </c>
      <c r="D3418" s="2" t="s">
        <v>2682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96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492"/>
        <v>0</v>
      </c>
      <c r="AG3418" s="2">
        <v>8.1999999999999993</v>
      </c>
      <c r="AH3418" s="2">
        <v>13</v>
      </c>
      <c r="AJ3418" s="2">
        <f t="shared" si="493"/>
        <v>0</v>
      </c>
      <c r="AK3418" s="2">
        <f t="shared" si="498"/>
        <v>4.7999999999999989</v>
      </c>
      <c r="AL3418" s="5">
        <f t="shared" si="497"/>
        <v>0.36923076923076914</v>
      </c>
    </row>
    <row r="3419" spans="1:38" x14ac:dyDescent="0.2">
      <c r="A3419" s="2">
        <v>2026</v>
      </c>
      <c r="B3419" s="2">
        <v>3</v>
      </c>
      <c r="D3419" s="2" t="s">
        <v>2516</v>
      </c>
      <c r="E3419" s="2" t="s">
        <v>752</v>
      </c>
      <c r="F3419" s="2" t="s">
        <v>39</v>
      </c>
      <c r="G3419" s="2">
        <v>515570354</v>
      </c>
      <c r="H3419" s="2" t="s">
        <v>109</v>
      </c>
      <c r="I3419" s="2" t="s">
        <v>2517</v>
      </c>
      <c r="J3419" s="2" t="s">
        <v>2518</v>
      </c>
      <c r="K3419" s="2">
        <v>967032538</v>
      </c>
      <c r="L3419" s="2" t="s">
        <v>398</v>
      </c>
      <c r="M3419" s="2" t="s">
        <v>109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96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492"/>
        <v>0</v>
      </c>
      <c r="AG3419" s="2">
        <v>8.1999999999999993</v>
      </c>
      <c r="AH3419" s="2">
        <v>13</v>
      </c>
      <c r="AJ3419" s="2">
        <f t="shared" si="493"/>
        <v>0</v>
      </c>
      <c r="AK3419" s="2">
        <f t="shared" si="498"/>
        <v>4.7999999999999989</v>
      </c>
      <c r="AL3419" s="5">
        <f t="shared" si="497"/>
        <v>0.36923076923076914</v>
      </c>
    </row>
    <row r="3420" spans="1:38" x14ac:dyDescent="0.2">
      <c r="A3420" s="2">
        <v>2026</v>
      </c>
      <c r="B3420" s="2">
        <v>3</v>
      </c>
      <c r="D3420" s="2" t="s">
        <v>1008</v>
      </c>
      <c r="E3420" s="2" t="s">
        <v>108</v>
      </c>
      <c r="F3420" s="2" t="s">
        <v>39</v>
      </c>
      <c r="L3420" s="2" t="s">
        <v>418</v>
      </c>
      <c r="M3420" s="2" t="s">
        <v>41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96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492"/>
        <v>0</v>
      </c>
      <c r="AG3420" s="2">
        <v>8.1999999999999993</v>
      </c>
      <c r="AH3420" s="2">
        <v>13</v>
      </c>
      <c r="AJ3420" s="2">
        <f t="shared" si="493"/>
        <v>0</v>
      </c>
      <c r="AK3420" s="2">
        <f t="shared" si="498"/>
        <v>4.7999999999999989</v>
      </c>
      <c r="AL3420" s="5">
        <f t="shared" si="497"/>
        <v>0.36923076923076914</v>
      </c>
    </row>
    <row r="3421" spans="1:38" x14ac:dyDescent="0.2">
      <c r="A3421" s="2">
        <v>2026</v>
      </c>
      <c r="B3421" s="2">
        <v>3</v>
      </c>
      <c r="D3421" s="2" t="s">
        <v>781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782</v>
      </c>
      <c r="J3421" s="2" t="s">
        <v>783</v>
      </c>
      <c r="K3421" s="2">
        <v>917341136</v>
      </c>
      <c r="L3421" s="2" t="s">
        <v>99</v>
      </c>
      <c r="M3421" s="2" t="s">
        <v>80</v>
      </c>
      <c r="P3421" s="2" t="s">
        <v>43</v>
      </c>
      <c r="Q3421" s="2" t="s">
        <v>61</v>
      </c>
      <c r="R3421" s="2" t="s">
        <v>62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96"/>
        <v>0.36923076923076914</v>
      </c>
      <c r="Z3421" s="2" t="s">
        <v>3226</v>
      </c>
      <c r="AA3421" s="2" t="s">
        <v>46</v>
      </c>
      <c r="AB3421" s="2" t="s">
        <v>60</v>
      </c>
      <c r="AC3421" s="2" t="s">
        <v>57</v>
      </c>
      <c r="AF3421" s="2">
        <f t="shared" si="492"/>
        <v>0</v>
      </c>
      <c r="AG3421" s="2">
        <v>8.1999999999999993</v>
      </c>
      <c r="AH3421" s="2">
        <v>13</v>
      </c>
      <c r="AJ3421" s="2">
        <f t="shared" si="493"/>
        <v>0</v>
      </c>
      <c r="AK3421" s="2">
        <f t="shared" si="498"/>
        <v>4.7999999999999989</v>
      </c>
      <c r="AL3421" s="5">
        <f t="shared" si="497"/>
        <v>0.36923076923076914</v>
      </c>
    </row>
    <row r="3422" spans="1:38" x14ac:dyDescent="0.2">
      <c r="A3422" s="2">
        <v>2026</v>
      </c>
      <c r="B3422" s="2">
        <v>4</v>
      </c>
      <c r="D3422" s="2" t="s">
        <v>689</v>
      </c>
      <c r="E3422" s="2" t="s">
        <v>108</v>
      </c>
      <c r="F3422" s="2" t="s">
        <v>39</v>
      </c>
      <c r="G3422" s="2">
        <v>503589950</v>
      </c>
      <c r="H3422" s="2" t="s">
        <v>41</v>
      </c>
      <c r="I3422" s="2" t="s">
        <v>610</v>
      </c>
      <c r="J3422" s="2" t="s">
        <v>690</v>
      </c>
      <c r="K3422" s="2">
        <v>913036545</v>
      </c>
      <c r="L3422" s="2" t="s">
        <v>177</v>
      </c>
      <c r="M3422" s="2" t="s">
        <v>41</v>
      </c>
      <c r="O3422" s="2" t="s">
        <v>2613</v>
      </c>
      <c r="P3422" s="2" t="s">
        <v>43</v>
      </c>
      <c r="Q3422" s="2" t="s">
        <v>232</v>
      </c>
      <c r="R3422" s="2" t="s">
        <v>233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96"/>
        <v>0.53121428571428575</v>
      </c>
      <c r="Z3422" s="2" t="s">
        <v>3226</v>
      </c>
      <c r="AA3422" s="2" t="s">
        <v>46</v>
      </c>
      <c r="AB3422" s="2" t="s">
        <v>56</v>
      </c>
      <c r="AC3422" s="2" t="s">
        <v>57</v>
      </c>
      <c r="AF3422" s="2">
        <f t="shared" si="492"/>
        <v>0</v>
      </c>
      <c r="AG3422" s="2">
        <v>5.9066999999999998</v>
      </c>
      <c r="AH3422" s="2">
        <v>12.6</v>
      </c>
      <c r="AJ3422" s="2">
        <f t="shared" si="493"/>
        <v>0</v>
      </c>
      <c r="AK3422" s="2">
        <f t="shared" si="498"/>
        <v>13.3866</v>
      </c>
      <c r="AL3422" s="5">
        <f t="shared" si="497"/>
        <v>0.53121428571428575</v>
      </c>
    </row>
    <row r="3423" spans="1:38" x14ac:dyDescent="0.2">
      <c r="A3423" s="2">
        <v>2026</v>
      </c>
      <c r="B3423" s="2">
        <v>3</v>
      </c>
      <c r="D3423" s="2" t="s">
        <v>508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96"/>
        <v>0.3166666666666666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492"/>
        <v>0</v>
      </c>
      <c r="AG3423" s="2">
        <v>8.1999999999999993</v>
      </c>
      <c r="AH3423" s="2">
        <v>13</v>
      </c>
      <c r="AJ3423" s="2">
        <f t="shared" si="493"/>
        <v>0</v>
      </c>
      <c r="AK3423" s="2">
        <f t="shared" si="498"/>
        <v>7.5999999999999979</v>
      </c>
      <c r="AL3423" s="5">
        <f t="shared" si="497"/>
        <v>0.3166666666666666</v>
      </c>
    </row>
    <row r="3424" spans="1:38" x14ac:dyDescent="0.2">
      <c r="A3424" s="2">
        <v>2026</v>
      </c>
      <c r="B3424" s="2">
        <v>3</v>
      </c>
      <c r="D3424" s="2" t="s">
        <v>509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156</v>
      </c>
      <c r="J3424" s="2" t="s">
        <v>510</v>
      </c>
      <c r="K3424" s="2">
        <v>919770433</v>
      </c>
      <c r="L3424" s="2" t="s">
        <v>99</v>
      </c>
      <c r="M3424" s="2" t="s">
        <v>80</v>
      </c>
      <c r="P3424" s="2" t="s">
        <v>43</v>
      </c>
      <c r="Q3424" s="2" t="s">
        <v>61</v>
      </c>
      <c r="R3424" s="2" t="s">
        <v>62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96"/>
        <v>0.36923076923076914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492"/>
        <v>0</v>
      </c>
      <c r="AG3424" s="2">
        <v>8.1999999999999993</v>
      </c>
      <c r="AH3424" s="2">
        <v>13</v>
      </c>
      <c r="AJ3424" s="2">
        <f t="shared" si="493"/>
        <v>0</v>
      </c>
      <c r="AK3424" s="2">
        <f t="shared" si="498"/>
        <v>9.5999999999999979</v>
      </c>
      <c r="AL3424" s="5">
        <f t="shared" si="497"/>
        <v>0.36923076923076914</v>
      </c>
    </row>
    <row r="3425" spans="1:38" x14ac:dyDescent="0.2">
      <c r="A3425" s="2">
        <v>2026</v>
      </c>
      <c r="B3425" s="2">
        <v>3</v>
      </c>
      <c r="D3425" s="2" t="s">
        <v>581</v>
      </c>
      <c r="E3425" s="2" t="s">
        <v>38</v>
      </c>
      <c r="F3425" s="2" t="s">
        <v>39</v>
      </c>
      <c r="G3425" s="2">
        <v>518281272</v>
      </c>
      <c r="H3425" s="2" t="s">
        <v>41</v>
      </c>
      <c r="I3425" s="2" t="s">
        <v>1101</v>
      </c>
      <c r="J3425" s="2" t="s">
        <v>1102</v>
      </c>
      <c r="L3425" s="2" t="s">
        <v>177</v>
      </c>
      <c r="M3425" s="2" t="s">
        <v>41</v>
      </c>
      <c r="P3425" s="2" t="s">
        <v>43</v>
      </c>
      <c r="Q3425" s="2" t="s">
        <v>61</v>
      </c>
      <c r="R3425" s="2" t="s">
        <v>62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96"/>
        <v>0.25454545454545452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492"/>
        <v>0</v>
      </c>
      <c r="AG3425" s="2">
        <v>8.1999999999999993</v>
      </c>
      <c r="AH3425" s="2">
        <v>13</v>
      </c>
      <c r="AJ3425" s="2">
        <f t="shared" si="493"/>
        <v>0</v>
      </c>
      <c r="AK3425" s="2">
        <f t="shared" si="498"/>
        <v>28</v>
      </c>
      <c r="AL3425" s="5">
        <f t="shared" si="497"/>
        <v>0.25454545454545452</v>
      </c>
    </row>
    <row r="3426" spans="1:38" x14ac:dyDescent="0.2">
      <c r="A3426" s="2">
        <v>2026</v>
      </c>
      <c r="B3426" s="2">
        <v>3</v>
      </c>
      <c r="D3426" s="2" t="s">
        <v>597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598</v>
      </c>
      <c r="J3426" s="2" t="s">
        <v>599</v>
      </c>
      <c r="K3426" s="2">
        <v>919603867</v>
      </c>
      <c r="L3426" s="2" t="s">
        <v>600</v>
      </c>
      <c r="M3426" s="2" t="s">
        <v>41</v>
      </c>
      <c r="O3426" s="2" t="s">
        <v>2675</v>
      </c>
      <c r="P3426" s="2" t="s">
        <v>43</v>
      </c>
      <c r="Q3426" s="2" t="s">
        <v>61</v>
      </c>
      <c r="R3426" s="2" t="s">
        <v>62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8">
        <f>IF(T3426=0,IF(W3426&gt;0,-100%,0%),(T3426-W3426)/T3426)</f>
        <v>-1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492"/>
        <v>0</v>
      </c>
      <c r="AG3426" s="2">
        <v>8.1999999999999993</v>
      </c>
      <c r="AH3426" s="2">
        <v>13</v>
      </c>
      <c r="AJ3426" s="2">
        <f t="shared" si="493"/>
        <v>0</v>
      </c>
      <c r="AK3426" s="2">
        <f t="shared" si="498"/>
        <v>-16.400000000000002</v>
      </c>
      <c r="AL3426" s="18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606</v>
      </c>
      <c r="E3427" s="2" t="s">
        <v>108</v>
      </c>
      <c r="F3427" s="2" t="s">
        <v>39</v>
      </c>
      <c r="G3427" s="2">
        <v>504822187</v>
      </c>
      <c r="H3427" s="2" t="s">
        <v>109</v>
      </c>
      <c r="I3427" s="2" t="s">
        <v>607</v>
      </c>
      <c r="J3427" s="2" t="s">
        <v>608</v>
      </c>
      <c r="K3427" s="2">
        <v>966216853</v>
      </c>
      <c r="L3427" s="2" t="s">
        <v>461</v>
      </c>
      <c r="P3427" s="2" t="s">
        <v>43</v>
      </c>
      <c r="Q3427" s="2" t="s">
        <v>61</v>
      </c>
      <c r="R3427" s="2" t="s">
        <v>62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99">(T3427-W3427)/T3427</f>
        <v>0.21904761904761905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492"/>
        <v>0</v>
      </c>
      <c r="AG3427" s="2">
        <v>8.1999999999999993</v>
      </c>
      <c r="AH3427" s="2">
        <v>13</v>
      </c>
      <c r="AJ3427" s="2">
        <f t="shared" si="493"/>
        <v>0</v>
      </c>
      <c r="AK3427" s="2">
        <f t="shared" si="498"/>
        <v>23</v>
      </c>
      <c r="AL3427" s="5">
        <f t="shared" ref="AL3427:AL3437" si="500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2682</v>
      </c>
      <c r="P3428" s="2" t="s">
        <v>43</v>
      </c>
      <c r="Q3428" s="2" t="s">
        <v>254</v>
      </c>
      <c r="R3428" s="2" t="s">
        <v>255</v>
      </c>
      <c r="S3428" s="2">
        <v>100</v>
      </c>
      <c r="T3428" s="2">
        <v>15</v>
      </c>
      <c r="U3428" s="2">
        <v>3.45</v>
      </c>
      <c r="V3428" s="2">
        <v>18.45</v>
      </c>
      <c r="W3428" s="2">
        <f>0.0914*S3428</f>
        <v>9.1399999999999988</v>
      </c>
      <c r="X3428" s="5">
        <f t="shared" si="499"/>
        <v>0.39066666666666677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492"/>
        <v>0</v>
      </c>
      <c r="AJ3428" s="2">
        <f t="shared" si="493"/>
        <v>0</v>
      </c>
      <c r="AK3428" s="2">
        <f t="shared" si="498"/>
        <v>5.8600000000000012</v>
      </c>
      <c r="AL3428" s="5">
        <f t="shared" si="500"/>
        <v>0.39066666666666677</v>
      </c>
    </row>
    <row r="3429" spans="1:38" x14ac:dyDescent="0.2">
      <c r="A3429" s="2">
        <v>2026</v>
      </c>
      <c r="B3429" s="2">
        <v>3</v>
      </c>
      <c r="D3429" s="2" t="s">
        <v>332</v>
      </c>
      <c r="E3429" s="2" t="s">
        <v>108</v>
      </c>
      <c r="F3429" s="2" t="s">
        <v>39</v>
      </c>
      <c r="G3429" s="2">
        <v>513493557</v>
      </c>
      <c r="H3429" s="2" t="s">
        <v>41</v>
      </c>
      <c r="I3429" s="2" t="s">
        <v>279</v>
      </c>
      <c r="J3429" s="2" t="s">
        <v>333</v>
      </c>
      <c r="L3429" s="2" t="s">
        <v>177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500</v>
      </c>
      <c r="T3429" s="2">
        <v>65</v>
      </c>
      <c r="U3429" s="2">
        <v>14.95</v>
      </c>
      <c r="V3429" s="2">
        <v>79.95</v>
      </c>
      <c r="W3429" s="2">
        <f>0.0914*S3429</f>
        <v>45.699999999999996</v>
      </c>
      <c r="X3429" s="5">
        <f t="shared" si="499"/>
        <v>0.29692307692307701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492"/>
        <v>0</v>
      </c>
      <c r="AJ3429" s="2">
        <f t="shared" si="493"/>
        <v>0</v>
      </c>
      <c r="AK3429" s="2">
        <f t="shared" si="498"/>
        <v>19.300000000000004</v>
      </c>
      <c r="AL3429" s="5">
        <f t="shared" si="500"/>
        <v>0.29692307692307701</v>
      </c>
    </row>
    <row r="3430" spans="1:38" x14ac:dyDescent="0.2">
      <c r="A3430" s="2">
        <v>2026</v>
      </c>
      <c r="B3430" s="2">
        <v>3</v>
      </c>
      <c r="D3430" s="2" t="s">
        <v>980</v>
      </c>
      <c r="E3430" s="2" t="s">
        <v>38</v>
      </c>
      <c r="F3430" s="2" t="s">
        <v>39</v>
      </c>
      <c r="L3430" s="2" t="s">
        <v>418</v>
      </c>
      <c r="M3430" s="2" t="s">
        <v>41</v>
      </c>
      <c r="P3430" s="2" t="s">
        <v>43</v>
      </c>
      <c r="Q3430" s="2" t="s">
        <v>254</v>
      </c>
      <c r="R3430" s="2" t="s">
        <v>255</v>
      </c>
      <c r="S3430" s="2">
        <v>100</v>
      </c>
      <c r="T3430" s="2">
        <v>14</v>
      </c>
      <c r="U3430" s="2">
        <v>3.22</v>
      </c>
      <c r="V3430" s="2">
        <v>17.22</v>
      </c>
      <c r="W3430" s="2">
        <f>0.0914*S3430</f>
        <v>9.1399999999999988</v>
      </c>
      <c r="X3430" s="5">
        <f t="shared" si="499"/>
        <v>0.34714285714285725</v>
      </c>
      <c r="Z3430" s="2" t="s">
        <v>3226</v>
      </c>
      <c r="AA3430" s="2" t="s">
        <v>46</v>
      </c>
      <c r="AB3430" s="2" t="s">
        <v>60</v>
      </c>
      <c r="AC3430" s="2" t="s">
        <v>57</v>
      </c>
      <c r="AF3430" s="2">
        <f t="shared" si="492"/>
        <v>0</v>
      </c>
      <c r="AJ3430" s="2">
        <f t="shared" si="493"/>
        <v>0</v>
      </c>
      <c r="AK3430" s="2">
        <f t="shared" si="498"/>
        <v>4.8600000000000012</v>
      </c>
      <c r="AL3430" s="5">
        <f t="shared" si="500"/>
        <v>0.34714285714285725</v>
      </c>
    </row>
    <row r="3431" spans="1:38" x14ac:dyDescent="0.2">
      <c r="A3431" s="2">
        <v>2026</v>
      </c>
      <c r="B3431" s="2">
        <v>3</v>
      </c>
      <c r="D3431" s="2" t="s">
        <v>588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177</v>
      </c>
      <c r="J3431" s="2" t="s">
        <v>589</v>
      </c>
      <c r="L3431" s="2" t="s">
        <v>177</v>
      </c>
      <c r="M3431" s="2" t="s">
        <v>41</v>
      </c>
      <c r="P3431" s="2" t="s">
        <v>43</v>
      </c>
      <c r="Q3431" s="2" t="s">
        <v>256</v>
      </c>
      <c r="R3431" s="2" t="s">
        <v>257</v>
      </c>
      <c r="S3431" s="2">
        <v>2</v>
      </c>
      <c r="T3431" s="2">
        <v>6</v>
      </c>
      <c r="U3431" s="2">
        <v>1.38</v>
      </c>
      <c r="V3431" s="2">
        <v>7.38</v>
      </c>
      <c r="W3431" s="2">
        <f>0.98*S3431</f>
        <v>1.96</v>
      </c>
      <c r="X3431" s="5">
        <f t="shared" si="499"/>
        <v>0.67333333333333334</v>
      </c>
      <c r="Z3431" s="2" t="s">
        <v>3226</v>
      </c>
      <c r="AA3431" s="2" t="s">
        <v>46</v>
      </c>
      <c r="AB3431" s="2" t="s">
        <v>90</v>
      </c>
      <c r="AC3431" s="2" t="s">
        <v>57</v>
      </c>
      <c r="AF3431" s="2">
        <f t="shared" si="492"/>
        <v>0</v>
      </c>
      <c r="AJ3431" s="2">
        <f t="shared" si="493"/>
        <v>0</v>
      </c>
      <c r="AK3431" s="2">
        <f t="shared" si="498"/>
        <v>4.04</v>
      </c>
      <c r="AL3431" s="5">
        <f t="shared" si="500"/>
        <v>0.67333333333333334</v>
      </c>
    </row>
    <row r="3432" spans="1:38" x14ac:dyDescent="0.2">
      <c r="A3432" s="2">
        <v>2026</v>
      </c>
      <c r="B3432" s="2">
        <v>3</v>
      </c>
      <c r="D3432" s="2" t="s">
        <v>507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177</v>
      </c>
      <c r="J3432" s="2" t="s">
        <v>3133</v>
      </c>
      <c r="L3432" s="2" t="s">
        <v>177</v>
      </c>
      <c r="M3432" s="2" t="s">
        <v>41</v>
      </c>
      <c r="O3432" s="2" t="s">
        <v>3141</v>
      </c>
      <c r="P3432" s="2" t="s">
        <v>43</v>
      </c>
      <c r="Q3432" s="2" t="s">
        <v>162</v>
      </c>
      <c r="R3432" s="2" t="s">
        <v>163</v>
      </c>
      <c r="S3432" s="2">
        <v>1</v>
      </c>
      <c r="T3432" s="2">
        <v>21</v>
      </c>
      <c r="U3432" s="2">
        <v>4.83</v>
      </c>
      <c r="V3432" s="2">
        <v>25.83</v>
      </c>
      <c r="W3432" s="2">
        <f>8*S3432</f>
        <v>8</v>
      </c>
      <c r="X3432" s="5">
        <f t="shared" si="499"/>
        <v>0.61904761904761907</v>
      </c>
      <c r="Z3432" s="2" t="s">
        <v>3226</v>
      </c>
      <c r="AA3432" s="2" t="s">
        <v>46</v>
      </c>
      <c r="AB3432" s="2" t="s">
        <v>47</v>
      </c>
      <c r="AC3432" s="2" t="s">
        <v>57</v>
      </c>
      <c r="AF3432" s="2">
        <f t="shared" si="492"/>
        <v>0</v>
      </c>
      <c r="AJ3432" s="2">
        <f t="shared" si="493"/>
        <v>0</v>
      </c>
      <c r="AK3432" s="2">
        <f t="shared" si="498"/>
        <v>13</v>
      </c>
      <c r="AL3432" s="5">
        <f t="shared" si="500"/>
        <v>0.61904761904761907</v>
      </c>
    </row>
    <row r="3433" spans="1:38" x14ac:dyDescent="0.2">
      <c r="A3433" s="2">
        <v>2026</v>
      </c>
      <c r="B3433" s="2">
        <v>3</v>
      </c>
      <c r="D3433" s="2" t="s">
        <v>588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177</v>
      </c>
      <c r="J3433" s="2" t="s">
        <v>589</v>
      </c>
      <c r="L3433" s="2" t="s">
        <v>177</v>
      </c>
      <c r="M3433" s="2" t="s">
        <v>41</v>
      </c>
      <c r="P3433" s="2" t="s">
        <v>43</v>
      </c>
      <c r="Q3433" s="2" t="s">
        <v>204</v>
      </c>
      <c r="R3433" s="2" t="s">
        <v>205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99"/>
        <v>0.23666666666666661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492"/>
        <v>0</v>
      </c>
      <c r="AG3433" s="2">
        <v>1.8320000000000001</v>
      </c>
      <c r="AH3433" s="2">
        <v>2.4</v>
      </c>
      <c r="AJ3433" s="2">
        <f t="shared" si="493"/>
        <v>0</v>
      </c>
      <c r="AK3433" s="2">
        <f t="shared" si="498"/>
        <v>1.1359999999999997</v>
      </c>
      <c r="AL3433" s="5">
        <f t="shared" si="500"/>
        <v>0.23666666666666661</v>
      </c>
    </row>
    <row r="3434" spans="1:38" x14ac:dyDescent="0.2">
      <c r="A3434" s="2">
        <v>2026</v>
      </c>
      <c r="B3434" s="2">
        <v>3</v>
      </c>
      <c r="D3434" s="2" t="s">
        <v>574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177</v>
      </c>
      <c r="J3434" s="2" t="s">
        <v>575</v>
      </c>
      <c r="L3434" s="2" t="s">
        <v>177</v>
      </c>
      <c r="M3434" s="2" t="s">
        <v>41</v>
      </c>
      <c r="O3434" s="2" t="s">
        <v>2688</v>
      </c>
      <c r="P3434" s="2" t="s">
        <v>43</v>
      </c>
      <c r="Q3434" s="2" t="s">
        <v>420</v>
      </c>
      <c r="R3434" s="2" t="s">
        <v>421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99"/>
        <v>0.47838888888888892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492"/>
        <v>0</v>
      </c>
      <c r="AG3434" s="2">
        <v>3.7555999999999998</v>
      </c>
      <c r="AH3434" s="2">
        <v>7.2</v>
      </c>
      <c r="AJ3434" s="2">
        <f t="shared" si="493"/>
        <v>0</v>
      </c>
      <c r="AK3434" s="2">
        <f t="shared" si="498"/>
        <v>68.888000000000005</v>
      </c>
      <c r="AL3434" s="5">
        <f t="shared" si="500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63</v>
      </c>
      <c r="R3435" s="2" t="s">
        <v>64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99"/>
        <v>0.5243888888888889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492"/>
        <v>0</v>
      </c>
      <c r="AG3435" s="2">
        <v>0.85609999999999997</v>
      </c>
      <c r="AH3435" s="2">
        <v>1.8</v>
      </c>
      <c r="AJ3435" s="2">
        <f t="shared" si="493"/>
        <v>0</v>
      </c>
      <c r="AK3435" s="2">
        <f t="shared" si="498"/>
        <v>18.878</v>
      </c>
      <c r="AL3435" s="5">
        <f t="shared" si="500"/>
        <v>0.5243888888888889</v>
      </c>
    </row>
    <row r="3436" spans="1:38" x14ac:dyDescent="0.2">
      <c r="A3436" s="2">
        <v>2026</v>
      </c>
      <c r="B3436" s="2">
        <v>3</v>
      </c>
      <c r="D3436" s="2" t="s">
        <v>574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177</v>
      </c>
      <c r="J3436" s="2" t="s">
        <v>575</v>
      </c>
      <c r="L3436" s="2" t="s">
        <v>177</v>
      </c>
      <c r="M3436" s="2" t="s">
        <v>41</v>
      </c>
      <c r="P3436" s="2" t="s">
        <v>43</v>
      </c>
      <c r="Q3436" s="2" t="s">
        <v>334</v>
      </c>
      <c r="R3436" s="2" t="s">
        <v>335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99"/>
        <v>0.62926666666666664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492"/>
        <v>0</v>
      </c>
      <c r="AG3436" s="2">
        <v>1.1122000000000001</v>
      </c>
      <c r="AH3436" s="2">
        <v>3</v>
      </c>
      <c r="AJ3436" s="2">
        <f t="shared" si="493"/>
        <v>0</v>
      </c>
      <c r="AK3436" s="2">
        <f t="shared" si="498"/>
        <v>75.512</v>
      </c>
      <c r="AL3436" s="5">
        <f t="shared" si="500"/>
        <v>0.62926666666666664</v>
      </c>
    </row>
    <row r="3437" spans="1:38" x14ac:dyDescent="0.2">
      <c r="A3437" s="2">
        <v>2026</v>
      </c>
      <c r="B3437" s="2">
        <v>3</v>
      </c>
      <c r="D3437" s="2" t="s">
        <v>693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327</v>
      </c>
      <c r="J3437" s="2" t="s">
        <v>695</v>
      </c>
      <c r="K3437" s="2">
        <v>917295518</v>
      </c>
      <c r="L3437" s="2" t="s">
        <v>177</v>
      </c>
      <c r="M3437" s="2" t="s">
        <v>41</v>
      </c>
      <c r="P3437" s="2" t="s">
        <v>43</v>
      </c>
      <c r="Q3437" s="2" t="s">
        <v>579</v>
      </c>
      <c r="R3437" s="2" t="s">
        <v>580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99"/>
        <v>0.5295333333333333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492"/>
        <v>0</v>
      </c>
      <c r="AG3437" s="2">
        <v>1.4114</v>
      </c>
      <c r="AH3437" s="2">
        <v>3</v>
      </c>
      <c r="AJ3437" s="2">
        <f t="shared" si="493"/>
        <v>0</v>
      </c>
      <c r="AK3437" s="2">
        <f t="shared" si="498"/>
        <v>31.771999999999998</v>
      </c>
      <c r="AL3437" s="5">
        <f t="shared" si="500"/>
        <v>0.5295333333333333</v>
      </c>
    </row>
    <row r="3438" spans="1:38" x14ac:dyDescent="0.2">
      <c r="A3438" s="2">
        <v>2026</v>
      </c>
      <c r="B3438" s="2">
        <v>3</v>
      </c>
      <c r="D3438" s="2" t="s">
        <v>597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598</v>
      </c>
      <c r="J3438" s="2" t="s">
        <v>599</v>
      </c>
      <c r="K3438" s="2">
        <v>919603867</v>
      </c>
      <c r="L3438" s="2" t="s">
        <v>600</v>
      </c>
      <c r="M3438" s="2" t="s">
        <v>41</v>
      </c>
      <c r="O3438" s="2" t="s">
        <v>2675</v>
      </c>
      <c r="P3438" s="2" t="s">
        <v>43</v>
      </c>
      <c r="Q3438" s="2" t="s">
        <v>503</v>
      </c>
      <c r="R3438" s="2" t="s">
        <v>504</v>
      </c>
      <c r="S3438" s="2">
        <v>12</v>
      </c>
      <c r="T3438" s="2">
        <v>0</v>
      </c>
      <c r="U3438" s="2">
        <v>0</v>
      </c>
      <c r="V3438" s="2">
        <v>0</v>
      </c>
      <c r="W3438" s="2">
        <f>0.4795*S3438</f>
        <v>5.7539999999999996</v>
      </c>
      <c r="X3438" s="18">
        <v>-1</v>
      </c>
      <c r="Z3438" s="2" t="s">
        <v>3226</v>
      </c>
      <c r="AA3438" s="2" t="s">
        <v>46</v>
      </c>
      <c r="AB3438" s="2" t="s">
        <v>60</v>
      </c>
      <c r="AC3438" s="2" t="s">
        <v>57</v>
      </c>
      <c r="AF3438" s="2">
        <f t="shared" si="492"/>
        <v>0</v>
      </c>
      <c r="AJ3438" s="2">
        <f t="shared" si="493"/>
        <v>0</v>
      </c>
      <c r="AK3438" s="2">
        <f t="shared" si="498"/>
        <v>-5.7539999999999996</v>
      </c>
      <c r="AL3438" s="18">
        <v>-1</v>
      </c>
    </row>
    <row r="3439" spans="1:38" x14ac:dyDescent="0.2">
      <c r="A3439" s="2">
        <v>2026</v>
      </c>
      <c r="B3439" s="2">
        <v>3</v>
      </c>
      <c r="D3439" s="2" t="s">
        <v>765</v>
      </c>
      <c r="E3439" s="2" t="s">
        <v>38</v>
      </c>
      <c r="G3439" s="2">
        <v>513686231</v>
      </c>
      <c r="H3439" s="2" t="s">
        <v>290</v>
      </c>
      <c r="I3439" s="2" t="s">
        <v>766</v>
      </c>
      <c r="J3439" s="2" t="s">
        <v>767</v>
      </c>
      <c r="L3439" s="2" t="s">
        <v>480</v>
      </c>
      <c r="M3439" s="2" t="s">
        <v>80</v>
      </c>
      <c r="O3439" s="2" t="s">
        <v>2689</v>
      </c>
      <c r="P3439" s="2" t="s">
        <v>43</v>
      </c>
      <c r="Q3439" s="2" t="s">
        <v>164</v>
      </c>
      <c r="R3439" s="2" t="s">
        <v>165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501">(T3439-W3439)/T3439</f>
        <v>0.45283848797250864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492"/>
        <v>0</v>
      </c>
      <c r="AG3439" s="2">
        <v>7.9611999999999998</v>
      </c>
      <c r="AH3439" s="2">
        <v>14.4</v>
      </c>
      <c r="AJ3439" s="2">
        <f t="shared" si="493"/>
        <v>0</v>
      </c>
      <c r="AK3439" s="2">
        <f t="shared" si="498"/>
        <v>52.710400000000007</v>
      </c>
      <c r="AL3439" s="5">
        <f t="shared" ref="AL3439:AL3458" si="502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2516</v>
      </c>
      <c r="E3440" s="2" t="s">
        <v>752</v>
      </c>
      <c r="F3440" s="2" t="s">
        <v>39</v>
      </c>
      <c r="G3440" s="2">
        <v>515570354</v>
      </c>
      <c r="H3440" s="2" t="s">
        <v>109</v>
      </c>
      <c r="I3440" s="2" t="s">
        <v>2517</v>
      </c>
      <c r="J3440" s="2" t="s">
        <v>2518</v>
      </c>
      <c r="K3440" s="2">
        <v>967032538</v>
      </c>
      <c r="L3440" s="2" t="s">
        <v>398</v>
      </c>
      <c r="M3440" s="2" t="s">
        <v>109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501"/>
        <v>0.45578623188405798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492"/>
        <v>0</v>
      </c>
      <c r="AG3440" s="2">
        <v>15.020300000000001</v>
      </c>
      <c r="AH3440" s="2">
        <v>27.6</v>
      </c>
      <c r="AJ3440" s="2">
        <f t="shared" si="493"/>
        <v>0</v>
      </c>
      <c r="AK3440" s="2">
        <f t="shared" si="498"/>
        <v>12.579700000000001</v>
      </c>
      <c r="AL3440" s="5">
        <f t="shared" si="502"/>
        <v>0.45578623188405798</v>
      </c>
    </row>
    <row r="3441" spans="1:38" x14ac:dyDescent="0.2">
      <c r="A3441" s="2">
        <v>2026</v>
      </c>
      <c r="B3441" s="2">
        <v>3</v>
      </c>
      <c r="D3441" s="2" t="s">
        <v>1008</v>
      </c>
      <c r="E3441" s="2" t="s">
        <v>108</v>
      </c>
      <c r="F3441" s="2" t="s">
        <v>39</v>
      </c>
      <c r="L3441" s="2" t="s">
        <v>418</v>
      </c>
      <c r="M3441" s="2" t="s">
        <v>41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01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492"/>
        <v>0</v>
      </c>
      <c r="AG3441" s="2">
        <v>15.020300000000001</v>
      </c>
      <c r="AH3441" s="2">
        <v>27.6</v>
      </c>
      <c r="AJ3441" s="2">
        <f t="shared" si="493"/>
        <v>0</v>
      </c>
      <c r="AK3441" s="2">
        <f t="shared" si="498"/>
        <v>8.4796999999999993</v>
      </c>
      <c r="AL3441" s="5">
        <f t="shared" si="502"/>
        <v>0.3608382978723404</v>
      </c>
    </row>
    <row r="3442" spans="1:38" x14ac:dyDescent="0.2">
      <c r="A3442" s="2">
        <v>2026</v>
      </c>
      <c r="B3442" s="2">
        <v>3</v>
      </c>
      <c r="D3442" s="2" t="s">
        <v>813</v>
      </c>
      <c r="E3442" s="2" t="s">
        <v>38</v>
      </c>
      <c r="F3442" s="2" t="s">
        <v>39</v>
      </c>
      <c r="G3442" s="2" t="s">
        <v>814</v>
      </c>
      <c r="H3442" s="2" t="s">
        <v>41</v>
      </c>
      <c r="I3442" s="2" t="s">
        <v>626</v>
      </c>
      <c r="L3442" s="2" t="s">
        <v>626</v>
      </c>
      <c r="M3442" s="2" t="s">
        <v>41</v>
      </c>
      <c r="O3442" s="2" t="s">
        <v>2677</v>
      </c>
      <c r="P3442" s="2" t="s">
        <v>43</v>
      </c>
      <c r="Q3442" s="2" t="s">
        <v>65</v>
      </c>
      <c r="R3442" s="2" t="s">
        <v>66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501"/>
        <v>0.3608382978723404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492"/>
        <v>0</v>
      </c>
      <c r="AG3442" s="2">
        <v>15.020300000000001</v>
      </c>
      <c r="AH3442" s="2">
        <v>27.6</v>
      </c>
      <c r="AJ3442" s="2">
        <f t="shared" si="493"/>
        <v>0</v>
      </c>
      <c r="AK3442" s="2">
        <f t="shared" si="498"/>
        <v>8.4796999999999993</v>
      </c>
      <c r="AL3442" s="5">
        <f t="shared" si="502"/>
        <v>0.3608382978723404</v>
      </c>
    </row>
    <row r="3443" spans="1:38" x14ac:dyDescent="0.2">
      <c r="A3443" s="2">
        <v>2026</v>
      </c>
      <c r="B3443" s="2">
        <v>3</v>
      </c>
      <c r="C3443" s="2" t="s">
        <v>3443</v>
      </c>
      <c r="D3443" s="2" t="s">
        <v>485</v>
      </c>
      <c r="E3443" s="2" t="s">
        <v>108</v>
      </c>
      <c r="F3443" s="2" t="s">
        <v>39</v>
      </c>
      <c r="G3443" s="2">
        <v>506834689</v>
      </c>
      <c r="H3443" s="2" t="s">
        <v>41</v>
      </c>
      <c r="I3443" s="2" t="s">
        <v>486</v>
      </c>
      <c r="J3443" s="2" t="s">
        <v>487</v>
      </c>
      <c r="K3443" s="2">
        <v>919866237</v>
      </c>
      <c r="L3443" s="2" t="s">
        <v>461</v>
      </c>
      <c r="M3443" s="2" t="s">
        <v>41</v>
      </c>
      <c r="P3443" s="2" t="s">
        <v>43</v>
      </c>
      <c r="Q3443" s="2" t="s">
        <v>65</v>
      </c>
      <c r="R3443" s="2" t="s">
        <v>66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501"/>
        <v>0.31725909090909088</v>
      </c>
      <c r="Z3443" s="2" t="s">
        <v>3226</v>
      </c>
      <c r="AA3443" s="2" t="s">
        <v>46</v>
      </c>
      <c r="AB3443" s="2" t="s">
        <v>67</v>
      </c>
      <c r="AC3443" s="2" t="s">
        <v>57</v>
      </c>
      <c r="AF3443" s="2">
        <f t="shared" si="492"/>
        <v>0</v>
      </c>
      <c r="AG3443" s="2">
        <v>15.020300000000001</v>
      </c>
      <c r="AH3443" s="2">
        <v>27.6</v>
      </c>
      <c r="AJ3443" s="2">
        <f t="shared" si="493"/>
        <v>0</v>
      </c>
      <c r="AK3443" s="2">
        <f t="shared" si="498"/>
        <v>27.918799999999997</v>
      </c>
      <c r="AL3443" s="5">
        <f t="shared" si="502"/>
        <v>0.31725909090909088</v>
      </c>
    </row>
    <row r="3444" spans="1:38" x14ac:dyDescent="0.2">
      <c r="A3444" s="2">
        <v>2026</v>
      </c>
      <c r="B3444" s="2">
        <v>3</v>
      </c>
      <c r="D3444" s="2" t="s">
        <v>2690</v>
      </c>
      <c r="M3444" s="2" t="s">
        <v>40</v>
      </c>
      <c r="P3444" s="2" t="s">
        <v>2691</v>
      </c>
      <c r="Q3444" s="2" t="s">
        <v>2692</v>
      </c>
      <c r="R3444" s="2" t="s">
        <v>2693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501"/>
        <v>1</v>
      </c>
      <c r="Z3444" s="2" t="s">
        <v>3226</v>
      </c>
      <c r="AF3444" s="2">
        <f t="shared" si="492"/>
        <v>0</v>
      </c>
      <c r="AJ3444" s="2">
        <f t="shared" si="493"/>
        <v>0</v>
      </c>
      <c r="AK3444" s="2">
        <f t="shared" si="498"/>
        <v>4620</v>
      </c>
      <c r="AL3444" s="5">
        <f t="shared" si="502"/>
        <v>1</v>
      </c>
    </row>
    <row r="3445" spans="1:38" x14ac:dyDescent="0.2">
      <c r="A3445" s="2">
        <v>2026</v>
      </c>
      <c r="B3445" s="2">
        <v>3</v>
      </c>
      <c r="D3445" s="2" t="s">
        <v>359</v>
      </c>
      <c r="E3445" s="2" t="s">
        <v>108</v>
      </c>
      <c r="F3445" s="2" t="s">
        <v>39</v>
      </c>
      <c r="G3445" s="2">
        <v>503413909</v>
      </c>
      <c r="H3445" s="2" t="s">
        <v>109</v>
      </c>
      <c r="I3445" s="2" t="s">
        <v>360</v>
      </c>
      <c r="J3445" s="2" t="s">
        <v>361</v>
      </c>
      <c r="L3445" s="2" t="s">
        <v>360</v>
      </c>
      <c r="M3445" s="2" t="s">
        <v>109</v>
      </c>
      <c r="O3445" s="2" t="s">
        <v>2694</v>
      </c>
      <c r="P3445" s="2" t="s">
        <v>3229</v>
      </c>
      <c r="Q3445" s="2" t="s">
        <v>2695</v>
      </c>
      <c r="R3445" s="2" t="s">
        <v>2696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501"/>
        <v>0.4891828571428572</v>
      </c>
      <c r="Z3445" s="2" t="s">
        <v>104</v>
      </c>
      <c r="AA3445" s="2" t="s">
        <v>2697</v>
      </c>
      <c r="AB3445" s="2" t="s">
        <v>2698</v>
      </c>
      <c r="AC3445" s="2" t="s">
        <v>3229</v>
      </c>
      <c r="AF3445" s="2">
        <f t="shared" si="492"/>
        <v>0</v>
      </c>
      <c r="AG3445" s="2">
        <v>893.93</v>
      </c>
      <c r="AJ3445" s="2">
        <f t="shared" si="493"/>
        <v>0</v>
      </c>
      <c r="AK3445" s="2">
        <f t="shared" si="498"/>
        <v>856.07</v>
      </c>
      <c r="AL3445" s="5">
        <f t="shared" si="502"/>
        <v>0.4891828571428572</v>
      </c>
    </row>
    <row r="3446" spans="1:38" x14ac:dyDescent="0.2">
      <c r="A3446" s="2">
        <v>2026</v>
      </c>
      <c r="B3446" s="2">
        <v>3</v>
      </c>
      <c r="D3446" s="2" t="s">
        <v>1884</v>
      </c>
      <c r="P3446" s="2" t="s">
        <v>3229</v>
      </c>
      <c r="Q3446" s="2" t="s">
        <v>1786</v>
      </c>
      <c r="R3446" s="2" t="s">
        <v>1787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501"/>
        <v>0.49662135922330097</v>
      </c>
      <c r="Z3446" s="2" t="s">
        <v>104</v>
      </c>
      <c r="AA3446" s="2" t="s">
        <v>105</v>
      </c>
      <c r="AB3446" s="2" t="s">
        <v>106</v>
      </c>
      <c r="AC3446" s="2" t="s">
        <v>3229</v>
      </c>
      <c r="AF3446" s="2">
        <f t="shared" si="492"/>
        <v>0</v>
      </c>
      <c r="AJ3446" s="2">
        <f t="shared" si="493"/>
        <v>0</v>
      </c>
      <c r="AK3446" s="2">
        <f t="shared" ref="AK3446:AK3458" si="503">T3446-W3446</f>
        <v>1023.04</v>
      </c>
      <c r="AL3446" s="5">
        <f t="shared" si="502"/>
        <v>0.49662135922330097</v>
      </c>
    </row>
    <row r="3447" spans="1:38" x14ac:dyDescent="0.2">
      <c r="A3447" s="2">
        <v>2026</v>
      </c>
      <c r="B3447" s="2">
        <v>3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109</v>
      </c>
      <c r="O3447" s="2" t="s">
        <v>2699</v>
      </c>
      <c r="P3447" s="2" t="s">
        <v>3229</v>
      </c>
      <c r="Q3447" s="2" t="s">
        <v>2700</v>
      </c>
      <c r="R3447" s="2" t="s">
        <v>2701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501"/>
        <v>0.49175806451612902</v>
      </c>
      <c r="Z3447" s="2" t="s">
        <v>104</v>
      </c>
      <c r="AA3447" s="2" t="s">
        <v>264</v>
      </c>
      <c r="AB3447" s="2" t="s">
        <v>1095</v>
      </c>
      <c r="AC3447" s="2" t="s">
        <v>3229</v>
      </c>
      <c r="AF3447" s="2">
        <f t="shared" si="492"/>
        <v>0</v>
      </c>
      <c r="AJ3447" s="2">
        <f t="shared" si="493"/>
        <v>0</v>
      </c>
      <c r="AK3447" s="2">
        <f t="shared" si="503"/>
        <v>1524.45</v>
      </c>
      <c r="AL3447" s="5">
        <f t="shared" si="502"/>
        <v>0.49175806451612902</v>
      </c>
    </row>
    <row r="3448" spans="1:38" x14ac:dyDescent="0.2">
      <c r="A3448" s="2">
        <v>2026</v>
      </c>
      <c r="B3448" s="2">
        <v>3</v>
      </c>
      <c r="D3448" s="2" t="s">
        <v>382</v>
      </c>
      <c r="E3448" s="2" t="s">
        <v>38</v>
      </c>
      <c r="F3448" s="2" t="s">
        <v>39</v>
      </c>
      <c r="G3448" s="2">
        <v>212196260</v>
      </c>
      <c r="H3448" s="2" t="s">
        <v>109</v>
      </c>
      <c r="I3448" s="2" t="s">
        <v>383</v>
      </c>
      <c r="J3448" s="2" t="s">
        <v>384</v>
      </c>
      <c r="K3448" s="2">
        <v>926769894</v>
      </c>
      <c r="L3448" s="2" t="s">
        <v>112</v>
      </c>
      <c r="M3448" s="2" t="s">
        <v>109</v>
      </c>
      <c r="O3448" s="2" t="s">
        <v>2699</v>
      </c>
      <c r="P3448" s="2" t="s">
        <v>3229</v>
      </c>
      <c r="Q3448" s="2" t="s">
        <v>1945</v>
      </c>
      <c r="R3448" s="2" t="s">
        <v>1946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501"/>
        <v>0.58435335335335337</v>
      </c>
      <c r="Z3448" s="2" t="s">
        <v>104</v>
      </c>
      <c r="AA3448" s="2" t="s">
        <v>264</v>
      </c>
      <c r="AB3448" s="2" t="s">
        <v>265</v>
      </c>
      <c r="AC3448" s="2" t="s">
        <v>3229</v>
      </c>
      <c r="AF3448" s="2">
        <f t="shared" si="492"/>
        <v>0</v>
      </c>
      <c r="AJ3448" s="2">
        <f t="shared" si="493"/>
        <v>0</v>
      </c>
      <c r="AK3448" s="2">
        <f t="shared" si="503"/>
        <v>5837.69</v>
      </c>
      <c r="AL3448" s="5">
        <f t="shared" si="502"/>
        <v>0.58435335335335337</v>
      </c>
    </row>
    <row r="3449" spans="1:38" x14ac:dyDescent="0.2">
      <c r="A3449" s="2">
        <v>2026</v>
      </c>
      <c r="B3449" s="2">
        <v>3</v>
      </c>
      <c r="C3449" s="2" t="s">
        <v>3420</v>
      </c>
      <c r="D3449" s="2" t="s">
        <v>278</v>
      </c>
      <c r="E3449" s="2" t="s">
        <v>38</v>
      </c>
      <c r="G3449" s="2">
        <v>203419111</v>
      </c>
      <c r="I3449" s="2" t="s">
        <v>279</v>
      </c>
      <c r="J3449" s="2" t="s">
        <v>280</v>
      </c>
      <c r="L3449" s="2" t="s">
        <v>201</v>
      </c>
      <c r="M3449" s="2" t="s">
        <v>40</v>
      </c>
      <c r="P3449" s="2" t="s">
        <v>68</v>
      </c>
      <c r="Q3449" s="2" t="s">
        <v>2702</v>
      </c>
      <c r="R3449" s="2" t="s">
        <v>2703</v>
      </c>
      <c r="S3449" s="2">
        <v>1</v>
      </c>
      <c r="T3449" s="2">
        <v>60</v>
      </c>
      <c r="U3449" s="2">
        <v>13.8</v>
      </c>
      <c r="V3449" s="2">
        <v>73.8</v>
      </c>
      <c r="W3449" s="2">
        <v>43.5</v>
      </c>
      <c r="X3449" s="5">
        <f t="shared" si="501"/>
        <v>0.27500000000000002</v>
      </c>
      <c r="Z3449" s="2" t="s">
        <v>3226</v>
      </c>
      <c r="AA3449" s="2" t="s">
        <v>71</v>
      </c>
      <c r="AB3449" s="2" t="s">
        <v>68</v>
      </c>
      <c r="AC3449" s="2" t="s">
        <v>3230</v>
      </c>
      <c r="AF3449" s="2">
        <f t="shared" si="492"/>
        <v>0</v>
      </c>
      <c r="AJ3449" s="2">
        <f t="shared" si="493"/>
        <v>0</v>
      </c>
      <c r="AK3449" s="2">
        <f t="shared" si="503"/>
        <v>16.5</v>
      </c>
      <c r="AL3449" s="5">
        <f t="shared" si="502"/>
        <v>0.27500000000000002</v>
      </c>
    </row>
    <row r="3450" spans="1:38" x14ac:dyDescent="0.2">
      <c r="A3450" s="2">
        <v>2026</v>
      </c>
      <c r="B3450" s="2">
        <v>3</v>
      </c>
      <c r="D3450" s="2" t="s">
        <v>1955</v>
      </c>
      <c r="M3450" s="2" t="s">
        <v>40</v>
      </c>
      <c r="P3450" s="2" t="s">
        <v>68</v>
      </c>
      <c r="Q3450" s="2" t="s">
        <v>2704</v>
      </c>
      <c r="R3450" s="2" t="s">
        <v>2705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501"/>
        <v>1</v>
      </c>
      <c r="Z3450" s="2" t="s">
        <v>3226</v>
      </c>
      <c r="AC3450" s="2" t="s">
        <v>3230</v>
      </c>
      <c r="AF3450" s="2">
        <f t="shared" si="492"/>
        <v>0</v>
      </c>
      <c r="AJ3450" s="2">
        <f t="shared" si="493"/>
        <v>0</v>
      </c>
      <c r="AK3450" s="2">
        <f t="shared" si="503"/>
        <v>98</v>
      </c>
      <c r="AL3450" s="5">
        <f t="shared" si="502"/>
        <v>1</v>
      </c>
    </row>
    <row r="3451" spans="1:38" x14ac:dyDescent="0.2">
      <c r="A3451" s="2">
        <v>2026</v>
      </c>
      <c r="B3451" s="2">
        <v>3</v>
      </c>
      <c r="D3451" s="2" t="s">
        <v>1695</v>
      </c>
      <c r="P3451" s="2" t="s">
        <v>68</v>
      </c>
      <c r="Q3451" s="2" t="s">
        <v>2706</v>
      </c>
      <c r="R3451" s="2" t="s">
        <v>2707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501"/>
        <v>1</v>
      </c>
      <c r="Z3451" s="2" t="s">
        <v>3226</v>
      </c>
      <c r="AC3451" s="2" t="s">
        <v>3230</v>
      </c>
      <c r="AF3451" s="2">
        <f t="shared" si="492"/>
        <v>0</v>
      </c>
      <c r="AJ3451" s="2">
        <f t="shared" si="493"/>
        <v>0</v>
      </c>
      <c r="AK3451" s="2">
        <f t="shared" si="503"/>
        <v>300</v>
      </c>
      <c r="AL3451" s="5">
        <f t="shared" si="502"/>
        <v>1</v>
      </c>
    </row>
    <row r="3452" spans="1:38" x14ac:dyDescent="0.2">
      <c r="A3452" s="2">
        <v>2026</v>
      </c>
      <c r="B3452" s="2">
        <v>3</v>
      </c>
      <c r="C3452" s="2" t="s">
        <v>3319</v>
      </c>
      <c r="D3452" s="2" t="s">
        <v>2632</v>
      </c>
      <c r="E3452" s="2" t="s">
        <v>38</v>
      </c>
      <c r="G3452" s="2">
        <v>508857562</v>
      </c>
      <c r="H3452" s="2" t="s">
        <v>109</v>
      </c>
      <c r="I3452" s="2" t="s">
        <v>2633</v>
      </c>
      <c r="J3452" s="2" t="s">
        <v>2634</v>
      </c>
      <c r="L3452" s="2" t="s">
        <v>461</v>
      </c>
      <c r="M3452" s="2" t="s">
        <v>109</v>
      </c>
      <c r="P3452" s="2" t="s">
        <v>68</v>
      </c>
      <c r="Q3452" s="2" t="s">
        <v>1160</v>
      </c>
      <c r="R3452" s="2" t="s">
        <v>1161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501"/>
        <v>0.3228571428571429</v>
      </c>
      <c r="Z3452" s="2" t="s">
        <v>3226</v>
      </c>
      <c r="AA3452" s="2" t="s">
        <v>71</v>
      </c>
      <c r="AB3452" s="2" t="s">
        <v>68</v>
      </c>
      <c r="AC3452" s="2" t="s">
        <v>3230</v>
      </c>
      <c r="AF3452" s="2">
        <f t="shared" si="492"/>
        <v>0</v>
      </c>
      <c r="AJ3452" s="2">
        <f t="shared" si="493"/>
        <v>0</v>
      </c>
      <c r="AK3452" s="2">
        <f t="shared" si="503"/>
        <v>22.6</v>
      </c>
      <c r="AL3452" s="5">
        <f t="shared" si="502"/>
        <v>0.3228571428571429</v>
      </c>
    </row>
    <row r="3453" spans="1:38" x14ac:dyDescent="0.2">
      <c r="A3453" s="2">
        <v>2026</v>
      </c>
      <c r="B3453" s="2">
        <v>3</v>
      </c>
      <c r="D3453" s="2" t="s">
        <v>1884</v>
      </c>
      <c r="P3453" s="2" t="s">
        <v>68</v>
      </c>
      <c r="Q3453" s="2" t="s">
        <v>303</v>
      </c>
      <c r="R3453" s="2" t="s">
        <v>304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501"/>
        <v>0.36116384180790961</v>
      </c>
      <c r="Z3453" s="2" t="s">
        <v>104</v>
      </c>
      <c r="AA3453" s="2" t="s">
        <v>105</v>
      </c>
      <c r="AB3453" s="2" t="s">
        <v>106</v>
      </c>
      <c r="AC3453" s="2" t="s">
        <v>3230</v>
      </c>
      <c r="AF3453" s="2">
        <f t="shared" si="492"/>
        <v>0</v>
      </c>
      <c r="AG3453" s="2">
        <v>1130.74</v>
      </c>
      <c r="AJ3453" s="2">
        <f t="shared" si="493"/>
        <v>0</v>
      </c>
      <c r="AK3453" s="2">
        <f t="shared" si="503"/>
        <v>639.26</v>
      </c>
      <c r="AL3453" s="5">
        <f t="shared" si="502"/>
        <v>0.36116384180790961</v>
      </c>
    </row>
    <row r="3454" spans="1:38" x14ac:dyDescent="0.2">
      <c r="A3454" s="2">
        <v>2026</v>
      </c>
      <c r="B3454" s="2">
        <v>3</v>
      </c>
      <c r="D3454" s="2" t="s">
        <v>549</v>
      </c>
      <c r="E3454" s="2" t="s">
        <v>108</v>
      </c>
      <c r="F3454" s="2" t="s">
        <v>395</v>
      </c>
      <c r="G3454" s="2">
        <v>503641790</v>
      </c>
      <c r="H3454" s="2" t="s">
        <v>40</v>
      </c>
      <c r="I3454" s="2" t="s">
        <v>550</v>
      </c>
      <c r="J3454" s="2" t="s">
        <v>551</v>
      </c>
      <c r="K3454" s="2">
        <v>917753665</v>
      </c>
      <c r="L3454" s="2" t="s">
        <v>99</v>
      </c>
      <c r="M3454" s="2" t="s">
        <v>80</v>
      </c>
      <c r="O3454" s="2" t="s">
        <v>2708</v>
      </c>
      <c r="P3454" s="2" t="s">
        <v>72</v>
      </c>
      <c r="Q3454" s="2" t="s">
        <v>73</v>
      </c>
      <c r="R3454" s="2" t="s">
        <v>74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501"/>
        <v>0.42947272727272723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492"/>
        <v>0</v>
      </c>
      <c r="AG3454" s="2">
        <v>125.51600000000001</v>
      </c>
      <c r="AH3454" s="2">
        <v>220</v>
      </c>
      <c r="AJ3454" s="2">
        <f t="shared" si="493"/>
        <v>0</v>
      </c>
      <c r="AK3454" s="2">
        <f t="shared" si="503"/>
        <v>94.483999999999995</v>
      </c>
      <c r="AL3454" s="5">
        <f t="shared" si="502"/>
        <v>0.42947272727272723</v>
      </c>
    </row>
    <row r="3455" spans="1:38" x14ac:dyDescent="0.2">
      <c r="A3455" s="2">
        <v>2026</v>
      </c>
      <c r="B3455" s="2">
        <v>3</v>
      </c>
      <c r="D3455" s="2" t="s">
        <v>996</v>
      </c>
      <c r="P3455" s="2" t="s">
        <v>72</v>
      </c>
      <c r="Q3455" s="2" t="s">
        <v>346</v>
      </c>
      <c r="R3455" s="2" t="s">
        <v>74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501"/>
        <v>0.4076190476190476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492"/>
        <v>0</v>
      </c>
      <c r="AG3455" s="2">
        <v>124.4</v>
      </c>
      <c r="AH3455" s="2">
        <v>200</v>
      </c>
      <c r="AJ3455" s="2">
        <f t="shared" si="493"/>
        <v>0</v>
      </c>
      <c r="AK3455" s="2">
        <f t="shared" si="503"/>
        <v>85.6</v>
      </c>
      <c r="AL3455" s="5">
        <f t="shared" si="502"/>
        <v>0.4076190476190476</v>
      </c>
    </row>
    <row r="3456" spans="1:38" x14ac:dyDescent="0.2">
      <c r="A3456" s="2">
        <v>2026</v>
      </c>
      <c r="B3456" s="2">
        <v>3</v>
      </c>
      <c r="D3456" s="2" t="s">
        <v>651</v>
      </c>
      <c r="E3456" s="2" t="s">
        <v>108</v>
      </c>
      <c r="F3456" s="2" t="s">
        <v>39</v>
      </c>
      <c r="G3456" s="2">
        <v>509838537</v>
      </c>
      <c r="H3456" s="2" t="s">
        <v>41</v>
      </c>
      <c r="I3456" s="2" t="s">
        <v>652</v>
      </c>
      <c r="J3456" s="2" t="s">
        <v>653</v>
      </c>
      <c r="L3456" s="2" t="s">
        <v>418</v>
      </c>
      <c r="M3456" s="2" t="s">
        <v>41</v>
      </c>
      <c r="O3456" s="2" t="s">
        <v>2709</v>
      </c>
      <c r="P3456" s="2" t="s">
        <v>72</v>
      </c>
      <c r="Q3456" s="2" t="s">
        <v>832</v>
      </c>
      <c r="R3456" s="2" t="s">
        <v>74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501"/>
        <v>0.45165454545454548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492"/>
        <v>0</v>
      </c>
      <c r="AG3456" s="2">
        <v>120.636</v>
      </c>
      <c r="AH3456" s="2">
        <v>220</v>
      </c>
      <c r="AJ3456" s="2">
        <f t="shared" si="493"/>
        <v>0</v>
      </c>
      <c r="AK3456" s="2">
        <f t="shared" si="503"/>
        <v>99.364000000000004</v>
      </c>
      <c r="AL3456" s="5">
        <f t="shared" si="502"/>
        <v>0.45165454545454548</v>
      </c>
    </row>
    <row r="3457" spans="1:38" x14ac:dyDescent="0.2">
      <c r="A3457" s="2">
        <v>2026</v>
      </c>
      <c r="B3457" s="2">
        <v>3</v>
      </c>
      <c r="D3457" s="2" t="s">
        <v>428</v>
      </c>
      <c r="E3457" s="2" t="s">
        <v>38</v>
      </c>
      <c r="G3457" s="2">
        <v>500820384</v>
      </c>
      <c r="H3457" s="2" t="s">
        <v>40</v>
      </c>
      <c r="I3457" s="2" t="s">
        <v>429</v>
      </c>
      <c r="J3457" s="2" t="s">
        <v>430</v>
      </c>
      <c r="L3457" s="2" t="s">
        <v>99</v>
      </c>
      <c r="M3457" s="2" t="s">
        <v>80</v>
      </c>
      <c r="O3457" s="2" t="s">
        <v>2710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501"/>
        <v>0.3549081129538324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si="492"/>
        <v>0</v>
      </c>
      <c r="AG3457" s="2">
        <v>143.91999999999999</v>
      </c>
      <c r="AJ3457" s="2">
        <f t="shared" si="493"/>
        <v>0</v>
      </c>
      <c r="AK3457" s="2">
        <f t="shared" si="503"/>
        <v>79.180000000000007</v>
      </c>
      <c r="AL3457" s="5">
        <f t="shared" si="502"/>
        <v>0.3549081129538324</v>
      </c>
    </row>
    <row r="3458" spans="1:38" x14ac:dyDescent="0.2">
      <c r="A3458" s="2">
        <v>2026</v>
      </c>
      <c r="B3458" s="2">
        <v>3</v>
      </c>
      <c r="D3458" s="2" t="s">
        <v>1255</v>
      </c>
      <c r="E3458" s="2" t="s">
        <v>108</v>
      </c>
      <c r="F3458" s="2" t="s">
        <v>39</v>
      </c>
      <c r="G3458" s="2">
        <v>513777377</v>
      </c>
      <c r="H3458" s="2" t="s">
        <v>290</v>
      </c>
      <c r="I3458" s="2" t="s">
        <v>2711</v>
      </c>
      <c r="J3458" s="2" t="s">
        <v>2712</v>
      </c>
      <c r="K3458" s="2">
        <v>935047029</v>
      </c>
      <c r="L3458" s="2" t="s">
        <v>446</v>
      </c>
      <c r="M3458" s="2" t="s">
        <v>80</v>
      </c>
      <c r="O3458" s="2" t="s">
        <v>2713</v>
      </c>
      <c r="P3458" s="2" t="s">
        <v>72</v>
      </c>
      <c r="Q3458" s="2" t="s">
        <v>556</v>
      </c>
      <c r="R3458" s="2" t="s">
        <v>381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501"/>
        <v>0.42432000000000003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ref="AF3458:AF3521" si="504">AJ3458</f>
        <v>0</v>
      </c>
      <c r="AG3458" s="2">
        <v>143.91999999999999</v>
      </c>
      <c r="AJ3458" s="2">
        <f t="shared" ref="AJ3458:AJ3521" si="505">AI3458*T3458</f>
        <v>0</v>
      </c>
      <c r="AK3458" s="2">
        <f t="shared" si="503"/>
        <v>106.08000000000001</v>
      </c>
      <c r="AL3458" s="5">
        <f t="shared" si="502"/>
        <v>0.42432000000000003</v>
      </c>
    </row>
    <row r="3459" spans="1:38" x14ac:dyDescent="0.2">
      <c r="A3459" s="2">
        <v>2026</v>
      </c>
      <c r="B3459" s="2">
        <v>3</v>
      </c>
      <c r="C3459" s="2" t="s">
        <v>3319</v>
      </c>
      <c r="D3459" s="2" t="s">
        <v>1162</v>
      </c>
      <c r="E3459" s="2" t="s">
        <v>752</v>
      </c>
      <c r="F3459" s="2" t="s">
        <v>1217</v>
      </c>
      <c r="G3459" s="2">
        <v>508199280</v>
      </c>
      <c r="H3459" s="2" t="s">
        <v>40</v>
      </c>
      <c r="I3459" s="2" t="s">
        <v>1163</v>
      </c>
      <c r="L3459" s="2" t="s">
        <v>293</v>
      </c>
      <c r="M3459" s="2" t="s">
        <v>80</v>
      </c>
      <c r="P3459" s="2" t="s">
        <v>72</v>
      </c>
      <c r="Q3459" s="2" t="s">
        <v>1448</v>
      </c>
      <c r="R3459" s="2" t="s">
        <v>381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04"/>
        <v>0</v>
      </c>
      <c r="AJ3459" s="2">
        <f t="shared" si="505"/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C3460" s="2" t="s">
        <v>3420</v>
      </c>
      <c r="D3460" s="2" t="s">
        <v>485</v>
      </c>
      <c r="E3460" s="2" t="s">
        <v>108</v>
      </c>
      <c r="F3460" s="2" t="s">
        <v>39</v>
      </c>
      <c r="G3460" s="2">
        <v>506834689</v>
      </c>
      <c r="H3460" s="2" t="s">
        <v>41</v>
      </c>
      <c r="I3460" s="2" t="s">
        <v>486</v>
      </c>
      <c r="J3460" s="2" t="s">
        <v>487</v>
      </c>
      <c r="K3460" s="2">
        <v>919866237</v>
      </c>
      <c r="L3460" s="2" t="s">
        <v>461</v>
      </c>
      <c r="M3460" s="2" t="s">
        <v>41</v>
      </c>
      <c r="P3460" s="2" t="s">
        <v>72</v>
      </c>
      <c r="Q3460" s="2" t="s">
        <v>380</v>
      </c>
      <c r="R3460" s="2" t="s">
        <v>381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506">(T3460-W3460)/T3460</f>
        <v>0.39365217391304347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04"/>
        <v>0</v>
      </c>
      <c r="AJ3460" s="2">
        <f t="shared" si="505"/>
        <v>0</v>
      </c>
      <c r="AK3460" s="2">
        <f t="shared" ref="AK3460:AK3491" si="507">T3460-W3460</f>
        <v>90.539999999999992</v>
      </c>
      <c r="AL3460" s="5">
        <f t="shared" ref="AL3460:AL3491" si="508">(T3460-W3460)/T3460</f>
        <v>0.39365217391304347</v>
      </c>
    </row>
    <row r="3461" spans="1:38" x14ac:dyDescent="0.2">
      <c r="A3461" s="2">
        <v>2026</v>
      </c>
      <c r="B3461" s="2">
        <v>3</v>
      </c>
      <c r="D3461" s="2" t="s">
        <v>2714</v>
      </c>
      <c r="E3461" s="2" t="s">
        <v>38</v>
      </c>
      <c r="F3461" s="2" t="s">
        <v>39</v>
      </c>
      <c r="G3461" s="2">
        <v>509370365</v>
      </c>
      <c r="H3461" s="2" t="s">
        <v>290</v>
      </c>
      <c r="I3461" s="2" t="s">
        <v>2715</v>
      </c>
      <c r="J3461" s="2" t="s">
        <v>2716</v>
      </c>
      <c r="K3461" s="2">
        <v>962576243</v>
      </c>
      <c r="L3461" s="2" t="s">
        <v>446</v>
      </c>
      <c r="M3461" s="2" t="s">
        <v>80</v>
      </c>
      <c r="O3461" s="2" t="s">
        <v>2717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506"/>
        <v>0.42639130434782607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04"/>
        <v>0</v>
      </c>
      <c r="AG3461" s="2">
        <v>131.93</v>
      </c>
      <c r="AH3461" s="2">
        <v>220</v>
      </c>
      <c r="AJ3461" s="2">
        <f t="shared" si="505"/>
        <v>0</v>
      </c>
      <c r="AK3461" s="2">
        <f t="shared" si="507"/>
        <v>98.07</v>
      </c>
      <c r="AL3461" s="5">
        <f t="shared" si="508"/>
        <v>0.42639130434782607</v>
      </c>
    </row>
    <row r="3462" spans="1:38" x14ac:dyDescent="0.2">
      <c r="A3462" s="2">
        <v>2026</v>
      </c>
      <c r="B3462" s="2">
        <v>3</v>
      </c>
      <c r="D3462" s="2" t="s">
        <v>1418</v>
      </c>
      <c r="E3462" s="2" t="s">
        <v>108</v>
      </c>
      <c r="F3462" s="2" t="s">
        <v>39</v>
      </c>
      <c r="G3462" s="2">
        <v>502696338</v>
      </c>
      <c r="H3462" s="2" t="s">
        <v>40</v>
      </c>
      <c r="I3462" s="2" t="s">
        <v>2411</v>
      </c>
      <c r="J3462" s="2" t="s">
        <v>2412</v>
      </c>
      <c r="L3462" s="2" t="s">
        <v>201</v>
      </c>
      <c r="M3462" s="2" t="s">
        <v>80</v>
      </c>
      <c r="O3462" s="2" t="s">
        <v>2718</v>
      </c>
      <c r="P3462" s="2" t="s">
        <v>72</v>
      </c>
      <c r="Q3462" s="2" t="s">
        <v>484</v>
      </c>
      <c r="R3462" s="2" t="s">
        <v>74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506"/>
        <v>0.39620137299771163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04"/>
        <v>0</v>
      </c>
      <c r="AG3462" s="2">
        <v>131.93</v>
      </c>
      <c r="AH3462" s="2">
        <v>220</v>
      </c>
      <c r="AJ3462" s="2">
        <f t="shared" si="505"/>
        <v>0</v>
      </c>
      <c r="AK3462" s="2">
        <f t="shared" si="507"/>
        <v>86.57</v>
      </c>
      <c r="AL3462" s="5">
        <f t="shared" si="508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80</v>
      </c>
      <c r="O3463" s="2" t="s">
        <v>2719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>115.92+6.06</f>
        <v>121.98</v>
      </c>
      <c r="X3463" s="5">
        <f t="shared" si="506"/>
        <v>0.56908185254530674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04"/>
        <v>0</v>
      </c>
      <c r="AJ3463" s="2">
        <f t="shared" si="505"/>
        <v>0</v>
      </c>
      <c r="AK3463" s="2">
        <f t="shared" si="507"/>
        <v>161.08999999999997</v>
      </c>
      <c r="AL3463" s="5">
        <f t="shared" si="508"/>
        <v>0.56908185254530674</v>
      </c>
    </row>
    <row r="3464" spans="1:38" x14ac:dyDescent="0.2">
      <c r="A3464" s="2">
        <v>2026</v>
      </c>
      <c r="B3464" s="2">
        <v>3</v>
      </c>
      <c r="D3464" s="2" t="s">
        <v>774</v>
      </c>
      <c r="P3464" s="2" t="s">
        <v>72</v>
      </c>
      <c r="Q3464" s="2" t="s">
        <v>912</v>
      </c>
      <c r="R3464" s="2" t="s">
        <v>74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>115.92+6.06</f>
        <v>121.98</v>
      </c>
      <c r="X3464" s="5">
        <f t="shared" si="506"/>
        <v>0.42353497164461246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04"/>
        <v>0</v>
      </c>
      <c r="AJ3464" s="2">
        <f t="shared" si="505"/>
        <v>0</v>
      </c>
      <c r="AK3464" s="2">
        <f t="shared" si="507"/>
        <v>89.61999999999999</v>
      </c>
      <c r="AL3464" s="5">
        <f t="shared" si="508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80</v>
      </c>
      <c r="O3465" s="2" t="s">
        <v>2720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506"/>
        <v>0.46942307692307683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04"/>
        <v>0</v>
      </c>
      <c r="AJ3465" s="2">
        <f t="shared" si="505"/>
        <v>0</v>
      </c>
      <c r="AK3465" s="2">
        <f t="shared" si="507"/>
        <v>122.04999999999998</v>
      </c>
      <c r="AL3465" s="5">
        <f t="shared" si="508"/>
        <v>0.46942307692307683</v>
      </c>
    </row>
    <row r="3466" spans="1:38" x14ac:dyDescent="0.2">
      <c r="A3466" s="2">
        <v>2026</v>
      </c>
      <c r="B3466" s="2">
        <v>3</v>
      </c>
      <c r="D3466" s="2" t="s">
        <v>1419</v>
      </c>
      <c r="E3466" s="2" t="s">
        <v>108</v>
      </c>
      <c r="F3466" s="2" t="s">
        <v>39</v>
      </c>
      <c r="G3466" s="2">
        <v>513795855</v>
      </c>
      <c r="H3466" s="2" t="s">
        <v>41</v>
      </c>
      <c r="I3466" s="2" t="s">
        <v>1272</v>
      </c>
      <c r="J3466" s="2" t="s">
        <v>2394</v>
      </c>
      <c r="L3466" s="2" t="s">
        <v>177</v>
      </c>
      <c r="M3466" s="2" t="s">
        <v>41</v>
      </c>
      <c r="P3466" s="2" t="s">
        <v>72</v>
      </c>
      <c r="Q3466" s="2" t="s">
        <v>2721</v>
      </c>
      <c r="R3466" s="2" t="s">
        <v>381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506"/>
        <v>0.44819999999999993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04"/>
        <v>0</v>
      </c>
      <c r="AJ3466" s="2">
        <f t="shared" si="505"/>
        <v>0</v>
      </c>
      <c r="AK3466" s="2">
        <f t="shared" si="507"/>
        <v>112.04999999999998</v>
      </c>
      <c r="AL3466" s="5">
        <f t="shared" si="508"/>
        <v>0.44819999999999993</v>
      </c>
    </row>
    <row r="3467" spans="1:38" x14ac:dyDescent="0.2">
      <c r="A3467" s="2">
        <v>2026</v>
      </c>
      <c r="B3467" s="2">
        <v>3</v>
      </c>
      <c r="D3467" s="2" t="s">
        <v>558</v>
      </c>
      <c r="E3467" s="2" t="s">
        <v>108</v>
      </c>
      <c r="F3467" s="2" t="s">
        <v>39</v>
      </c>
      <c r="G3467" s="2">
        <v>506517233</v>
      </c>
      <c r="H3467" s="2" t="s">
        <v>80</v>
      </c>
      <c r="I3467" s="2" t="s">
        <v>559</v>
      </c>
      <c r="J3467" s="2" t="s">
        <v>560</v>
      </c>
      <c r="L3467" s="2" t="s">
        <v>133</v>
      </c>
      <c r="M3467" s="2" t="s">
        <v>80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506"/>
        <v>0.12642752562225473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04"/>
        <v>0</v>
      </c>
      <c r="AG3467" s="2">
        <v>119.33</v>
      </c>
      <c r="AH3467" s="2">
        <v>220</v>
      </c>
      <c r="AJ3467" s="2">
        <f t="shared" si="505"/>
        <v>0</v>
      </c>
      <c r="AK3467" s="2">
        <f t="shared" si="507"/>
        <v>17.269999999999996</v>
      </c>
      <c r="AL3467" s="5">
        <f t="shared" si="508"/>
        <v>0.12642752562225473</v>
      </c>
    </row>
    <row r="3468" spans="1:38" x14ac:dyDescent="0.2">
      <c r="A3468" s="2">
        <v>2026</v>
      </c>
      <c r="B3468" s="2">
        <v>3</v>
      </c>
      <c r="D3468" s="2" t="s">
        <v>1125</v>
      </c>
      <c r="E3468" s="2" t="s">
        <v>38</v>
      </c>
      <c r="F3468" s="2" t="s">
        <v>39</v>
      </c>
      <c r="G3468" s="2">
        <v>501551298</v>
      </c>
      <c r="H3468" s="2" t="s">
        <v>109</v>
      </c>
      <c r="I3468" s="2" t="s">
        <v>1126</v>
      </c>
      <c r="J3468" s="2" t="s">
        <v>1127</v>
      </c>
      <c r="L3468" s="2" t="s">
        <v>461</v>
      </c>
      <c r="M3468" s="2" t="s">
        <v>80</v>
      </c>
      <c r="O3468" s="2" t="s">
        <v>2722</v>
      </c>
      <c r="P3468" s="2" t="s">
        <v>72</v>
      </c>
      <c r="Q3468" s="2" t="s">
        <v>306</v>
      </c>
      <c r="R3468" s="2" t="s">
        <v>307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506"/>
        <v>0.4575909090909091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04"/>
        <v>0</v>
      </c>
      <c r="AG3468" s="2">
        <v>119.33</v>
      </c>
      <c r="AH3468" s="2">
        <v>220</v>
      </c>
      <c r="AJ3468" s="2">
        <f t="shared" si="505"/>
        <v>0</v>
      </c>
      <c r="AK3468" s="2">
        <f t="shared" si="507"/>
        <v>100.67</v>
      </c>
      <c r="AL3468" s="5">
        <f t="shared" si="508"/>
        <v>0.4575909090909091</v>
      </c>
    </row>
    <row r="3469" spans="1:38" x14ac:dyDescent="0.2">
      <c r="A3469" s="2">
        <v>2026</v>
      </c>
      <c r="B3469" s="2">
        <v>3</v>
      </c>
      <c r="D3469" s="2" t="s">
        <v>660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661</v>
      </c>
      <c r="J3469" s="2" t="s">
        <v>662</v>
      </c>
      <c r="L3469" s="2" t="s">
        <v>344</v>
      </c>
      <c r="M3469" s="2" t="s">
        <v>80</v>
      </c>
      <c r="P3469" s="2" t="s">
        <v>72</v>
      </c>
      <c r="Q3469" s="2" t="s">
        <v>1035</v>
      </c>
      <c r="R3469" s="2" t="s">
        <v>79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506"/>
        <v>0.48486363636363639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04"/>
        <v>0</v>
      </c>
      <c r="AG3469" s="2">
        <v>113.33</v>
      </c>
      <c r="AH3469" s="2">
        <v>220</v>
      </c>
      <c r="AJ3469" s="2">
        <f t="shared" si="505"/>
        <v>0</v>
      </c>
      <c r="AK3469" s="2">
        <f t="shared" si="507"/>
        <v>106.67</v>
      </c>
      <c r="AL3469" s="5">
        <f t="shared" si="508"/>
        <v>0.48486363636363639</v>
      </c>
    </row>
    <row r="3470" spans="1:38" x14ac:dyDescent="0.2">
      <c r="A3470" s="2">
        <v>2026</v>
      </c>
      <c r="B3470" s="2">
        <v>3</v>
      </c>
      <c r="D3470" s="2" t="s">
        <v>2723</v>
      </c>
      <c r="P3470" s="2" t="s">
        <v>72</v>
      </c>
      <c r="Q3470" s="2" t="s">
        <v>557</v>
      </c>
      <c r="R3470" s="2" t="s">
        <v>307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506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04"/>
        <v>0</v>
      </c>
      <c r="AG3470" s="2">
        <v>122.446</v>
      </c>
      <c r="AH3470" s="2">
        <v>230</v>
      </c>
      <c r="AJ3470" s="2">
        <f t="shared" si="505"/>
        <v>0</v>
      </c>
      <c r="AK3470" s="2">
        <f t="shared" si="507"/>
        <v>107.554</v>
      </c>
      <c r="AL3470" s="5">
        <f t="shared" si="508"/>
        <v>0.46762608695652175</v>
      </c>
    </row>
    <row r="3471" spans="1:38" x14ac:dyDescent="0.2">
      <c r="A3471" s="2">
        <v>2026</v>
      </c>
      <c r="B3471" s="2">
        <v>3</v>
      </c>
      <c r="D3471" s="2" t="s">
        <v>1053</v>
      </c>
      <c r="E3471" s="2" t="s">
        <v>183</v>
      </c>
      <c r="F3471" s="2" t="s">
        <v>1054</v>
      </c>
      <c r="G3471" s="2">
        <v>500199523</v>
      </c>
      <c r="H3471" s="2" t="s">
        <v>290</v>
      </c>
      <c r="I3471" s="2" t="s">
        <v>293</v>
      </c>
      <c r="J3471" s="2" t="s">
        <v>1055</v>
      </c>
      <c r="L3471" s="2" t="s">
        <v>293</v>
      </c>
      <c r="M3471" s="2" t="s">
        <v>80</v>
      </c>
      <c r="O3471" s="2" t="s">
        <v>2724</v>
      </c>
      <c r="P3471" s="2" t="s">
        <v>72</v>
      </c>
      <c r="Q3471" s="2" t="s">
        <v>557</v>
      </c>
      <c r="R3471" s="2" t="s">
        <v>307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506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04"/>
        <v>0</v>
      </c>
      <c r="AG3471" s="2">
        <v>122.446</v>
      </c>
      <c r="AH3471" s="2">
        <v>230</v>
      </c>
      <c r="AJ3471" s="2">
        <f t="shared" si="505"/>
        <v>0</v>
      </c>
      <c r="AK3471" s="2">
        <f t="shared" si="507"/>
        <v>215.108</v>
      </c>
      <c r="AL3471" s="5">
        <f t="shared" si="508"/>
        <v>0.46762608695652175</v>
      </c>
    </row>
    <row r="3472" spans="1:38" x14ac:dyDescent="0.2">
      <c r="A3472" s="2">
        <v>2026</v>
      </c>
      <c r="B3472" s="2">
        <v>3</v>
      </c>
      <c r="D3472" s="2" t="s">
        <v>2725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06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04"/>
        <v>0</v>
      </c>
      <c r="AG3472" s="2">
        <v>122.446</v>
      </c>
      <c r="AH3472" s="2">
        <v>230</v>
      </c>
      <c r="AJ3472" s="2">
        <f t="shared" si="505"/>
        <v>0</v>
      </c>
      <c r="AK3472" s="2">
        <f t="shared" si="507"/>
        <v>107.554</v>
      </c>
      <c r="AL3472" s="5">
        <f t="shared" si="508"/>
        <v>0.46762608695652175</v>
      </c>
    </row>
    <row r="3473" spans="1:38" x14ac:dyDescent="0.2">
      <c r="A3473" s="2">
        <v>2026</v>
      </c>
      <c r="B3473" s="2">
        <v>3</v>
      </c>
      <c r="D3473" s="2" t="s">
        <v>2559</v>
      </c>
      <c r="M3473" s="2" t="s">
        <v>80</v>
      </c>
      <c r="P3473" s="2" t="s">
        <v>72</v>
      </c>
      <c r="Q3473" s="2" t="s">
        <v>557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06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04"/>
        <v>0</v>
      </c>
      <c r="AG3473" s="2">
        <v>122.446</v>
      </c>
      <c r="AH3473" s="2">
        <v>230</v>
      </c>
      <c r="AJ3473" s="2">
        <f t="shared" si="505"/>
        <v>0</v>
      </c>
      <c r="AK3473" s="2">
        <f t="shared" si="507"/>
        <v>107.554</v>
      </c>
      <c r="AL3473" s="5">
        <f t="shared" si="508"/>
        <v>0.46762608695652175</v>
      </c>
    </row>
    <row r="3474" spans="1:38" x14ac:dyDescent="0.2">
      <c r="A3474" s="2">
        <v>2026</v>
      </c>
      <c r="B3474" s="2">
        <v>3</v>
      </c>
      <c r="D3474" s="2" t="s">
        <v>314</v>
      </c>
      <c r="E3474" s="2" t="s">
        <v>108</v>
      </c>
      <c r="G3474" s="2">
        <v>503270520</v>
      </c>
      <c r="H3474" s="2" t="s">
        <v>40</v>
      </c>
      <c r="I3474" s="2" t="s">
        <v>315</v>
      </c>
      <c r="J3474" s="2" t="s">
        <v>316</v>
      </c>
      <c r="L3474" s="2" t="s">
        <v>99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06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04"/>
        <v>0</v>
      </c>
      <c r="AG3474" s="2">
        <v>122.446</v>
      </c>
      <c r="AH3474" s="2">
        <v>230</v>
      </c>
      <c r="AJ3474" s="2">
        <f t="shared" si="505"/>
        <v>0</v>
      </c>
      <c r="AK3474" s="2">
        <f t="shared" si="507"/>
        <v>107.554</v>
      </c>
      <c r="AL3474" s="5">
        <f t="shared" si="508"/>
        <v>0.46762608695652175</v>
      </c>
    </row>
    <row r="3475" spans="1:38" x14ac:dyDescent="0.2">
      <c r="A3475" s="2">
        <v>2026</v>
      </c>
      <c r="B3475" s="2">
        <v>3</v>
      </c>
      <c r="D3475" s="2" t="s">
        <v>1256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06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04"/>
        <v>0</v>
      </c>
      <c r="AG3475" s="2">
        <v>122.446</v>
      </c>
      <c r="AH3475" s="2">
        <v>230</v>
      </c>
      <c r="AJ3475" s="2">
        <f t="shared" si="505"/>
        <v>0</v>
      </c>
      <c r="AK3475" s="2">
        <f t="shared" si="507"/>
        <v>107.554</v>
      </c>
      <c r="AL3475" s="5">
        <f t="shared" si="508"/>
        <v>0.46762608695652175</v>
      </c>
    </row>
    <row r="3476" spans="1:38" x14ac:dyDescent="0.2">
      <c r="A3476" s="2">
        <v>2026</v>
      </c>
      <c r="B3476" s="2">
        <v>3</v>
      </c>
      <c r="D3476" s="2" t="s">
        <v>1053</v>
      </c>
      <c r="E3476" s="2" t="s">
        <v>183</v>
      </c>
      <c r="F3476" s="2" t="s">
        <v>1054</v>
      </c>
      <c r="G3476" s="2">
        <v>500199523</v>
      </c>
      <c r="H3476" s="2" t="s">
        <v>290</v>
      </c>
      <c r="I3476" s="2" t="s">
        <v>293</v>
      </c>
      <c r="J3476" s="2" t="s">
        <v>1055</v>
      </c>
      <c r="L3476" s="2" t="s">
        <v>293</v>
      </c>
      <c r="M3476" s="2" t="s">
        <v>80</v>
      </c>
      <c r="O3476" s="2" t="s">
        <v>2726</v>
      </c>
      <c r="P3476" s="2" t="s">
        <v>72</v>
      </c>
      <c r="Q3476" s="2" t="s">
        <v>1449</v>
      </c>
      <c r="R3476" s="2" t="s">
        <v>307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506"/>
        <v>0.46762608695652175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04"/>
        <v>0</v>
      </c>
      <c r="AG3476" s="2">
        <v>122.446</v>
      </c>
      <c r="AH3476" s="2">
        <v>230</v>
      </c>
      <c r="AJ3476" s="2">
        <f t="shared" si="505"/>
        <v>0</v>
      </c>
      <c r="AK3476" s="2">
        <f t="shared" si="507"/>
        <v>107.554</v>
      </c>
      <c r="AL3476" s="5">
        <f t="shared" si="508"/>
        <v>0.46762608695652175</v>
      </c>
    </row>
    <row r="3477" spans="1:38" x14ac:dyDescent="0.2">
      <c r="A3477" s="2">
        <v>2026</v>
      </c>
      <c r="B3477" s="2">
        <v>3</v>
      </c>
      <c r="D3477" s="2" t="s">
        <v>2727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06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04"/>
        <v>0</v>
      </c>
      <c r="AG3477" s="2">
        <v>110.68</v>
      </c>
      <c r="AH3477" s="2">
        <v>210</v>
      </c>
      <c r="AJ3477" s="2">
        <f t="shared" si="505"/>
        <v>0</v>
      </c>
      <c r="AK3477" s="2">
        <f t="shared" si="507"/>
        <v>89.32</v>
      </c>
      <c r="AL3477" s="5">
        <f t="shared" si="508"/>
        <v>0.44659999999999994</v>
      </c>
    </row>
    <row r="3478" spans="1:38" x14ac:dyDescent="0.2">
      <c r="A3478" s="2">
        <v>2026</v>
      </c>
      <c r="B3478" s="2">
        <v>3</v>
      </c>
      <c r="D3478" s="2" t="s">
        <v>1255</v>
      </c>
      <c r="M3478" s="2" t="s">
        <v>80</v>
      </c>
      <c r="P3478" s="2" t="s">
        <v>72</v>
      </c>
      <c r="Q3478" s="2" t="s">
        <v>325</v>
      </c>
      <c r="R3478" s="2" t="s">
        <v>79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506"/>
        <v>0.44659999999999994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04"/>
        <v>0</v>
      </c>
      <c r="AG3478" s="2">
        <v>110.68</v>
      </c>
      <c r="AH3478" s="2">
        <v>210</v>
      </c>
      <c r="AJ3478" s="2">
        <f t="shared" si="505"/>
        <v>0</v>
      </c>
      <c r="AK3478" s="2">
        <f t="shared" si="507"/>
        <v>89.32</v>
      </c>
      <c r="AL3478" s="5">
        <f t="shared" si="508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156</v>
      </c>
      <c r="L3479" s="2" t="s">
        <v>99</v>
      </c>
      <c r="M3479" s="2" t="s">
        <v>80</v>
      </c>
      <c r="O3479" s="2" t="s">
        <v>2728</v>
      </c>
      <c r="P3479" s="2" t="s">
        <v>72</v>
      </c>
      <c r="Q3479" s="2" t="s">
        <v>533</v>
      </c>
      <c r="R3479" s="2" t="s">
        <v>534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506"/>
        <v>0.37409499358151477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04"/>
        <v>0</v>
      </c>
      <c r="AG3479" s="2">
        <f>110.125+11.77</f>
        <v>121.895</v>
      </c>
      <c r="AJ3479" s="2">
        <f t="shared" si="505"/>
        <v>0</v>
      </c>
      <c r="AK3479" s="2">
        <f t="shared" si="507"/>
        <v>72.855000000000004</v>
      </c>
      <c r="AL3479" s="5">
        <f t="shared" si="508"/>
        <v>0.37409499358151477</v>
      </c>
    </row>
    <row r="3480" spans="1:38" x14ac:dyDescent="0.2">
      <c r="A3480" s="2">
        <v>2026</v>
      </c>
      <c r="B3480" s="2">
        <v>3</v>
      </c>
      <c r="D3480" s="2" t="s">
        <v>2729</v>
      </c>
      <c r="P3480" s="2" t="s">
        <v>72</v>
      </c>
      <c r="Q3480" s="2" t="s">
        <v>2730</v>
      </c>
      <c r="R3480" s="2" t="s">
        <v>79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506"/>
        <v>0.49354545454545456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04"/>
        <v>0</v>
      </c>
      <c r="AJ3480" s="2">
        <f t="shared" si="505"/>
        <v>0</v>
      </c>
      <c r="AK3480" s="2">
        <f t="shared" si="507"/>
        <v>108.58</v>
      </c>
      <c r="AL3480" s="5">
        <f t="shared" si="508"/>
        <v>0.49354545454545456</v>
      </c>
    </row>
    <row r="3481" spans="1:38" x14ac:dyDescent="0.2">
      <c r="A3481" s="2">
        <v>2026</v>
      </c>
      <c r="B3481" s="2">
        <v>3</v>
      </c>
      <c r="D3481" s="2" t="s">
        <v>749</v>
      </c>
      <c r="E3481" s="2" t="s">
        <v>108</v>
      </c>
      <c r="F3481" s="2" t="s">
        <v>39</v>
      </c>
      <c r="G3481" s="2">
        <v>510039537</v>
      </c>
      <c r="H3481" s="2" t="s">
        <v>40</v>
      </c>
      <c r="I3481" s="2" t="s">
        <v>571</v>
      </c>
      <c r="J3481" s="2" t="s">
        <v>750</v>
      </c>
      <c r="K3481" s="2">
        <v>969042927</v>
      </c>
      <c r="L3481" s="2" t="s">
        <v>571</v>
      </c>
      <c r="M3481" s="2" t="s">
        <v>80</v>
      </c>
      <c r="P3481" s="2" t="s">
        <v>72</v>
      </c>
      <c r="Q3481" s="2" t="s">
        <v>1192</v>
      </c>
      <c r="R3481" s="2" t="s">
        <v>197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506"/>
        <v>0.45100000000000001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04"/>
        <v>0</v>
      </c>
      <c r="AJ3481" s="2">
        <f t="shared" si="505"/>
        <v>0</v>
      </c>
      <c r="AK3481" s="2">
        <f t="shared" si="507"/>
        <v>121.77000000000001</v>
      </c>
      <c r="AL3481" s="5">
        <f t="shared" si="508"/>
        <v>0.45100000000000001</v>
      </c>
    </row>
    <row r="3482" spans="1:38" x14ac:dyDescent="0.2">
      <c r="A3482" s="2">
        <v>2026</v>
      </c>
      <c r="B3482" s="2">
        <v>3</v>
      </c>
      <c r="D3482" s="2" t="s">
        <v>507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177</v>
      </c>
      <c r="J3482" s="2" t="s">
        <v>3133</v>
      </c>
      <c r="L3482" s="2" t="s">
        <v>177</v>
      </c>
      <c r="M3482" s="2" t="s">
        <v>41</v>
      </c>
      <c r="O3482" s="2" t="s">
        <v>2731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506"/>
        <v>0.33525000000000005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04"/>
        <v>0</v>
      </c>
      <c r="AG3482" s="2">
        <f>144.14+15.4</f>
        <v>159.54</v>
      </c>
      <c r="AH3482" s="2">
        <v>280</v>
      </c>
      <c r="AJ3482" s="2">
        <f t="shared" si="505"/>
        <v>0</v>
      </c>
      <c r="AK3482" s="2">
        <f t="shared" si="507"/>
        <v>80.460000000000008</v>
      </c>
      <c r="AL3482" s="5">
        <f t="shared" si="508"/>
        <v>0.33525000000000005</v>
      </c>
    </row>
    <row r="3483" spans="1:38" x14ac:dyDescent="0.2">
      <c r="A3483" s="2">
        <v>2026</v>
      </c>
      <c r="B3483" s="2">
        <v>3</v>
      </c>
      <c r="D3483" s="2" t="s">
        <v>2559</v>
      </c>
      <c r="M3483" s="2" t="s">
        <v>80</v>
      </c>
      <c r="O3483" s="2" t="s">
        <v>2732</v>
      </c>
      <c r="P3483" s="2" t="s">
        <v>72</v>
      </c>
      <c r="Q3483" s="2" t="s">
        <v>1075</v>
      </c>
      <c r="R3483" s="2" t="s">
        <v>83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506"/>
        <v>0.43021428571428572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04"/>
        <v>0</v>
      </c>
      <c r="AG3483" s="2">
        <f>144.14+15.4</f>
        <v>159.54</v>
      </c>
      <c r="AH3483" s="2">
        <v>280</v>
      </c>
      <c r="AJ3483" s="2">
        <f t="shared" si="505"/>
        <v>0</v>
      </c>
      <c r="AK3483" s="2">
        <f t="shared" si="507"/>
        <v>120.46000000000001</v>
      </c>
      <c r="AL3483" s="5">
        <f t="shared" si="508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80</v>
      </c>
      <c r="O3484" s="2" t="s">
        <v>2733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506"/>
        <v>0.51566906429227799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04"/>
        <v>0</v>
      </c>
      <c r="AG3484" s="2">
        <v>152.85</v>
      </c>
      <c r="AH3484" s="2">
        <v>260</v>
      </c>
      <c r="AJ3484" s="2">
        <f t="shared" si="505"/>
        <v>0</v>
      </c>
      <c r="AK3484" s="2">
        <f t="shared" si="507"/>
        <v>162.73999999999998</v>
      </c>
      <c r="AL3484" s="5">
        <f t="shared" si="508"/>
        <v>0.51566906429227799</v>
      </c>
    </row>
    <row r="3485" spans="1:38" x14ac:dyDescent="0.2">
      <c r="A3485" s="2">
        <v>2026</v>
      </c>
      <c r="B3485" s="2">
        <v>3</v>
      </c>
      <c r="D3485" s="2" t="s">
        <v>1150</v>
      </c>
      <c r="E3485" s="2" t="s">
        <v>108</v>
      </c>
      <c r="F3485" s="2" t="s">
        <v>39</v>
      </c>
      <c r="G3485" s="2">
        <v>504039733</v>
      </c>
      <c r="H3485" s="2" t="s">
        <v>109</v>
      </c>
      <c r="I3485" s="2" t="s">
        <v>2478</v>
      </c>
      <c r="J3485" s="2" t="s">
        <v>1473</v>
      </c>
      <c r="K3485" s="2">
        <v>938183284</v>
      </c>
      <c r="L3485" s="2" t="s">
        <v>133</v>
      </c>
      <c r="M3485" s="2" t="s">
        <v>109</v>
      </c>
      <c r="O3485" s="2" t="s">
        <v>2734</v>
      </c>
      <c r="P3485" s="2" t="s">
        <v>72</v>
      </c>
      <c r="Q3485" s="2" t="s">
        <v>202</v>
      </c>
      <c r="R3485" s="2" t="s">
        <v>197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506"/>
        <v>0.38117408906882594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04"/>
        <v>0</v>
      </c>
      <c r="AG3485" s="2">
        <v>152.85</v>
      </c>
      <c r="AH3485" s="2">
        <v>260</v>
      </c>
      <c r="AJ3485" s="2">
        <f t="shared" si="505"/>
        <v>0</v>
      </c>
      <c r="AK3485" s="2">
        <f t="shared" si="507"/>
        <v>94.15</v>
      </c>
      <c r="AL3485" s="5">
        <f t="shared" si="508"/>
        <v>0.38117408906882594</v>
      </c>
    </row>
    <row r="3486" spans="1:38" x14ac:dyDescent="0.2">
      <c r="A3486" s="2">
        <v>2026</v>
      </c>
      <c r="B3486" s="2">
        <v>3</v>
      </c>
      <c r="D3486" s="2" t="s">
        <v>582</v>
      </c>
      <c r="E3486" s="2" t="s">
        <v>108</v>
      </c>
      <c r="F3486" s="2" t="s">
        <v>39</v>
      </c>
      <c r="G3486" s="2">
        <v>503850276</v>
      </c>
      <c r="H3486" s="2" t="s">
        <v>40</v>
      </c>
      <c r="I3486" s="2" t="s">
        <v>583</v>
      </c>
      <c r="J3486" s="2" t="s">
        <v>584</v>
      </c>
      <c r="L3486" s="2" t="s">
        <v>201</v>
      </c>
      <c r="M3486" s="2" t="s">
        <v>80</v>
      </c>
      <c r="P3486" s="2" t="s">
        <v>72</v>
      </c>
      <c r="Q3486" s="2" t="s">
        <v>2735</v>
      </c>
      <c r="R3486" s="2" t="s">
        <v>962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506"/>
        <v>0.32854691075514875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04"/>
        <v>0</v>
      </c>
      <c r="AJ3486" s="2">
        <f t="shared" si="505"/>
        <v>0</v>
      </c>
      <c r="AK3486" s="2">
        <f t="shared" si="507"/>
        <v>114.86000000000001</v>
      </c>
      <c r="AL3486" s="5">
        <f t="shared" si="508"/>
        <v>0.32854691075514875</v>
      </c>
    </row>
    <row r="3487" spans="1:38" x14ac:dyDescent="0.2">
      <c r="A3487" s="2">
        <v>2026</v>
      </c>
      <c r="B3487" s="2">
        <v>3</v>
      </c>
      <c r="D3487" s="2" t="s">
        <v>558</v>
      </c>
      <c r="E3487" s="2" t="s">
        <v>108</v>
      </c>
      <c r="F3487" s="2" t="s">
        <v>39</v>
      </c>
      <c r="G3487" s="2">
        <v>506517233</v>
      </c>
      <c r="H3487" s="2" t="s">
        <v>80</v>
      </c>
      <c r="I3487" s="2" t="s">
        <v>559</v>
      </c>
      <c r="J3487" s="2" t="s">
        <v>560</v>
      </c>
      <c r="L3487" s="2" t="s">
        <v>133</v>
      </c>
      <c r="M3487" s="2" t="s">
        <v>80</v>
      </c>
      <c r="P3487" s="2" t="s">
        <v>72</v>
      </c>
      <c r="Q3487" s="2" t="s">
        <v>206</v>
      </c>
      <c r="R3487" s="2" t="s">
        <v>207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506"/>
        <v>0.1089142193564161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04"/>
        <v>0</v>
      </c>
      <c r="AG3487" s="2">
        <v>291.58999999999997</v>
      </c>
      <c r="AH3487" s="2">
        <v>450</v>
      </c>
      <c r="AJ3487" s="2">
        <f t="shared" si="505"/>
        <v>0</v>
      </c>
      <c r="AK3487" s="2">
        <f t="shared" si="507"/>
        <v>35.640000000000043</v>
      </c>
      <c r="AL3487" s="5">
        <f t="shared" si="508"/>
        <v>0.1089142193564161</v>
      </c>
    </row>
    <row r="3488" spans="1:38" x14ac:dyDescent="0.2">
      <c r="A3488" s="2">
        <v>2026</v>
      </c>
      <c r="B3488" s="2">
        <v>3</v>
      </c>
      <c r="D3488" s="2" t="s">
        <v>2143</v>
      </c>
      <c r="I3488" s="2" t="s">
        <v>315</v>
      </c>
      <c r="L3488" s="2" t="s">
        <v>99</v>
      </c>
      <c r="M3488" s="2" t="s">
        <v>80</v>
      </c>
      <c r="P3488" s="2" t="s">
        <v>72</v>
      </c>
      <c r="Q3488" s="2" t="s">
        <v>2736</v>
      </c>
      <c r="R3488" s="2" t="s">
        <v>207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506"/>
        <v>0.47452830188679246</v>
      </c>
      <c r="Z3488" s="2" t="s">
        <v>3226</v>
      </c>
      <c r="AA3488" s="2" t="s">
        <v>75</v>
      </c>
      <c r="AB3488" s="2" t="s">
        <v>76</v>
      </c>
      <c r="AC3488" s="2" t="s">
        <v>77</v>
      </c>
      <c r="AF3488" s="2">
        <f t="shared" si="504"/>
        <v>0</v>
      </c>
      <c r="AJ3488" s="2">
        <f t="shared" si="505"/>
        <v>0</v>
      </c>
      <c r="AK3488" s="2">
        <f t="shared" si="507"/>
        <v>251.5</v>
      </c>
      <c r="AL3488" s="5">
        <f t="shared" si="508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1038</v>
      </c>
      <c r="Q3489" s="2" t="s">
        <v>2737</v>
      </c>
      <c r="R3489" s="2" t="s">
        <v>2738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506"/>
        <v>0.36257777777777783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04"/>
        <v>0</v>
      </c>
      <c r="AJ3489" s="2">
        <f t="shared" si="505"/>
        <v>0</v>
      </c>
      <c r="AK3489" s="2">
        <f t="shared" si="507"/>
        <v>163.16000000000003</v>
      </c>
      <c r="AL3489" s="5">
        <f t="shared" si="508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3154</v>
      </c>
      <c r="L3490" s="2" t="s">
        <v>99</v>
      </c>
      <c r="M3490" s="2" t="s">
        <v>80</v>
      </c>
      <c r="O3490" s="2" t="s">
        <v>3153</v>
      </c>
      <c r="P3490" s="2" t="s">
        <v>1038</v>
      </c>
      <c r="Q3490" s="2" t="s">
        <v>1833</v>
      </c>
      <c r="R3490" s="2" t="s">
        <v>1834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506"/>
        <v>0.56678650821966681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04"/>
        <v>0</v>
      </c>
      <c r="AG3490" s="2">
        <v>157.85</v>
      </c>
      <c r="AJ3490" s="2">
        <f t="shared" si="505"/>
        <v>0</v>
      </c>
      <c r="AK3490" s="2">
        <f t="shared" si="507"/>
        <v>206.52</v>
      </c>
      <c r="AL3490" s="5">
        <f t="shared" si="508"/>
        <v>0.56678650821966681</v>
      </c>
    </row>
    <row r="3491" spans="1:38" x14ac:dyDescent="0.2">
      <c r="A3491" s="2">
        <v>2026</v>
      </c>
      <c r="B3491" s="2">
        <v>3</v>
      </c>
      <c r="D3491" s="2" t="s">
        <v>1553</v>
      </c>
      <c r="E3491" s="2" t="s">
        <v>108</v>
      </c>
      <c r="F3491" s="2" t="s">
        <v>717</v>
      </c>
      <c r="G3491" s="2">
        <v>500975914</v>
      </c>
      <c r="H3491" s="2" t="s">
        <v>41</v>
      </c>
      <c r="I3491" s="2" t="s">
        <v>1554</v>
      </c>
      <c r="J3491" s="2" t="s">
        <v>1555</v>
      </c>
      <c r="L3491" s="2" t="s">
        <v>177</v>
      </c>
      <c r="M3491" s="2" t="s">
        <v>41</v>
      </c>
      <c r="P3491" s="2" t="s">
        <v>1038</v>
      </c>
      <c r="Q3491" s="2" t="s">
        <v>2739</v>
      </c>
      <c r="R3491" s="2" t="s">
        <v>2740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506"/>
        <v>0.47124137931034482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04"/>
        <v>0</v>
      </c>
      <c r="AJ3491" s="2">
        <f t="shared" si="505"/>
        <v>0</v>
      </c>
      <c r="AK3491" s="2">
        <f t="shared" si="507"/>
        <v>136.66</v>
      </c>
      <c r="AL3491" s="5">
        <f t="shared" si="508"/>
        <v>0.47124137931034482</v>
      </c>
    </row>
    <row r="3492" spans="1:38" x14ac:dyDescent="0.2">
      <c r="A3492" s="2">
        <v>2026</v>
      </c>
      <c r="B3492" s="2">
        <v>3</v>
      </c>
      <c r="D3492" s="2" t="s">
        <v>936</v>
      </c>
      <c r="E3492" s="2" t="s">
        <v>38</v>
      </c>
      <c r="F3492" s="2" t="s">
        <v>39</v>
      </c>
      <c r="G3492" s="2">
        <v>508868726</v>
      </c>
      <c r="H3492" s="2" t="s">
        <v>290</v>
      </c>
      <c r="I3492" s="2" t="s">
        <v>937</v>
      </c>
      <c r="J3492" s="2" t="s">
        <v>938</v>
      </c>
      <c r="K3492" s="2">
        <v>964771057</v>
      </c>
      <c r="L3492" s="2" t="s">
        <v>339</v>
      </c>
      <c r="M3492" s="2" t="s">
        <v>80</v>
      </c>
      <c r="O3492" s="2" t="s">
        <v>2741</v>
      </c>
      <c r="P3492" s="2" t="s">
        <v>1038</v>
      </c>
      <c r="Q3492" s="2" t="s">
        <v>1854</v>
      </c>
      <c r="R3492" s="2" t="s">
        <v>1855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509">(T3492-W3492)/T3492</f>
        <v>0.45986046511627909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04"/>
        <v>0</v>
      </c>
      <c r="AG3492" s="2">
        <v>232.26</v>
      </c>
      <c r="AJ3492" s="2">
        <f t="shared" si="505"/>
        <v>0</v>
      </c>
      <c r="AK3492" s="2">
        <f t="shared" ref="AK3492:AK3523" si="510">T3492-W3492</f>
        <v>197.74</v>
      </c>
      <c r="AL3492" s="5">
        <f t="shared" ref="AL3492:AL3523" si="511">(T3492-W3492)/T3492</f>
        <v>0.45986046511627909</v>
      </c>
    </row>
    <row r="3493" spans="1:38" x14ac:dyDescent="0.2">
      <c r="A3493" s="2">
        <v>2026</v>
      </c>
      <c r="B3493" s="2">
        <v>3</v>
      </c>
      <c r="D3493" s="2" t="s">
        <v>2557</v>
      </c>
      <c r="M3493" s="2" t="s">
        <v>80</v>
      </c>
      <c r="O3493" s="2" t="s">
        <v>3160</v>
      </c>
      <c r="P3493" s="2" t="s">
        <v>1038</v>
      </c>
      <c r="Q3493" s="2" t="s">
        <v>2742</v>
      </c>
      <c r="R3493" s="2" t="s">
        <v>2743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509"/>
        <v>0.32349999999999995</v>
      </c>
      <c r="Z3493" s="2" t="s">
        <v>3226</v>
      </c>
      <c r="AA3493" s="2" t="s">
        <v>75</v>
      </c>
      <c r="AB3493" s="2" t="s">
        <v>76</v>
      </c>
      <c r="AC3493" s="2" t="s">
        <v>1038</v>
      </c>
      <c r="AF3493" s="2">
        <f t="shared" si="504"/>
        <v>0</v>
      </c>
      <c r="AG3493" s="2">
        <v>270.60000000000002</v>
      </c>
      <c r="AJ3493" s="2">
        <f t="shared" si="505"/>
        <v>0</v>
      </c>
      <c r="AK3493" s="2">
        <f t="shared" si="510"/>
        <v>129.39999999999998</v>
      </c>
      <c r="AL3493" s="5">
        <f t="shared" si="511"/>
        <v>0.32349999999999995</v>
      </c>
    </row>
    <row r="3494" spans="1:38" x14ac:dyDescent="0.2">
      <c r="A3494" s="2">
        <v>2026</v>
      </c>
      <c r="B3494" s="2">
        <v>3</v>
      </c>
      <c r="D3494" s="2" t="s">
        <v>2516</v>
      </c>
      <c r="E3494" s="2" t="s">
        <v>752</v>
      </c>
      <c r="F3494" s="2" t="s">
        <v>39</v>
      </c>
      <c r="G3494" s="2">
        <v>515570354</v>
      </c>
      <c r="H3494" s="2" t="s">
        <v>109</v>
      </c>
      <c r="I3494" s="2" t="s">
        <v>2517</v>
      </c>
      <c r="J3494" s="2" t="s">
        <v>2518</v>
      </c>
      <c r="K3494" s="2">
        <v>967032538</v>
      </c>
      <c r="L3494" s="2" t="s">
        <v>398</v>
      </c>
      <c r="M3494" s="2" t="s">
        <v>109</v>
      </c>
      <c r="P3494" s="2" t="s">
        <v>84</v>
      </c>
      <c r="Q3494" s="2" t="s">
        <v>268</v>
      </c>
      <c r="R3494" s="2" t="s">
        <v>269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509"/>
        <v>0.65494285714285716</v>
      </c>
      <c r="Z3494" s="2" t="s">
        <v>3226</v>
      </c>
      <c r="AA3494" s="2" t="s">
        <v>87</v>
      </c>
      <c r="AB3494" s="2" t="s">
        <v>90</v>
      </c>
      <c r="AC3494" s="2" t="s">
        <v>84</v>
      </c>
      <c r="AF3494" s="2">
        <f t="shared" si="504"/>
        <v>0</v>
      </c>
      <c r="AJ3494" s="2">
        <f t="shared" si="505"/>
        <v>0</v>
      </c>
      <c r="AK3494" s="2">
        <f t="shared" si="510"/>
        <v>4.5846</v>
      </c>
      <c r="AL3494" s="5">
        <f t="shared" si="511"/>
        <v>0.65494285714285716</v>
      </c>
    </row>
    <row r="3495" spans="1:38" x14ac:dyDescent="0.2">
      <c r="A3495" s="2">
        <v>2026</v>
      </c>
      <c r="B3495" s="2">
        <v>3</v>
      </c>
      <c r="D3495" s="2" t="s">
        <v>597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598</v>
      </c>
      <c r="J3495" s="2" t="s">
        <v>599</v>
      </c>
      <c r="K3495" s="2">
        <v>919603867</v>
      </c>
      <c r="L3495" s="2" t="s">
        <v>600</v>
      </c>
      <c r="M3495" s="2" t="s">
        <v>41</v>
      </c>
      <c r="O3495" s="2" t="s">
        <v>2675</v>
      </c>
      <c r="P3495" s="2" t="s">
        <v>84</v>
      </c>
      <c r="Q3495" s="2" t="s">
        <v>622</v>
      </c>
      <c r="R3495" s="2" t="s">
        <v>623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509"/>
        <v>#DIV/0!</v>
      </c>
      <c r="Z3495" s="2" t="s">
        <v>3226</v>
      </c>
      <c r="AA3495" s="2" t="s">
        <v>87</v>
      </c>
      <c r="AB3495" s="2" t="s">
        <v>60</v>
      </c>
      <c r="AC3495" s="2" t="s">
        <v>84</v>
      </c>
      <c r="AF3495" s="2">
        <f t="shared" si="504"/>
        <v>0</v>
      </c>
      <c r="AJ3495" s="2">
        <f t="shared" si="505"/>
        <v>0</v>
      </c>
      <c r="AK3495" s="2">
        <f t="shared" si="510"/>
        <v>0</v>
      </c>
      <c r="AL3495" s="5" t="e">
        <f t="shared" si="511"/>
        <v>#DIV/0!</v>
      </c>
    </row>
    <row r="3496" spans="1:38" x14ac:dyDescent="0.2">
      <c r="A3496" s="2">
        <v>2026</v>
      </c>
      <c r="B3496" s="2">
        <v>3</v>
      </c>
      <c r="D3496" s="2" t="s">
        <v>2516</v>
      </c>
      <c r="E3496" s="2" t="s">
        <v>752</v>
      </c>
      <c r="F3496" s="2" t="s">
        <v>39</v>
      </c>
      <c r="G3496" s="2">
        <v>515570354</v>
      </c>
      <c r="H3496" s="2" t="s">
        <v>109</v>
      </c>
      <c r="I3496" s="2" t="s">
        <v>2517</v>
      </c>
      <c r="J3496" s="2" t="s">
        <v>2518</v>
      </c>
      <c r="K3496" s="2">
        <v>967032538</v>
      </c>
      <c r="L3496" s="2" t="s">
        <v>398</v>
      </c>
      <c r="M3496" s="2" t="s">
        <v>109</v>
      </c>
      <c r="P3496" s="2" t="s">
        <v>84</v>
      </c>
      <c r="Q3496" s="2" t="s">
        <v>274</v>
      </c>
      <c r="R3496" s="2" t="s">
        <v>275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509"/>
        <v>0.58000000000000007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04"/>
        <v>0</v>
      </c>
      <c r="AJ3496" s="2">
        <f t="shared" si="505"/>
        <v>0</v>
      </c>
      <c r="AK3496" s="2">
        <f t="shared" si="510"/>
        <v>4.0600000000000005</v>
      </c>
      <c r="AL3496" s="5">
        <f t="shared" si="511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84</v>
      </c>
      <c r="Q3497" s="2" t="s">
        <v>91</v>
      </c>
      <c r="R3497" s="2" t="s">
        <v>92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W3497" s="2">
        <f>2.475*S3497</f>
        <v>4.95</v>
      </c>
      <c r="X3497" s="5">
        <f t="shared" si="509"/>
        <v>0.4107142857142857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04"/>
        <v>0</v>
      </c>
      <c r="AJ3497" s="2">
        <f t="shared" si="505"/>
        <v>0</v>
      </c>
      <c r="AK3497" s="2">
        <f t="shared" si="510"/>
        <v>3.45</v>
      </c>
      <c r="AL3497" s="5">
        <f t="shared" si="511"/>
        <v>0.4107142857142857</v>
      </c>
    </row>
    <row r="3498" spans="1:38" x14ac:dyDescent="0.2">
      <c r="A3498" s="2">
        <v>2026</v>
      </c>
      <c r="B3498" s="2">
        <v>3</v>
      </c>
      <c r="D3498" s="2" t="s">
        <v>588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177</v>
      </c>
      <c r="J3498" s="2" t="s">
        <v>589</v>
      </c>
      <c r="L3498" s="2" t="s">
        <v>177</v>
      </c>
      <c r="M3498" s="2" t="s">
        <v>41</v>
      </c>
      <c r="P3498" s="2" t="s">
        <v>84</v>
      </c>
      <c r="Q3498" s="2" t="s">
        <v>276</v>
      </c>
      <c r="R3498" s="2" t="s">
        <v>277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W3498" s="2">
        <v>2.5051000000000001</v>
      </c>
      <c r="X3498" s="5">
        <f t="shared" si="509"/>
        <v>0.70177380952380952</v>
      </c>
      <c r="Z3498" s="2" t="s">
        <v>3226</v>
      </c>
      <c r="AA3498" s="2" t="s">
        <v>87</v>
      </c>
      <c r="AB3498" s="2" t="s">
        <v>90</v>
      </c>
      <c r="AC3498" s="2" t="s">
        <v>84</v>
      </c>
      <c r="AF3498" s="2">
        <f t="shared" si="504"/>
        <v>0</v>
      </c>
      <c r="AJ3498" s="2">
        <f t="shared" si="505"/>
        <v>0</v>
      </c>
      <c r="AK3498" s="2">
        <f t="shared" si="510"/>
        <v>5.8948999999999998</v>
      </c>
      <c r="AL3498" s="5">
        <f t="shared" si="511"/>
        <v>0.70177380952380952</v>
      </c>
    </row>
    <row r="3499" spans="1:38" x14ac:dyDescent="0.2">
      <c r="A3499" s="2">
        <v>2026</v>
      </c>
      <c r="B3499" s="2">
        <v>3</v>
      </c>
      <c r="D3499" s="2" t="s">
        <v>359</v>
      </c>
      <c r="E3499" s="2" t="s">
        <v>108</v>
      </c>
      <c r="F3499" s="2" t="s">
        <v>39</v>
      </c>
      <c r="G3499" s="2">
        <v>503413909</v>
      </c>
      <c r="H3499" s="2" t="s">
        <v>109</v>
      </c>
      <c r="I3499" s="2" t="s">
        <v>360</v>
      </c>
      <c r="J3499" s="2" t="s">
        <v>361</v>
      </c>
      <c r="L3499" s="2" t="s">
        <v>360</v>
      </c>
      <c r="M3499" s="2" t="s">
        <v>109</v>
      </c>
      <c r="O3499" s="2" t="s">
        <v>2694</v>
      </c>
      <c r="P3499" s="2" t="s">
        <v>84</v>
      </c>
      <c r="Q3499" s="2" t="s">
        <v>2744</v>
      </c>
      <c r="R3499" s="2" t="s">
        <v>2745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509"/>
        <v>0.15862011173184362</v>
      </c>
      <c r="Z3499" s="2" t="s">
        <v>3226</v>
      </c>
      <c r="AA3499" s="2" t="s">
        <v>87</v>
      </c>
      <c r="AC3499" s="2" t="s">
        <v>84</v>
      </c>
      <c r="AF3499" s="2">
        <f t="shared" si="504"/>
        <v>0</v>
      </c>
      <c r="AG3499" s="2">
        <v>1506.07</v>
      </c>
      <c r="AJ3499" s="2">
        <f t="shared" si="505"/>
        <v>0</v>
      </c>
      <c r="AK3499" s="2">
        <f t="shared" si="510"/>
        <v>283.93000000000006</v>
      </c>
      <c r="AL3499" s="5">
        <f t="shared" si="511"/>
        <v>0.15862011173184362</v>
      </c>
    </row>
    <row r="3500" spans="1:38" x14ac:dyDescent="0.2">
      <c r="A3500" s="2">
        <v>2026</v>
      </c>
      <c r="B3500" s="2">
        <v>3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109</v>
      </c>
      <c r="O3500" s="2" t="s">
        <v>2699</v>
      </c>
      <c r="P3500" s="2" t="s">
        <v>1194</v>
      </c>
      <c r="Q3500" s="2" t="s">
        <v>1711</v>
      </c>
      <c r="R3500" s="2" t="s">
        <v>1712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509"/>
        <v>0.27828915662650605</v>
      </c>
      <c r="Z3500" s="2" t="s">
        <v>104</v>
      </c>
      <c r="AA3500" s="2" t="s">
        <v>2746</v>
      </c>
      <c r="AB3500" s="2" t="s">
        <v>2747</v>
      </c>
      <c r="AC3500" s="2" t="s">
        <v>1194</v>
      </c>
      <c r="AF3500" s="2">
        <f t="shared" si="504"/>
        <v>0</v>
      </c>
      <c r="AG3500" s="2">
        <f>1477+320.06</f>
        <v>1797.06</v>
      </c>
      <c r="AJ3500" s="2">
        <f t="shared" si="505"/>
        <v>0</v>
      </c>
      <c r="AK3500" s="2">
        <f t="shared" si="510"/>
        <v>692.94</v>
      </c>
      <c r="AL3500" s="5">
        <f t="shared" si="511"/>
        <v>0.27828915662650605</v>
      </c>
    </row>
    <row r="3501" spans="1:38" x14ac:dyDescent="0.2">
      <c r="A3501" s="2">
        <v>2026</v>
      </c>
      <c r="B3501" s="2">
        <v>3</v>
      </c>
      <c r="D3501" s="2" t="s">
        <v>382</v>
      </c>
      <c r="E3501" s="2" t="s">
        <v>38</v>
      </c>
      <c r="F3501" s="2" t="s">
        <v>39</v>
      </c>
      <c r="G3501" s="2">
        <v>212196260</v>
      </c>
      <c r="H3501" s="2" t="s">
        <v>109</v>
      </c>
      <c r="I3501" s="2" t="s">
        <v>383</v>
      </c>
      <c r="J3501" s="2" t="s">
        <v>384</v>
      </c>
      <c r="K3501" s="2">
        <v>926769894</v>
      </c>
      <c r="L3501" s="2" t="s">
        <v>112</v>
      </c>
      <c r="M3501" s="2" t="s">
        <v>109</v>
      </c>
      <c r="O3501" s="2" t="s">
        <v>2699</v>
      </c>
      <c r="P3501" s="2" t="s">
        <v>1194</v>
      </c>
      <c r="Q3501" s="2" t="s">
        <v>1197</v>
      </c>
      <c r="R3501" s="2" t="s">
        <v>1198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509"/>
        <v>0.36459999999999998</v>
      </c>
      <c r="Z3501" s="2" t="s">
        <v>104</v>
      </c>
      <c r="AA3501" s="2" t="s">
        <v>1199</v>
      </c>
      <c r="AB3501" s="2" t="s">
        <v>119</v>
      </c>
      <c r="AC3501" s="2" t="s">
        <v>1194</v>
      </c>
      <c r="AF3501" s="2">
        <f t="shared" si="504"/>
        <v>0</v>
      </c>
      <c r="AG3501" s="2">
        <f>235+50.93</f>
        <v>285.93</v>
      </c>
      <c r="AJ3501" s="2">
        <f t="shared" si="505"/>
        <v>0</v>
      </c>
      <c r="AK3501" s="2">
        <f t="shared" si="510"/>
        <v>328.14</v>
      </c>
      <c r="AL3501" s="5">
        <f t="shared" si="511"/>
        <v>0.36459999999999998</v>
      </c>
    </row>
    <row r="3502" spans="1:38" x14ac:dyDescent="0.2">
      <c r="A3502" s="2">
        <v>2026</v>
      </c>
      <c r="B3502" s="2">
        <v>3</v>
      </c>
      <c r="D3502" s="2" t="s">
        <v>2748</v>
      </c>
      <c r="M3502" s="2" t="s">
        <v>41</v>
      </c>
      <c r="P3502" s="2" t="s">
        <v>1038</v>
      </c>
      <c r="Q3502" s="2" t="s">
        <v>2749</v>
      </c>
      <c r="R3502" s="2" t="s">
        <v>2750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509"/>
        <v>0.35858218533413194</v>
      </c>
      <c r="Z3502" s="2" t="s">
        <v>3226</v>
      </c>
      <c r="AA3502" s="2" t="s">
        <v>1041</v>
      </c>
      <c r="AB3502" s="2" t="s">
        <v>2751</v>
      </c>
      <c r="AC3502" s="2" t="s">
        <v>1038</v>
      </c>
      <c r="AF3502" s="2">
        <f t="shared" si="504"/>
        <v>0</v>
      </c>
      <c r="AJ3502" s="2">
        <f t="shared" si="505"/>
        <v>0</v>
      </c>
      <c r="AK3502" s="2">
        <f t="shared" si="510"/>
        <v>335.26</v>
      </c>
      <c r="AL3502" s="5">
        <f t="shared" si="511"/>
        <v>0.35858218533413194</v>
      </c>
    </row>
    <row r="3503" spans="1:38" x14ac:dyDescent="0.2">
      <c r="A3503" s="2">
        <v>2026</v>
      </c>
      <c r="B3503" s="2">
        <v>3</v>
      </c>
      <c r="C3503" s="2" t="s">
        <v>3443</v>
      </c>
      <c r="D3503" s="2" t="s">
        <v>2752</v>
      </c>
      <c r="E3503" s="2" t="s">
        <v>38</v>
      </c>
      <c r="F3503" s="2" t="s">
        <v>39</v>
      </c>
      <c r="G3503" s="2">
        <v>501938311</v>
      </c>
      <c r="H3503" s="2" t="s">
        <v>109</v>
      </c>
      <c r="I3503" s="2" t="s">
        <v>2753</v>
      </c>
      <c r="J3503" s="2" t="s">
        <v>2754</v>
      </c>
      <c r="K3503" s="2">
        <v>962332957</v>
      </c>
      <c r="L3503" s="2" t="s">
        <v>112</v>
      </c>
      <c r="M3503" s="2" t="s">
        <v>109</v>
      </c>
      <c r="O3503" s="2" t="s">
        <v>2755</v>
      </c>
      <c r="P3503" s="2" t="s">
        <v>40</v>
      </c>
      <c r="Q3503" s="2" t="s">
        <v>2756</v>
      </c>
      <c r="R3503" s="2" t="s">
        <v>2757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W3503" s="2">
        <f>T3503*75%</f>
        <v>2439.0225</v>
      </c>
      <c r="X3503" s="5">
        <f t="shared" si="509"/>
        <v>0.25000000000000006</v>
      </c>
      <c r="Z3503" s="2" t="s">
        <v>104</v>
      </c>
      <c r="AA3503" s="2" t="s">
        <v>414</v>
      </c>
      <c r="AB3503" s="2" t="s">
        <v>475</v>
      </c>
      <c r="AC3503" s="2" t="s">
        <v>114</v>
      </c>
      <c r="AF3503" s="2">
        <f t="shared" si="504"/>
        <v>0</v>
      </c>
      <c r="AJ3503" s="2">
        <f t="shared" si="505"/>
        <v>0</v>
      </c>
      <c r="AK3503" s="2">
        <f t="shared" si="510"/>
        <v>813.00750000000016</v>
      </c>
      <c r="AL3503" s="5">
        <f t="shared" si="511"/>
        <v>0.25000000000000006</v>
      </c>
    </row>
    <row r="3504" spans="1:38" x14ac:dyDescent="0.2">
      <c r="A3504" s="2">
        <v>2026</v>
      </c>
      <c r="B3504" s="2">
        <v>3</v>
      </c>
      <c r="C3504" s="2" t="s">
        <v>3443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2117</v>
      </c>
      <c r="R3504" s="2" t="s">
        <v>2118</v>
      </c>
      <c r="S3504" s="2">
        <v>1</v>
      </c>
      <c r="T3504" s="2">
        <v>1000</v>
      </c>
      <c r="U3504" s="2">
        <v>230</v>
      </c>
      <c r="V3504" s="2">
        <v>1230</v>
      </c>
      <c r="W3504" s="2">
        <f>T3504*75%</f>
        <v>750</v>
      </c>
      <c r="X3504" s="5">
        <f t="shared" si="509"/>
        <v>0.25</v>
      </c>
      <c r="Z3504" s="2" t="s">
        <v>104</v>
      </c>
      <c r="AA3504" s="2" t="s">
        <v>119</v>
      </c>
      <c r="AB3504" s="2" t="s">
        <v>475</v>
      </c>
      <c r="AC3504" s="2" t="s">
        <v>475</v>
      </c>
      <c r="AF3504" s="2">
        <f t="shared" si="504"/>
        <v>0</v>
      </c>
      <c r="AJ3504" s="2">
        <f t="shared" si="505"/>
        <v>0</v>
      </c>
      <c r="AK3504" s="2">
        <f t="shared" si="510"/>
        <v>250</v>
      </c>
      <c r="AL3504" s="5">
        <f t="shared" si="511"/>
        <v>0.25</v>
      </c>
    </row>
    <row r="3505" spans="1:38" x14ac:dyDescent="0.2">
      <c r="A3505" s="2">
        <v>2026</v>
      </c>
      <c r="B3505" s="2">
        <v>3</v>
      </c>
      <c r="C3505" s="2" t="s">
        <v>3443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2758</v>
      </c>
      <c r="R3505" s="2" t="s">
        <v>2759</v>
      </c>
      <c r="S3505" s="2">
        <v>1</v>
      </c>
      <c r="T3505" s="2">
        <v>1500</v>
      </c>
      <c r="U3505" s="2">
        <v>345</v>
      </c>
      <c r="V3505" s="2">
        <v>1845</v>
      </c>
      <c r="W3505" s="2">
        <f>T3505*75%</f>
        <v>1125</v>
      </c>
      <c r="X3505" s="5">
        <f t="shared" si="509"/>
        <v>0.25</v>
      </c>
      <c r="Z3505" s="2" t="s">
        <v>104</v>
      </c>
      <c r="AA3505" s="2" t="s">
        <v>150</v>
      </c>
      <c r="AB3505" s="2" t="s">
        <v>475</v>
      </c>
      <c r="AC3505" s="2" t="s">
        <v>114</v>
      </c>
      <c r="AF3505" s="2">
        <f t="shared" si="504"/>
        <v>0</v>
      </c>
      <c r="AJ3505" s="2">
        <f t="shared" si="505"/>
        <v>0</v>
      </c>
      <c r="AK3505" s="2">
        <f t="shared" si="510"/>
        <v>375</v>
      </c>
      <c r="AL3505" s="5">
        <f t="shared" si="511"/>
        <v>0.25</v>
      </c>
    </row>
    <row r="3506" spans="1:38" x14ac:dyDescent="0.2">
      <c r="A3506" s="2">
        <v>2026</v>
      </c>
      <c r="B3506" s="2">
        <v>3</v>
      </c>
      <c r="C3506" s="2" t="s">
        <v>3443</v>
      </c>
      <c r="D3506" s="2" t="s">
        <v>382</v>
      </c>
      <c r="E3506" s="2" t="s">
        <v>38</v>
      </c>
      <c r="F3506" s="2" t="s">
        <v>39</v>
      </c>
      <c r="G3506" s="2">
        <v>212196260</v>
      </c>
      <c r="H3506" s="2" t="s">
        <v>109</v>
      </c>
      <c r="I3506" s="2" t="s">
        <v>383</v>
      </c>
      <c r="J3506" s="2" t="s">
        <v>384</v>
      </c>
      <c r="K3506" s="2">
        <v>926769894</v>
      </c>
      <c r="L3506" s="2" t="s">
        <v>112</v>
      </c>
      <c r="M3506" s="2" t="s">
        <v>290</v>
      </c>
      <c r="O3506" s="2" t="s">
        <v>2699</v>
      </c>
      <c r="P3506" s="2" t="s">
        <v>40</v>
      </c>
      <c r="Q3506" s="2" t="s">
        <v>820</v>
      </c>
      <c r="R3506" s="2" t="s">
        <v>821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09"/>
        <v>0.25</v>
      </c>
      <c r="Z3506" s="2" t="s">
        <v>104</v>
      </c>
      <c r="AA3506" s="2" t="s">
        <v>616</v>
      </c>
      <c r="AB3506" s="2" t="s">
        <v>475</v>
      </c>
      <c r="AC3506" s="2" t="s">
        <v>475</v>
      </c>
      <c r="AF3506" s="2">
        <f t="shared" si="504"/>
        <v>0</v>
      </c>
      <c r="AJ3506" s="2">
        <f t="shared" si="505"/>
        <v>0</v>
      </c>
      <c r="AK3506" s="2">
        <f t="shared" si="510"/>
        <v>500</v>
      </c>
      <c r="AL3506" s="5">
        <f t="shared" si="511"/>
        <v>0.25</v>
      </c>
    </row>
    <row r="3507" spans="1:38" x14ac:dyDescent="0.2">
      <c r="A3507" s="2">
        <v>2026</v>
      </c>
      <c r="B3507" s="2">
        <v>3</v>
      </c>
      <c r="D3507" s="2" t="s">
        <v>1907</v>
      </c>
      <c r="P3507" s="2" t="s">
        <v>40</v>
      </c>
      <c r="Q3507" s="2" t="s">
        <v>2760</v>
      </c>
      <c r="R3507" s="2" t="s">
        <v>2761</v>
      </c>
      <c r="S3507" s="2">
        <v>1</v>
      </c>
      <c r="T3507" s="2">
        <v>2000</v>
      </c>
      <c r="U3507" s="2">
        <v>460</v>
      </c>
      <c r="V3507" s="2">
        <v>2460</v>
      </c>
      <c r="W3507" s="2">
        <f>T3507*75%</f>
        <v>1500</v>
      </c>
      <c r="X3507" s="5">
        <f t="shared" si="509"/>
        <v>0.25</v>
      </c>
      <c r="Z3507" s="2" t="s">
        <v>104</v>
      </c>
      <c r="AA3507" s="2" t="s">
        <v>616</v>
      </c>
      <c r="AB3507" s="2" t="s">
        <v>475</v>
      </c>
      <c r="AC3507" s="2" t="s">
        <v>114</v>
      </c>
      <c r="AF3507" s="2">
        <f t="shared" si="504"/>
        <v>0</v>
      </c>
      <c r="AJ3507" s="2">
        <f t="shared" si="505"/>
        <v>0</v>
      </c>
      <c r="AK3507" s="2">
        <f t="shared" si="510"/>
        <v>500</v>
      </c>
      <c r="AL3507" s="5">
        <f t="shared" si="511"/>
        <v>0.25</v>
      </c>
    </row>
    <row r="3508" spans="1:38" x14ac:dyDescent="0.2">
      <c r="A3508" s="2">
        <v>2026</v>
      </c>
      <c r="B3508" s="2">
        <v>3</v>
      </c>
      <c r="D3508" s="2" t="s">
        <v>488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489</v>
      </c>
      <c r="J3508" s="2" t="s">
        <v>490</v>
      </c>
      <c r="K3508" s="2">
        <v>912293443</v>
      </c>
      <c r="L3508" s="2" t="s">
        <v>99</v>
      </c>
      <c r="M3508" s="2" t="s">
        <v>40</v>
      </c>
      <c r="O3508" s="2" t="s">
        <v>2762</v>
      </c>
      <c r="P3508" s="2" t="s">
        <v>40</v>
      </c>
      <c r="Q3508" s="2" t="s">
        <v>491</v>
      </c>
      <c r="R3508" s="2" t="s">
        <v>492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509"/>
        <v>1</v>
      </c>
      <c r="Z3508" s="2" t="s">
        <v>119</v>
      </c>
      <c r="AA3508" s="2" t="s">
        <v>492</v>
      </c>
      <c r="AF3508" s="2">
        <f t="shared" si="504"/>
        <v>0</v>
      </c>
      <c r="AJ3508" s="2">
        <f t="shared" si="505"/>
        <v>0</v>
      </c>
      <c r="AK3508" s="2">
        <f t="shared" si="510"/>
        <v>678.91</v>
      </c>
      <c r="AL3508" s="5">
        <f t="shared" si="511"/>
        <v>1</v>
      </c>
    </row>
    <row r="3509" spans="1:38" x14ac:dyDescent="0.2">
      <c r="A3509" s="2">
        <v>2026</v>
      </c>
      <c r="B3509" s="2">
        <v>4</v>
      </c>
      <c r="D3509" s="2" t="s">
        <v>822</v>
      </c>
      <c r="E3509" s="2" t="s">
        <v>38</v>
      </c>
      <c r="F3509" s="2" t="s">
        <v>39</v>
      </c>
      <c r="G3509" s="2">
        <v>513812342</v>
      </c>
      <c r="H3509" s="2" t="s">
        <v>41</v>
      </c>
      <c r="I3509" s="2" t="s">
        <v>825</v>
      </c>
      <c r="J3509" s="2" t="s">
        <v>826</v>
      </c>
      <c r="L3509" s="2" t="s">
        <v>418</v>
      </c>
      <c r="M3509" s="2" t="s">
        <v>40</v>
      </c>
      <c r="P3509" s="2" t="s">
        <v>187</v>
      </c>
      <c r="Q3509" s="2" t="s">
        <v>191</v>
      </c>
      <c r="R3509" s="2" t="s">
        <v>190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509"/>
        <v>0.5</v>
      </c>
      <c r="Z3509" s="2" t="s">
        <v>117</v>
      </c>
      <c r="AA3509" s="2" t="s">
        <v>190</v>
      </c>
      <c r="AB3509" s="2" t="s">
        <v>190</v>
      </c>
      <c r="AC3509" s="2" t="s">
        <v>40</v>
      </c>
      <c r="AF3509" s="2">
        <f t="shared" si="504"/>
        <v>0</v>
      </c>
      <c r="AG3509" s="2">
        <f t="shared" ref="AG3509:AG3519" si="512">W3509</f>
        <v>13.75</v>
      </c>
      <c r="AJ3509" s="2">
        <f t="shared" si="505"/>
        <v>0</v>
      </c>
      <c r="AK3509" s="2">
        <f t="shared" si="510"/>
        <v>13.75</v>
      </c>
      <c r="AL3509" s="5">
        <f t="shared" si="511"/>
        <v>0.5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188</v>
      </c>
      <c r="R3510" s="2" t="s">
        <v>189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509"/>
        <v>0.60000000000000009</v>
      </c>
      <c r="Z3510" s="2" t="s">
        <v>117</v>
      </c>
      <c r="AA3510" s="2" t="s">
        <v>190</v>
      </c>
      <c r="AB3510" s="2" t="s">
        <v>189</v>
      </c>
      <c r="AC3510" s="2" t="s">
        <v>40</v>
      </c>
      <c r="AF3510" s="2">
        <f t="shared" si="504"/>
        <v>0</v>
      </c>
      <c r="AG3510" s="2">
        <f t="shared" si="512"/>
        <v>51.6</v>
      </c>
      <c r="AJ3510" s="2">
        <f t="shared" si="505"/>
        <v>0</v>
      </c>
      <c r="AK3510" s="2">
        <f t="shared" si="510"/>
        <v>77.400000000000006</v>
      </c>
      <c r="AL3510" s="5">
        <f t="shared" si="511"/>
        <v>0.60000000000000009</v>
      </c>
    </row>
    <row r="3511" spans="1:38" x14ac:dyDescent="0.2">
      <c r="A3511" s="2">
        <v>2026</v>
      </c>
      <c r="B3511" s="2">
        <v>2</v>
      </c>
      <c r="D3511" s="2" t="s">
        <v>2763</v>
      </c>
      <c r="M3511" s="2" t="s">
        <v>40</v>
      </c>
      <c r="P3511" s="2" t="s">
        <v>187</v>
      </c>
      <c r="Q3511" s="2" t="s">
        <v>191</v>
      </c>
      <c r="R3511" s="2" t="s">
        <v>190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509"/>
        <v>0.5</v>
      </c>
      <c r="Z3511" s="2" t="s">
        <v>117</v>
      </c>
      <c r="AA3511" s="2" t="s">
        <v>190</v>
      </c>
      <c r="AB3511" s="2" t="s">
        <v>190</v>
      </c>
      <c r="AC3511" s="2" t="s">
        <v>40</v>
      </c>
      <c r="AF3511" s="2">
        <f t="shared" si="504"/>
        <v>0</v>
      </c>
      <c r="AG3511" s="2">
        <f t="shared" si="512"/>
        <v>27.5</v>
      </c>
      <c r="AJ3511" s="2">
        <f t="shared" si="505"/>
        <v>0</v>
      </c>
      <c r="AK3511" s="2">
        <f t="shared" si="510"/>
        <v>27.5</v>
      </c>
      <c r="AL3511" s="5">
        <f t="shared" si="511"/>
        <v>0.5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188</v>
      </c>
      <c r="R3512" s="2" t="s">
        <v>189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509"/>
        <v>0.6</v>
      </c>
      <c r="Z3512" s="2" t="s">
        <v>117</v>
      </c>
      <c r="AA3512" s="2" t="s">
        <v>190</v>
      </c>
      <c r="AB3512" s="2" t="s">
        <v>189</v>
      </c>
      <c r="AC3512" s="2" t="s">
        <v>40</v>
      </c>
      <c r="AF3512" s="2">
        <f t="shared" si="504"/>
        <v>0</v>
      </c>
      <c r="AG3512" s="2">
        <f t="shared" si="512"/>
        <v>106.80000000000001</v>
      </c>
      <c r="AJ3512" s="2">
        <f t="shared" si="505"/>
        <v>0</v>
      </c>
      <c r="AK3512" s="2">
        <f t="shared" si="510"/>
        <v>160.19999999999999</v>
      </c>
      <c r="AL3512" s="5">
        <f t="shared" si="511"/>
        <v>0.6</v>
      </c>
    </row>
    <row r="3513" spans="1:38" x14ac:dyDescent="0.2">
      <c r="A3513" s="2">
        <v>2026</v>
      </c>
      <c r="B3513" s="2">
        <v>1</v>
      </c>
      <c r="D3513" s="2" t="s">
        <v>2764</v>
      </c>
      <c r="M3513" s="2" t="s">
        <v>40</v>
      </c>
      <c r="P3513" s="2" t="s">
        <v>187</v>
      </c>
      <c r="Q3513" s="2" t="s">
        <v>191</v>
      </c>
      <c r="R3513" s="2" t="s">
        <v>190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509"/>
        <v>0.5</v>
      </c>
      <c r="Z3513" s="2" t="s">
        <v>117</v>
      </c>
      <c r="AA3513" s="2" t="s">
        <v>190</v>
      </c>
      <c r="AB3513" s="2" t="s">
        <v>190</v>
      </c>
      <c r="AC3513" s="2" t="s">
        <v>40</v>
      </c>
      <c r="AF3513" s="2">
        <f t="shared" si="504"/>
        <v>0</v>
      </c>
      <c r="AG3513" s="2">
        <f t="shared" si="512"/>
        <v>37.5</v>
      </c>
      <c r="AJ3513" s="2">
        <f t="shared" si="505"/>
        <v>0</v>
      </c>
      <c r="AK3513" s="2">
        <f t="shared" si="510"/>
        <v>37.5</v>
      </c>
      <c r="AL3513" s="5">
        <f t="shared" si="511"/>
        <v>0.5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188</v>
      </c>
      <c r="R3514" s="2" t="s">
        <v>189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509"/>
        <v>0.6</v>
      </c>
      <c r="Z3514" s="2" t="s">
        <v>117</v>
      </c>
      <c r="AA3514" s="2" t="s">
        <v>190</v>
      </c>
      <c r="AB3514" s="2" t="s">
        <v>189</v>
      </c>
      <c r="AC3514" s="2" t="s">
        <v>40</v>
      </c>
      <c r="AF3514" s="2">
        <f t="shared" si="504"/>
        <v>0</v>
      </c>
      <c r="AG3514" s="2">
        <f t="shared" si="512"/>
        <v>72</v>
      </c>
      <c r="AJ3514" s="2">
        <f t="shared" si="505"/>
        <v>0</v>
      </c>
      <c r="AK3514" s="2">
        <f t="shared" si="510"/>
        <v>108</v>
      </c>
      <c r="AL3514" s="5">
        <f t="shared" si="511"/>
        <v>0.6</v>
      </c>
    </row>
    <row r="3515" spans="1:38" x14ac:dyDescent="0.2">
      <c r="A3515" s="2">
        <v>2026</v>
      </c>
      <c r="B3515" s="2">
        <v>4</v>
      </c>
      <c r="D3515" s="2" t="s">
        <v>2765</v>
      </c>
      <c r="M3515" s="2" t="s">
        <v>40</v>
      </c>
      <c r="P3515" s="2" t="s">
        <v>187</v>
      </c>
      <c r="Q3515" s="2" t="s">
        <v>191</v>
      </c>
      <c r="R3515" s="2" t="s">
        <v>190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509"/>
        <v>0.5</v>
      </c>
      <c r="Z3515" s="2" t="s">
        <v>117</v>
      </c>
      <c r="AA3515" s="2" t="s">
        <v>190</v>
      </c>
      <c r="AB3515" s="2" t="s">
        <v>190</v>
      </c>
      <c r="AC3515" s="2" t="s">
        <v>40</v>
      </c>
      <c r="AF3515" s="2">
        <f t="shared" si="504"/>
        <v>0</v>
      </c>
      <c r="AG3515" s="2">
        <f t="shared" si="512"/>
        <v>20.625</v>
      </c>
      <c r="AJ3515" s="2">
        <f t="shared" si="505"/>
        <v>0</v>
      </c>
      <c r="AK3515" s="2">
        <f t="shared" si="510"/>
        <v>20.625</v>
      </c>
      <c r="AL3515" s="5">
        <f t="shared" si="511"/>
        <v>0.5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188</v>
      </c>
      <c r="R3516" s="2" t="s">
        <v>189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509"/>
        <v>0.6</v>
      </c>
      <c r="Z3516" s="2" t="s">
        <v>117</v>
      </c>
      <c r="AA3516" s="2" t="s">
        <v>190</v>
      </c>
      <c r="AB3516" s="2" t="s">
        <v>189</v>
      </c>
      <c r="AC3516" s="2" t="s">
        <v>40</v>
      </c>
      <c r="AF3516" s="2">
        <f t="shared" si="504"/>
        <v>0</v>
      </c>
      <c r="AG3516" s="2">
        <f t="shared" si="512"/>
        <v>48</v>
      </c>
      <c r="AJ3516" s="2">
        <f t="shared" si="505"/>
        <v>0</v>
      </c>
      <c r="AK3516" s="2">
        <f t="shared" si="510"/>
        <v>72</v>
      </c>
      <c r="AL3516" s="5">
        <f t="shared" si="511"/>
        <v>0.6</v>
      </c>
    </row>
    <row r="3517" spans="1:38" x14ac:dyDescent="0.2">
      <c r="A3517" s="2">
        <v>2026</v>
      </c>
      <c r="B3517" s="2">
        <v>4</v>
      </c>
      <c r="D3517" s="2" t="s">
        <v>2766</v>
      </c>
      <c r="M3517" s="2" t="s">
        <v>40</v>
      </c>
      <c r="P3517" s="2" t="s">
        <v>187</v>
      </c>
      <c r="Q3517" s="2" t="s">
        <v>191</v>
      </c>
      <c r="R3517" s="2" t="s">
        <v>190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509"/>
        <v>0.5</v>
      </c>
      <c r="Z3517" s="2" t="s">
        <v>117</v>
      </c>
      <c r="AA3517" s="2" t="s">
        <v>190</v>
      </c>
      <c r="AB3517" s="2" t="s">
        <v>190</v>
      </c>
      <c r="AC3517" s="2" t="s">
        <v>40</v>
      </c>
      <c r="AF3517" s="2">
        <f t="shared" si="504"/>
        <v>0</v>
      </c>
      <c r="AG3517" s="2">
        <f t="shared" si="512"/>
        <v>27.5</v>
      </c>
      <c r="AJ3517" s="2">
        <f t="shared" si="505"/>
        <v>0</v>
      </c>
      <c r="AK3517" s="2">
        <f t="shared" si="510"/>
        <v>27.5</v>
      </c>
      <c r="AL3517" s="5">
        <f t="shared" si="511"/>
        <v>0.5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188</v>
      </c>
      <c r="R3518" s="2" t="s">
        <v>189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509"/>
        <v>0.6</v>
      </c>
      <c r="Z3518" s="2" t="s">
        <v>117</v>
      </c>
      <c r="AA3518" s="2" t="s">
        <v>190</v>
      </c>
      <c r="AB3518" s="2" t="s">
        <v>189</v>
      </c>
      <c r="AC3518" s="2" t="s">
        <v>40</v>
      </c>
      <c r="AF3518" s="2">
        <f t="shared" si="504"/>
        <v>0</v>
      </c>
      <c r="AG3518" s="2">
        <f t="shared" si="512"/>
        <v>22</v>
      </c>
      <c r="AJ3518" s="2">
        <f t="shared" si="505"/>
        <v>0</v>
      </c>
      <c r="AK3518" s="2">
        <f t="shared" si="510"/>
        <v>33</v>
      </c>
      <c r="AL3518" s="5">
        <f t="shared" si="511"/>
        <v>0.6</v>
      </c>
    </row>
    <row r="3519" spans="1:38" x14ac:dyDescent="0.2">
      <c r="A3519" s="2">
        <v>2026</v>
      </c>
      <c r="B3519" s="2">
        <v>1</v>
      </c>
      <c r="D3519" s="2" t="s">
        <v>1397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3216</v>
      </c>
      <c r="J3519" s="2" t="s">
        <v>3215</v>
      </c>
      <c r="K3519" s="2">
        <v>913814877</v>
      </c>
      <c r="L3519" s="2" t="s">
        <v>201</v>
      </c>
      <c r="M3519" s="2" t="s">
        <v>40</v>
      </c>
      <c r="O3519" s="2" t="s">
        <v>3211</v>
      </c>
      <c r="P3519" s="2" t="s">
        <v>187</v>
      </c>
      <c r="Q3519" s="2" t="s">
        <v>191</v>
      </c>
      <c r="R3519" s="2" t="s">
        <v>190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509"/>
        <v>0.5</v>
      </c>
      <c r="Z3519" s="2" t="s">
        <v>117</v>
      </c>
      <c r="AA3519" s="2" t="s">
        <v>190</v>
      </c>
      <c r="AB3519" s="2" t="s">
        <v>190</v>
      </c>
      <c r="AC3519" s="2" t="s">
        <v>40</v>
      </c>
      <c r="AF3519" s="2">
        <f t="shared" si="504"/>
        <v>0</v>
      </c>
      <c r="AG3519" s="2">
        <f t="shared" si="512"/>
        <v>25</v>
      </c>
      <c r="AJ3519" s="2">
        <f t="shared" si="505"/>
        <v>0</v>
      </c>
      <c r="AK3519" s="2">
        <f t="shared" si="510"/>
        <v>25</v>
      </c>
      <c r="AL3519" s="5">
        <f t="shared" si="511"/>
        <v>0.5</v>
      </c>
    </row>
    <row r="3520" spans="1:38" x14ac:dyDescent="0.2">
      <c r="A3520" s="2">
        <v>2026</v>
      </c>
      <c r="B3520" s="2">
        <v>3</v>
      </c>
      <c r="D3520" s="2" t="s">
        <v>2767</v>
      </c>
      <c r="E3520" s="2" t="s">
        <v>38</v>
      </c>
      <c r="F3520" s="2" t="s">
        <v>39</v>
      </c>
      <c r="G3520" s="2">
        <v>500041946</v>
      </c>
      <c r="H3520" s="2" t="s">
        <v>109</v>
      </c>
      <c r="I3520" s="2" t="s">
        <v>133</v>
      </c>
      <c r="J3520" s="2" t="s">
        <v>2768</v>
      </c>
      <c r="L3520" s="2" t="s">
        <v>133</v>
      </c>
      <c r="M3520" s="2" t="s">
        <v>80</v>
      </c>
      <c r="O3520" s="2" t="s">
        <v>2769</v>
      </c>
      <c r="P3520" s="2" t="s">
        <v>1038</v>
      </c>
      <c r="Q3520" s="2" t="s">
        <v>1268</v>
      </c>
      <c r="R3520" s="2" t="s">
        <v>1269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509"/>
        <v>0.40327485380116956</v>
      </c>
      <c r="Z3520" s="2" t="s">
        <v>3226</v>
      </c>
      <c r="AA3520" s="2" t="s">
        <v>1041</v>
      </c>
      <c r="AB3520" s="2" t="s">
        <v>1270</v>
      </c>
      <c r="AC3520" s="2" t="s">
        <v>1038</v>
      </c>
      <c r="AF3520" s="2">
        <f t="shared" si="504"/>
        <v>0</v>
      </c>
      <c r="AJ3520" s="2">
        <f t="shared" si="505"/>
        <v>0</v>
      </c>
      <c r="AK3520" s="2">
        <f t="shared" si="510"/>
        <v>275.83999999999997</v>
      </c>
      <c r="AL3520" s="5">
        <f t="shared" si="511"/>
        <v>0.40327485380116956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188</v>
      </c>
      <c r="R3521" s="2" t="s">
        <v>189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509"/>
        <v>0.6</v>
      </c>
      <c r="Z3521" s="2" t="s">
        <v>117</v>
      </c>
      <c r="AA3521" s="2" t="s">
        <v>190</v>
      </c>
      <c r="AB3521" s="2" t="s">
        <v>189</v>
      </c>
      <c r="AC3521" s="2" t="s">
        <v>40</v>
      </c>
      <c r="AF3521" s="2">
        <f t="shared" si="504"/>
        <v>0</v>
      </c>
      <c r="AG3521" s="2">
        <f t="shared" ref="AG3521:AG3532" si="513">W3521</f>
        <v>24</v>
      </c>
      <c r="AJ3521" s="2">
        <f t="shared" si="505"/>
        <v>0</v>
      </c>
      <c r="AK3521" s="2">
        <f t="shared" si="510"/>
        <v>36</v>
      </c>
      <c r="AL3521" s="5">
        <f t="shared" si="511"/>
        <v>0.6</v>
      </c>
    </row>
    <row r="3522" spans="1:38" x14ac:dyDescent="0.2">
      <c r="A3522" s="2">
        <v>2026</v>
      </c>
      <c r="B3522" s="2">
        <v>4</v>
      </c>
      <c r="D3522" s="2" t="s">
        <v>1049</v>
      </c>
      <c r="E3522" s="2" t="s">
        <v>108</v>
      </c>
      <c r="F3522" s="2" t="s">
        <v>531</v>
      </c>
      <c r="G3522" s="2">
        <v>504586351</v>
      </c>
      <c r="H3522" s="2" t="s">
        <v>290</v>
      </c>
      <c r="I3522" s="2" t="s">
        <v>1050</v>
      </c>
      <c r="J3522" s="2" t="s">
        <v>1051</v>
      </c>
      <c r="L3522" s="2" t="s">
        <v>339</v>
      </c>
      <c r="M3522" s="2" t="s">
        <v>40</v>
      </c>
      <c r="O3522" s="2" t="s">
        <v>2770</v>
      </c>
      <c r="P3522" s="2" t="s">
        <v>187</v>
      </c>
      <c r="Q3522" s="2" t="s">
        <v>191</v>
      </c>
      <c r="R3522" s="2" t="s">
        <v>190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>T3522*50%</f>
        <v>55</v>
      </c>
      <c r="X3522" s="5">
        <f t="shared" si="509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ref="AF3522:AF3585" si="514">AJ3522</f>
        <v>0</v>
      </c>
      <c r="AG3522" s="2">
        <f t="shared" si="513"/>
        <v>55</v>
      </c>
      <c r="AJ3522" s="2">
        <f t="shared" ref="AJ3522:AJ3585" si="515">AI3522*T3522</f>
        <v>0</v>
      </c>
      <c r="AK3522" s="2">
        <f t="shared" si="510"/>
        <v>55</v>
      </c>
      <c r="AL3522" s="5">
        <f t="shared" si="511"/>
        <v>0.5</v>
      </c>
    </row>
    <row r="3523" spans="1:38" x14ac:dyDescent="0.2">
      <c r="A3523" s="2">
        <v>2026</v>
      </c>
      <c r="B3523" s="2">
        <v>3</v>
      </c>
      <c r="C3523" s="2" t="s">
        <v>3319</v>
      </c>
      <c r="D3523" s="2" t="s">
        <v>2150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177</v>
      </c>
      <c r="M3523" s="2" t="s">
        <v>40</v>
      </c>
      <c r="P3523" s="2" t="s">
        <v>187</v>
      </c>
      <c r="Q3523" s="2" t="s">
        <v>191</v>
      </c>
      <c r="R3523" s="2" t="s">
        <v>190</v>
      </c>
      <c r="S3523" s="2">
        <v>1</v>
      </c>
      <c r="T3523" s="2">
        <v>50</v>
      </c>
      <c r="U3523" s="2">
        <v>11.5</v>
      </c>
      <c r="V3523" s="2">
        <v>61.5</v>
      </c>
      <c r="W3523" s="2">
        <f>T3523*50%</f>
        <v>25</v>
      </c>
      <c r="X3523" s="5">
        <f t="shared" si="509"/>
        <v>0.5</v>
      </c>
      <c r="Z3523" s="2" t="s">
        <v>117</v>
      </c>
      <c r="AA3523" s="2" t="s">
        <v>190</v>
      </c>
      <c r="AB3523" s="2" t="s">
        <v>190</v>
      </c>
      <c r="AC3523" s="2" t="s">
        <v>40</v>
      </c>
      <c r="AF3523" s="2">
        <f t="shared" si="514"/>
        <v>0</v>
      </c>
      <c r="AG3523" s="2">
        <f t="shared" si="513"/>
        <v>25</v>
      </c>
      <c r="AJ3523" s="2">
        <f t="shared" si="515"/>
        <v>0</v>
      </c>
      <c r="AK3523" s="2">
        <f t="shared" si="510"/>
        <v>25</v>
      </c>
      <c r="AL3523" s="5">
        <f t="shared" si="511"/>
        <v>0.5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188</v>
      </c>
      <c r="R3524" s="2" t="s">
        <v>189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516">(T3524-W3524)/T3524</f>
        <v>0.6</v>
      </c>
      <c r="Z3524" s="2" t="s">
        <v>117</v>
      </c>
      <c r="AA3524" s="2" t="s">
        <v>190</v>
      </c>
      <c r="AB3524" s="2" t="s">
        <v>189</v>
      </c>
      <c r="AC3524" s="2" t="s">
        <v>40</v>
      </c>
      <c r="AF3524" s="2">
        <f t="shared" si="514"/>
        <v>0</v>
      </c>
      <c r="AG3524" s="2">
        <f t="shared" si="513"/>
        <v>149.6</v>
      </c>
      <c r="AJ3524" s="2">
        <f t="shared" si="515"/>
        <v>0</v>
      </c>
      <c r="AK3524" s="2">
        <f t="shared" ref="AK3524:AK3538" si="517">T3524-W3524</f>
        <v>224.4</v>
      </c>
      <c r="AL3524" s="5">
        <f t="shared" ref="AL3524:AL3538" si="518">(T3524-W3524)/T3524</f>
        <v>0.6</v>
      </c>
    </row>
    <row r="3525" spans="1:38" x14ac:dyDescent="0.2">
      <c r="A3525" s="2">
        <v>2026</v>
      </c>
      <c r="B3525" s="2">
        <v>4</v>
      </c>
      <c r="D3525" s="2" t="s">
        <v>2771</v>
      </c>
      <c r="M3525" s="2" t="s">
        <v>40</v>
      </c>
      <c r="P3525" s="2" t="s">
        <v>187</v>
      </c>
      <c r="Q3525" s="2" t="s">
        <v>191</v>
      </c>
      <c r="R3525" s="2" t="s">
        <v>190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516"/>
        <v>0.5</v>
      </c>
      <c r="Z3525" s="2" t="s">
        <v>117</v>
      </c>
      <c r="AA3525" s="2" t="s">
        <v>190</v>
      </c>
      <c r="AB3525" s="2" t="s">
        <v>190</v>
      </c>
      <c r="AC3525" s="2" t="s">
        <v>40</v>
      </c>
      <c r="AF3525" s="2">
        <f t="shared" si="514"/>
        <v>0</v>
      </c>
      <c r="AG3525" s="2">
        <f t="shared" si="513"/>
        <v>110</v>
      </c>
      <c r="AJ3525" s="2">
        <f t="shared" si="515"/>
        <v>0</v>
      </c>
      <c r="AK3525" s="2">
        <f t="shared" si="517"/>
        <v>110</v>
      </c>
      <c r="AL3525" s="5">
        <f t="shared" si="518"/>
        <v>0.5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188</v>
      </c>
      <c r="R3526" s="2" t="s">
        <v>189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516"/>
        <v>0.6</v>
      </c>
      <c r="Z3526" s="2" t="s">
        <v>117</v>
      </c>
      <c r="AA3526" s="2" t="s">
        <v>190</v>
      </c>
      <c r="AB3526" s="2" t="s">
        <v>189</v>
      </c>
      <c r="AC3526" s="2" t="s">
        <v>40</v>
      </c>
      <c r="AF3526" s="2">
        <f t="shared" si="514"/>
        <v>0</v>
      </c>
      <c r="AG3526" s="2">
        <f t="shared" si="513"/>
        <v>20</v>
      </c>
      <c r="AJ3526" s="2">
        <f t="shared" si="515"/>
        <v>0</v>
      </c>
      <c r="AK3526" s="2">
        <f t="shared" si="517"/>
        <v>30</v>
      </c>
      <c r="AL3526" s="5">
        <f t="shared" si="518"/>
        <v>0.6</v>
      </c>
    </row>
    <row r="3527" spans="1:38" x14ac:dyDescent="0.2">
      <c r="A3527" s="2">
        <v>2026</v>
      </c>
      <c r="B3527" s="2">
        <v>1</v>
      </c>
      <c r="D3527" s="2" t="s">
        <v>1582</v>
      </c>
      <c r="M3527" s="2" t="s">
        <v>40</v>
      </c>
      <c r="P3527" s="2" t="s">
        <v>187</v>
      </c>
      <c r="Q3527" s="2" t="s">
        <v>191</v>
      </c>
      <c r="R3527" s="2" t="s">
        <v>190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516"/>
        <v>0.5</v>
      </c>
      <c r="Z3527" s="2" t="s">
        <v>117</v>
      </c>
      <c r="AA3527" s="2" t="s">
        <v>190</v>
      </c>
      <c r="AB3527" s="2" t="s">
        <v>190</v>
      </c>
      <c r="AC3527" s="2" t="s">
        <v>40</v>
      </c>
      <c r="AF3527" s="2">
        <f t="shared" si="514"/>
        <v>0</v>
      </c>
      <c r="AG3527" s="2">
        <f t="shared" si="513"/>
        <v>31.25</v>
      </c>
      <c r="AJ3527" s="2">
        <f t="shared" si="515"/>
        <v>0</v>
      </c>
      <c r="AK3527" s="2">
        <f t="shared" si="517"/>
        <v>31.25</v>
      </c>
      <c r="AL3527" s="5">
        <f t="shared" si="518"/>
        <v>0.5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188</v>
      </c>
      <c r="R3528" s="2" t="s">
        <v>189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516"/>
        <v>0.6</v>
      </c>
      <c r="Z3528" s="2" t="s">
        <v>117</v>
      </c>
      <c r="AA3528" s="2" t="s">
        <v>190</v>
      </c>
      <c r="AB3528" s="2" t="s">
        <v>189</v>
      </c>
      <c r="AC3528" s="2" t="s">
        <v>40</v>
      </c>
      <c r="AF3528" s="2">
        <f t="shared" si="514"/>
        <v>0</v>
      </c>
      <c r="AG3528" s="2">
        <f t="shared" si="513"/>
        <v>20</v>
      </c>
      <c r="AJ3528" s="2">
        <f t="shared" si="515"/>
        <v>0</v>
      </c>
      <c r="AK3528" s="2">
        <f t="shared" si="517"/>
        <v>30</v>
      </c>
      <c r="AL3528" s="5">
        <f t="shared" si="518"/>
        <v>0.6</v>
      </c>
    </row>
    <row r="3529" spans="1:38" x14ac:dyDescent="0.2">
      <c r="A3529" s="2">
        <v>2026</v>
      </c>
      <c r="B3529" s="2">
        <v>1</v>
      </c>
      <c r="D3529" s="2" t="s">
        <v>500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501</v>
      </c>
      <c r="J3529" s="2" t="s">
        <v>502</v>
      </c>
      <c r="K3529" s="2">
        <v>918010109</v>
      </c>
      <c r="L3529" s="2" t="s">
        <v>99</v>
      </c>
      <c r="M3529" s="2" t="s">
        <v>40</v>
      </c>
      <c r="P3529" s="2" t="s">
        <v>187</v>
      </c>
      <c r="Q3529" s="2" t="s">
        <v>191</v>
      </c>
      <c r="R3529" s="2" t="s">
        <v>190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516"/>
        <v>0.5</v>
      </c>
      <c r="Z3529" s="2" t="s">
        <v>117</v>
      </c>
      <c r="AA3529" s="2" t="s">
        <v>190</v>
      </c>
      <c r="AB3529" s="2" t="s">
        <v>190</v>
      </c>
      <c r="AC3529" s="2" t="s">
        <v>40</v>
      </c>
      <c r="AF3529" s="2">
        <f t="shared" si="514"/>
        <v>0</v>
      </c>
      <c r="AG3529" s="2">
        <f t="shared" si="513"/>
        <v>75</v>
      </c>
      <c r="AJ3529" s="2">
        <f t="shared" si="515"/>
        <v>0</v>
      </c>
      <c r="AK3529" s="2">
        <f t="shared" si="517"/>
        <v>75</v>
      </c>
      <c r="AL3529" s="5">
        <f t="shared" si="518"/>
        <v>0.5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188</v>
      </c>
      <c r="R3530" s="2" t="s">
        <v>189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516"/>
        <v>0.6</v>
      </c>
      <c r="Z3530" s="2" t="s">
        <v>117</v>
      </c>
      <c r="AA3530" s="2" t="s">
        <v>190</v>
      </c>
      <c r="AB3530" s="2" t="s">
        <v>189</v>
      </c>
      <c r="AC3530" s="2" t="s">
        <v>40</v>
      </c>
      <c r="AF3530" s="2">
        <f t="shared" si="514"/>
        <v>0</v>
      </c>
      <c r="AG3530" s="2">
        <f t="shared" si="513"/>
        <v>96</v>
      </c>
      <c r="AJ3530" s="2">
        <f t="shared" si="515"/>
        <v>0</v>
      </c>
      <c r="AK3530" s="2">
        <f t="shared" si="517"/>
        <v>144</v>
      </c>
      <c r="AL3530" s="5">
        <f t="shared" si="518"/>
        <v>0.6</v>
      </c>
    </row>
    <row r="3531" spans="1:38" x14ac:dyDescent="0.2">
      <c r="A3531" s="2">
        <v>2026</v>
      </c>
      <c r="B3531" s="2">
        <v>2</v>
      </c>
      <c r="D3531" s="2" t="s">
        <v>2153</v>
      </c>
      <c r="M3531" s="2" t="s">
        <v>40</v>
      </c>
      <c r="P3531" s="2" t="s">
        <v>187</v>
      </c>
      <c r="Q3531" s="2" t="s">
        <v>191</v>
      </c>
      <c r="R3531" s="2" t="s">
        <v>190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516"/>
        <v>0.5</v>
      </c>
      <c r="Z3531" s="2" t="s">
        <v>117</v>
      </c>
      <c r="AA3531" s="2" t="s">
        <v>190</v>
      </c>
      <c r="AB3531" s="2" t="s">
        <v>190</v>
      </c>
      <c r="AC3531" s="2" t="s">
        <v>40</v>
      </c>
      <c r="AF3531" s="2">
        <f t="shared" si="514"/>
        <v>0</v>
      </c>
      <c r="AG3531" s="2">
        <f t="shared" si="513"/>
        <v>200</v>
      </c>
      <c r="AJ3531" s="2">
        <f t="shared" si="515"/>
        <v>0</v>
      </c>
      <c r="AK3531" s="2">
        <f t="shared" si="517"/>
        <v>200</v>
      </c>
      <c r="AL3531" s="5">
        <f t="shared" si="518"/>
        <v>0.5</v>
      </c>
    </row>
    <row r="3532" spans="1:38" x14ac:dyDescent="0.2">
      <c r="A3532" s="2">
        <v>2026</v>
      </c>
      <c r="B3532" s="2">
        <v>1</v>
      </c>
      <c r="D3532" s="2" t="s">
        <v>509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156</v>
      </c>
      <c r="J3532" s="2" t="s">
        <v>510</v>
      </c>
      <c r="K3532" s="2">
        <v>919770433</v>
      </c>
      <c r="L3532" s="2" t="s">
        <v>99</v>
      </c>
      <c r="M3532" s="2" t="s">
        <v>40</v>
      </c>
      <c r="P3532" s="2" t="s">
        <v>187</v>
      </c>
      <c r="Q3532" s="2" t="s">
        <v>188</v>
      </c>
      <c r="R3532" s="2" t="s">
        <v>189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516"/>
        <v>0.6</v>
      </c>
      <c r="Z3532" s="2" t="s">
        <v>117</v>
      </c>
      <c r="AA3532" s="2" t="s">
        <v>190</v>
      </c>
      <c r="AB3532" s="2" t="s">
        <v>189</v>
      </c>
      <c r="AC3532" s="2" t="s">
        <v>40</v>
      </c>
      <c r="AF3532" s="2">
        <f t="shared" si="514"/>
        <v>0</v>
      </c>
      <c r="AG3532" s="2">
        <f t="shared" si="513"/>
        <v>44</v>
      </c>
      <c r="AJ3532" s="2">
        <f t="shared" si="515"/>
        <v>0</v>
      </c>
      <c r="AK3532" s="2">
        <f t="shared" si="517"/>
        <v>66</v>
      </c>
      <c r="AL3532" s="5">
        <f t="shared" si="518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169</v>
      </c>
      <c r="Q3533" s="2" t="s">
        <v>170</v>
      </c>
      <c r="R3533" s="2" t="s">
        <v>170</v>
      </c>
      <c r="S3533" s="2">
        <v>2</v>
      </c>
      <c r="T3533" s="2">
        <v>39.39</v>
      </c>
      <c r="U3533" s="2">
        <v>9.0597000000000012</v>
      </c>
      <c r="V3533" s="2">
        <v>48.4497</v>
      </c>
      <c r="W3533" s="2">
        <f>40*2</f>
        <v>80</v>
      </c>
      <c r="X3533" s="5">
        <f t="shared" si="516"/>
        <v>-1.0309723280020309</v>
      </c>
      <c r="Z3533" s="2" t="s">
        <v>169</v>
      </c>
      <c r="AA3533" s="2" t="s">
        <v>169</v>
      </c>
      <c r="AF3533" s="2">
        <f t="shared" si="514"/>
        <v>0</v>
      </c>
      <c r="AJ3533" s="2">
        <f t="shared" si="515"/>
        <v>0</v>
      </c>
      <c r="AK3533" s="2">
        <f t="shared" si="517"/>
        <v>-40.61</v>
      </c>
      <c r="AL3533" s="5">
        <f t="shared" si="518"/>
        <v>-1.0309723280020309</v>
      </c>
    </row>
    <row r="3534" spans="1:38" x14ac:dyDescent="0.2">
      <c r="A3534" s="2">
        <v>2026</v>
      </c>
      <c r="B3534" s="2">
        <v>3</v>
      </c>
      <c r="D3534" s="2" t="s">
        <v>936</v>
      </c>
      <c r="E3534" s="2" t="s">
        <v>38</v>
      </c>
      <c r="F3534" s="2" t="s">
        <v>39</v>
      </c>
      <c r="G3534" s="2">
        <v>508868726</v>
      </c>
      <c r="H3534" s="2" t="s">
        <v>290</v>
      </c>
      <c r="I3534" s="2" t="s">
        <v>937</v>
      </c>
      <c r="J3534" s="2" t="s">
        <v>938</v>
      </c>
      <c r="K3534" s="2">
        <v>964771057</v>
      </c>
      <c r="L3534" s="2" t="s">
        <v>339</v>
      </c>
      <c r="M3534" s="2" t="s">
        <v>80</v>
      </c>
      <c r="O3534" s="2" t="s">
        <v>2741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516"/>
        <v>0.23333333333333334</v>
      </c>
      <c r="Z3534" s="2" t="s">
        <v>169</v>
      </c>
      <c r="AA3534" s="2" t="s">
        <v>169</v>
      </c>
      <c r="AF3534" s="2">
        <f t="shared" si="514"/>
        <v>0</v>
      </c>
      <c r="AG3534" s="2">
        <v>23</v>
      </c>
      <c r="AJ3534" s="2">
        <f t="shared" si="515"/>
        <v>0</v>
      </c>
      <c r="AK3534" s="2">
        <f t="shared" si="517"/>
        <v>7</v>
      </c>
      <c r="AL3534" s="5">
        <f t="shared" si="518"/>
        <v>0.23333333333333334</v>
      </c>
    </row>
    <row r="3535" spans="1:38" x14ac:dyDescent="0.2">
      <c r="A3535" s="2">
        <v>2026</v>
      </c>
      <c r="B3535" s="2">
        <v>3</v>
      </c>
      <c r="D3535" s="2" t="s">
        <v>2557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15</v>
      </c>
      <c r="U3535" s="2">
        <v>3.45</v>
      </c>
      <c r="V3535" s="2">
        <v>18.45</v>
      </c>
      <c r="W3535" s="2">
        <v>23</v>
      </c>
      <c r="X3535" s="5">
        <f t="shared" si="516"/>
        <v>-0.53333333333333333</v>
      </c>
      <c r="Z3535" s="2" t="s">
        <v>169</v>
      </c>
      <c r="AA3535" s="2" t="s">
        <v>169</v>
      </c>
      <c r="AF3535" s="2">
        <f t="shared" si="514"/>
        <v>0</v>
      </c>
      <c r="AJ3535" s="2">
        <f t="shared" si="515"/>
        <v>0</v>
      </c>
      <c r="AK3535" s="2">
        <f t="shared" si="517"/>
        <v>-8</v>
      </c>
      <c r="AL3535" s="5">
        <f t="shared" si="518"/>
        <v>-0.53333333333333333</v>
      </c>
    </row>
    <row r="3536" spans="1:38" x14ac:dyDescent="0.2">
      <c r="A3536" s="2">
        <v>2026</v>
      </c>
      <c r="B3536" s="2">
        <v>3</v>
      </c>
      <c r="D3536" s="2" t="s">
        <v>843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418</v>
      </c>
      <c r="K3536" s="2" t="s">
        <v>844</v>
      </c>
      <c r="L3536" s="2" t="s">
        <v>418</v>
      </c>
      <c r="M3536" s="2" t="s">
        <v>41</v>
      </c>
      <c r="O3536" s="2" t="s">
        <v>2670</v>
      </c>
      <c r="P3536" s="2" t="s">
        <v>169</v>
      </c>
      <c r="Q3536" s="2" t="s">
        <v>170</v>
      </c>
      <c r="R3536" s="2" t="s">
        <v>170</v>
      </c>
      <c r="S3536" s="2">
        <v>1</v>
      </c>
      <c r="T3536" s="2">
        <v>5</v>
      </c>
      <c r="U3536" s="2">
        <v>1.1499999999999999</v>
      </c>
      <c r="V3536" s="2">
        <v>6.15</v>
      </c>
      <c r="W3536" s="2">
        <v>6</v>
      </c>
      <c r="X3536" s="5">
        <f t="shared" si="516"/>
        <v>-0.2</v>
      </c>
      <c r="Z3536" s="2" t="s">
        <v>169</v>
      </c>
      <c r="AA3536" s="2" t="s">
        <v>169</v>
      </c>
      <c r="AF3536" s="2">
        <f t="shared" si="514"/>
        <v>0</v>
      </c>
      <c r="AJ3536" s="2">
        <f t="shared" si="515"/>
        <v>0</v>
      </c>
      <c r="AK3536" s="2">
        <f t="shared" si="517"/>
        <v>-1</v>
      </c>
      <c r="AL3536" s="5">
        <f t="shared" si="518"/>
        <v>-0.2</v>
      </c>
    </row>
    <row r="3537" spans="1:38" x14ac:dyDescent="0.2">
      <c r="A3537" s="2">
        <v>2026</v>
      </c>
      <c r="B3537" s="2">
        <v>4</v>
      </c>
      <c r="D3537" s="2" t="s">
        <v>689</v>
      </c>
      <c r="E3537" s="2" t="s">
        <v>108</v>
      </c>
      <c r="F3537" s="2" t="s">
        <v>39</v>
      </c>
      <c r="G3537" s="2">
        <v>503589950</v>
      </c>
      <c r="H3537" s="2" t="s">
        <v>41</v>
      </c>
      <c r="I3537" s="2" t="s">
        <v>610</v>
      </c>
      <c r="J3537" s="2" t="s">
        <v>690</v>
      </c>
      <c r="K3537" s="2">
        <v>913036545</v>
      </c>
      <c r="L3537" s="2" t="s">
        <v>177</v>
      </c>
      <c r="M3537" s="2" t="s">
        <v>41</v>
      </c>
      <c r="O3537" s="2" t="s">
        <v>2613</v>
      </c>
      <c r="P3537" s="2" t="s">
        <v>84</v>
      </c>
      <c r="Q3537" s="2" t="s">
        <v>1211</v>
      </c>
      <c r="R3537" s="2" t="s">
        <v>1212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516"/>
        <v>1</v>
      </c>
      <c r="Z3537" s="2" t="s">
        <v>3226</v>
      </c>
      <c r="AA3537" s="2" t="s">
        <v>87</v>
      </c>
      <c r="AB3537" s="2" t="s">
        <v>90</v>
      </c>
      <c r="AC3537" s="2" t="s">
        <v>84</v>
      </c>
      <c r="AF3537" s="2">
        <f t="shared" si="514"/>
        <v>0</v>
      </c>
      <c r="AJ3537" s="2">
        <f t="shared" si="515"/>
        <v>0</v>
      </c>
      <c r="AK3537" s="2">
        <f t="shared" si="517"/>
        <v>15.4</v>
      </c>
      <c r="AL3537" s="5">
        <f t="shared" si="518"/>
        <v>1</v>
      </c>
    </row>
    <row r="3538" spans="1:38" x14ac:dyDescent="0.2">
      <c r="A3538" s="2">
        <v>2026</v>
      </c>
      <c r="B3538" s="2">
        <v>3</v>
      </c>
      <c r="D3538" s="2" t="s">
        <v>525</v>
      </c>
      <c r="E3538" s="2" t="s">
        <v>108</v>
      </c>
      <c r="F3538" s="2" t="s">
        <v>39</v>
      </c>
      <c r="G3538" s="2">
        <v>509391583</v>
      </c>
      <c r="H3538" s="2" t="s">
        <v>40</v>
      </c>
      <c r="I3538" s="2" t="s">
        <v>526</v>
      </c>
      <c r="J3538" s="2" t="s">
        <v>527</v>
      </c>
      <c r="L3538" s="2" t="s">
        <v>344</v>
      </c>
      <c r="P3538" s="2" t="s">
        <v>169</v>
      </c>
      <c r="Q3538" s="2" t="s">
        <v>170</v>
      </c>
      <c r="R3538" s="2" t="s">
        <v>170</v>
      </c>
      <c r="S3538" s="2">
        <v>1</v>
      </c>
      <c r="T3538" s="2">
        <v>5</v>
      </c>
      <c r="U3538" s="2">
        <v>1.1499999999999999</v>
      </c>
      <c r="V3538" s="2">
        <v>6.15</v>
      </c>
      <c r="W3538" s="2">
        <v>6</v>
      </c>
      <c r="X3538" s="5">
        <f t="shared" si="516"/>
        <v>-0.2</v>
      </c>
      <c r="Z3538" s="2" t="s">
        <v>169</v>
      </c>
      <c r="AA3538" s="2" t="s">
        <v>169</v>
      </c>
      <c r="AF3538" s="2">
        <f t="shared" si="514"/>
        <v>0</v>
      </c>
      <c r="AJ3538" s="2">
        <f t="shared" si="515"/>
        <v>0</v>
      </c>
      <c r="AK3538" s="2">
        <f t="shared" si="517"/>
        <v>-1</v>
      </c>
      <c r="AL3538" s="5">
        <f t="shared" si="518"/>
        <v>-0.2</v>
      </c>
    </row>
    <row r="3539" spans="1:38" x14ac:dyDescent="0.2">
      <c r="A3539" s="2">
        <v>2026</v>
      </c>
      <c r="B3539" s="2">
        <v>3</v>
      </c>
      <c r="D3539" s="2" t="s">
        <v>530</v>
      </c>
      <c r="E3539" s="2" t="s">
        <v>108</v>
      </c>
      <c r="F3539" s="2" t="s">
        <v>531</v>
      </c>
      <c r="G3539" s="2">
        <v>502139552</v>
      </c>
      <c r="H3539" s="2" t="s">
        <v>40</v>
      </c>
      <c r="I3539" s="2" t="s">
        <v>339</v>
      </c>
      <c r="J3539" s="2" t="s">
        <v>532</v>
      </c>
      <c r="L3539" s="2" t="s">
        <v>339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119</v>
      </c>
      <c r="AA3539" s="2" t="s">
        <v>142</v>
      </c>
      <c r="AF3539" s="2">
        <f t="shared" si="514"/>
        <v>0</v>
      </c>
      <c r="AJ3539" s="2">
        <f t="shared" si="515"/>
        <v>0</v>
      </c>
    </row>
    <row r="3540" spans="1:38" x14ac:dyDescent="0.2">
      <c r="A3540" s="2">
        <v>2026</v>
      </c>
      <c r="B3540" s="2">
        <v>3</v>
      </c>
      <c r="D3540" s="2" t="s">
        <v>1660</v>
      </c>
      <c r="M3540" s="2" t="s">
        <v>40</v>
      </c>
      <c r="P3540" s="2" t="s">
        <v>40</v>
      </c>
      <c r="Q3540" s="2" t="s">
        <v>140</v>
      </c>
      <c r="R3540" s="2" t="s">
        <v>141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119</v>
      </c>
      <c r="AA3540" s="2" t="s">
        <v>142</v>
      </c>
      <c r="AF3540" s="2">
        <f t="shared" si="514"/>
        <v>0</v>
      </c>
      <c r="AJ3540" s="2">
        <f t="shared" si="515"/>
        <v>0</v>
      </c>
    </row>
    <row r="3541" spans="1:38" x14ac:dyDescent="0.2">
      <c r="A3541" s="2">
        <v>2026</v>
      </c>
      <c r="B3541" s="2">
        <v>3</v>
      </c>
      <c r="D3541" s="2" t="s">
        <v>1355</v>
      </c>
      <c r="E3541" s="2" t="s">
        <v>752</v>
      </c>
      <c r="F3541" s="2" t="s">
        <v>39</v>
      </c>
      <c r="G3541" s="2">
        <v>518238334</v>
      </c>
      <c r="H3541" s="2" t="s">
        <v>41</v>
      </c>
      <c r="I3541" s="2" t="s">
        <v>762</v>
      </c>
      <c r="J3541" s="2" t="s">
        <v>1356</v>
      </c>
      <c r="L3541" s="2" t="s">
        <v>418</v>
      </c>
      <c r="M3541" s="2" t="s">
        <v>40</v>
      </c>
      <c r="P3541" s="2" t="s">
        <v>187</v>
      </c>
      <c r="Q3541" s="2" t="s">
        <v>1308</v>
      </c>
      <c r="R3541" s="2" t="s">
        <v>1309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519">(T3541-W3541)/T3541</f>
        <v>1</v>
      </c>
      <c r="Z3541" s="2" t="s">
        <v>117</v>
      </c>
      <c r="AA3541" s="2" t="s">
        <v>1310</v>
      </c>
      <c r="AF3541" s="2">
        <f t="shared" si="514"/>
        <v>0</v>
      </c>
      <c r="AJ3541" s="2">
        <f t="shared" si="515"/>
        <v>0</v>
      </c>
      <c r="AK3541" s="2">
        <f t="shared" ref="AK3541:AK3546" si="520">T3541-W3541</f>
        <v>111</v>
      </c>
      <c r="AL3541" s="5">
        <f t="shared" ref="AL3541:AL3546" si="521">(T3541-W3541)/T3541</f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80</v>
      </c>
      <c r="O3542" s="2" t="s">
        <v>2772</v>
      </c>
      <c r="P3542" s="2" t="s">
        <v>93</v>
      </c>
      <c r="Q3542" s="2" t="s">
        <v>94</v>
      </c>
      <c r="R3542" s="2" t="s">
        <v>95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519"/>
        <v>2.000401846171453E-16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14"/>
        <v>0</v>
      </c>
      <c r="AJ3542" s="2">
        <f t="shared" si="515"/>
        <v>0</v>
      </c>
      <c r="AK3542" s="2">
        <f t="shared" si="520"/>
        <v>0</v>
      </c>
      <c r="AL3542" s="5">
        <f t="shared" si="521"/>
        <v>2.000401846171453E-16</v>
      </c>
    </row>
    <row r="3543" spans="1:38" x14ac:dyDescent="0.2">
      <c r="A3543" s="2">
        <v>2026</v>
      </c>
      <c r="B3543" s="2">
        <v>3</v>
      </c>
      <c r="D3543" s="2" t="s">
        <v>2727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19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14"/>
        <v>0</v>
      </c>
      <c r="AJ3543" s="2">
        <f t="shared" si="515"/>
        <v>0</v>
      </c>
      <c r="AK3543" s="2">
        <f t="shared" si="520"/>
        <v>0</v>
      </c>
      <c r="AL3543" s="5">
        <f t="shared" si="521"/>
        <v>0</v>
      </c>
    </row>
    <row r="3544" spans="1:38" x14ac:dyDescent="0.2">
      <c r="A3544" s="2">
        <v>2026</v>
      </c>
      <c r="B3544" s="2">
        <v>3</v>
      </c>
      <c r="D3544" s="2" t="s">
        <v>936</v>
      </c>
      <c r="E3544" s="2" t="s">
        <v>38</v>
      </c>
      <c r="F3544" s="2" t="s">
        <v>39</v>
      </c>
      <c r="G3544" s="2">
        <v>508868726</v>
      </c>
      <c r="H3544" s="2" t="s">
        <v>290</v>
      </c>
      <c r="I3544" s="2" t="s">
        <v>937</v>
      </c>
      <c r="J3544" s="2" t="s">
        <v>938</v>
      </c>
      <c r="K3544" s="2">
        <v>964771057</v>
      </c>
      <c r="L3544" s="2" t="s">
        <v>339</v>
      </c>
      <c r="M3544" s="2" t="s">
        <v>80</v>
      </c>
      <c r="O3544" s="2" t="s">
        <v>2741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19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14"/>
        <v>0</v>
      </c>
      <c r="AG3544" s="2">
        <v>1.48</v>
      </c>
      <c r="AH3544" s="2">
        <v>1.48</v>
      </c>
      <c r="AJ3544" s="2">
        <f t="shared" si="515"/>
        <v>0</v>
      </c>
      <c r="AK3544" s="2">
        <f t="shared" si="520"/>
        <v>0</v>
      </c>
      <c r="AL3544" s="5">
        <f t="shared" si="521"/>
        <v>0</v>
      </c>
    </row>
    <row r="3545" spans="1:38" x14ac:dyDescent="0.2">
      <c r="A3545" s="2">
        <v>2026</v>
      </c>
      <c r="B3545" s="2">
        <v>3</v>
      </c>
      <c r="D3545" s="2" t="s">
        <v>2723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19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14"/>
        <v>0</v>
      </c>
      <c r="AJ3545" s="2">
        <f t="shared" si="515"/>
        <v>0</v>
      </c>
      <c r="AK3545" s="2">
        <f t="shared" si="520"/>
        <v>0</v>
      </c>
      <c r="AL3545" s="5">
        <f t="shared" si="521"/>
        <v>0</v>
      </c>
    </row>
    <row r="3546" spans="1:38" x14ac:dyDescent="0.2">
      <c r="A3546" s="2">
        <v>2026</v>
      </c>
      <c r="B3546" s="2">
        <v>3</v>
      </c>
      <c r="D3546" s="2" t="s">
        <v>1150</v>
      </c>
      <c r="E3546" s="2" t="s">
        <v>108</v>
      </c>
      <c r="F3546" s="2" t="s">
        <v>39</v>
      </c>
      <c r="G3546" s="2">
        <v>504039733</v>
      </c>
      <c r="H3546" s="2" t="s">
        <v>109</v>
      </c>
      <c r="I3546" s="2" t="s">
        <v>2478</v>
      </c>
      <c r="J3546" s="2" t="s">
        <v>1473</v>
      </c>
      <c r="K3546" s="2">
        <v>938183284</v>
      </c>
      <c r="L3546" s="2" t="s">
        <v>133</v>
      </c>
      <c r="M3546" s="2" t="s">
        <v>109</v>
      </c>
      <c r="O3546" s="2" t="s">
        <v>2734</v>
      </c>
      <c r="P3546" s="2" t="s">
        <v>93</v>
      </c>
      <c r="Q3546" s="2" t="s">
        <v>94</v>
      </c>
      <c r="R3546" s="2" t="s">
        <v>95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519"/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14"/>
        <v>0</v>
      </c>
      <c r="AJ3546" s="2">
        <f t="shared" si="515"/>
        <v>0</v>
      </c>
      <c r="AK3546" s="2">
        <f t="shared" si="520"/>
        <v>0</v>
      </c>
      <c r="AL3546" s="5">
        <f t="shared" si="521"/>
        <v>0</v>
      </c>
    </row>
    <row r="3547" spans="1:38" x14ac:dyDescent="0.2">
      <c r="A3547" s="2">
        <v>2026</v>
      </c>
      <c r="B3547" s="2">
        <v>3</v>
      </c>
      <c r="C3547" s="2" t="s">
        <v>3319</v>
      </c>
      <c r="D3547" s="2" t="s">
        <v>1162</v>
      </c>
      <c r="E3547" s="2" t="s">
        <v>752</v>
      </c>
      <c r="F3547" s="2" t="s">
        <v>1217</v>
      </c>
      <c r="G3547" s="2">
        <v>508199280</v>
      </c>
      <c r="H3547" s="2" t="s">
        <v>40</v>
      </c>
      <c r="I3547" s="2" t="s">
        <v>1163</v>
      </c>
      <c r="L3547" s="2" t="s">
        <v>293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14"/>
        <v>0</v>
      </c>
      <c r="AJ3547" s="2">
        <f t="shared" si="515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314</v>
      </c>
      <c r="E3548" s="2" t="s">
        <v>108</v>
      </c>
      <c r="G3548" s="2">
        <v>503270520</v>
      </c>
      <c r="H3548" s="2" t="s">
        <v>40</v>
      </c>
      <c r="I3548" s="2" t="s">
        <v>315</v>
      </c>
      <c r="J3548" s="2" t="s">
        <v>316</v>
      </c>
      <c r="L3548" s="2" t="s">
        <v>99</v>
      </c>
      <c r="M3548" s="2" t="s">
        <v>80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522">(T3548-W3548)/T3548</f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14"/>
        <v>0</v>
      </c>
      <c r="AJ3548" s="2">
        <f t="shared" si="515"/>
        <v>0</v>
      </c>
      <c r="AK3548" s="2">
        <f t="shared" ref="AK3548:AK3579" si="523">T3548-W3548</f>
        <v>0</v>
      </c>
      <c r="AL3548" s="5">
        <f t="shared" ref="AL3548:AL3579" si="524">(T3548-W3548)/T3548</f>
        <v>0</v>
      </c>
    </row>
    <row r="3549" spans="1:38" x14ac:dyDescent="0.2">
      <c r="A3549" s="2">
        <v>2026</v>
      </c>
      <c r="B3549" s="2">
        <v>3</v>
      </c>
      <c r="D3549" s="2" t="s">
        <v>2729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22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14"/>
        <v>0</v>
      </c>
      <c r="AJ3549" s="2">
        <f t="shared" si="515"/>
        <v>0</v>
      </c>
      <c r="AK3549" s="2">
        <f t="shared" si="523"/>
        <v>0</v>
      </c>
      <c r="AL3549" s="5">
        <f t="shared" si="524"/>
        <v>0</v>
      </c>
    </row>
    <row r="3550" spans="1:38" x14ac:dyDescent="0.2">
      <c r="A3550" s="2">
        <v>2026</v>
      </c>
      <c r="B3550" s="2">
        <v>3</v>
      </c>
      <c r="D3550" s="2" t="s">
        <v>2557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22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14"/>
        <v>0</v>
      </c>
      <c r="AJ3550" s="2">
        <f t="shared" si="515"/>
        <v>0</v>
      </c>
      <c r="AK3550" s="2">
        <f t="shared" si="523"/>
        <v>0</v>
      </c>
      <c r="AL3550" s="5">
        <f t="shared" si="524"/>
        <v>0</v>
      </c>
    </row>
    <row r="3551" spans="1:38" x14ac:dyDescent="0.2">
      <c r="A3551" s="2">
        <v>2026</v>
      </c>
      <c r="B3551" s="2">
        <v>3</v>
      </c>
      <c r="D3551" s="2" t="s">
        <v>749</v>
      </c>
      <c r="E3551" s="2" t="s">
        <v>108</v>
      </c>
      <c r="F3551" s="2" t="s">
        <v>39</v>
      </c>
      <c r="G3551" s="2">
        <v>510039537</v>
      </c>
      <c r="H3551" s="2" t="s">
        <v>40</v>
      </c>
      <c r="I3551" s="2" t="s">
        <v>571</v>
      </c>
      <c r="J3551" s="2" t="s">
        <v>750</v>
      </c>
      <c r="K3551" s="2">
        <v>969042927</v>
      </c>
      <c r="L3551" s="2" t="s">
        <v>571</v>
      </c>
      <c r="M3551" s="2" t="s">
        <v>80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22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14"/>
        <v>0</v>
      </c>
      <c r="AJ3551" s="2">
        <f t="shared" si="515"/>
        <v>0</v>
      </c>
      <c r="AK3551" s="2">
        <f t="shared" si="523"/>
        <v>0</v>
      </c>
      <c r="AL3551" s="5">
        <f t="shared" si="524"/>
        <v>0</v>
      </c>
    </row>
    <row r="3552" spans="1:38" x14ac:dyDescent="0.2">
      <c r="A3552" s="2">
        <v>2026</v>
      </c>
      <c r="B3552" s="2">
        <v>3</v>
      </c>
      <c r="D3552" s="2" t="s">
        <v>996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22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14"/>
        <v>0</v>
      </c>
      <c r="AJ3552" s="2">
        <f t="shared" si="515"/>
        <v>0</v>
      </c>
      <c r="AK3552" s="2">
        <f t="shared" si="523"/>
        <v>0</v>
      </c>
      <c r="AL3552" s="5">
        <f t="shared" si="524"/>
        <v>0</v>
      </c>
    </row>
    <row r="3553" spans="1:38" x14ac:dyDescent="0.2">
      <c r="A3553" s="2">
        <v>2026</v>
      </c>
      <c r="B3553" s="2">
        <v>3</v>
      </c>
      <c r="D3553" s="2" t="s">
        <v>774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22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14"/>
        <v>0</v>
      </c>
      <c r="AJ3553" s="2">
        <f t="shared" si="515"/>
        <v>0</v>
      </c>
      <c r="AK3553" s="2">
        <f t="shared" si="523"/>
        <v>0</v>
      </c>
      <c r="AL3553" s="5">
        <f t="shared" si="524"/>
        <v>0</v>
      </c>
    </row>
    <row r="3554" spans="1:38" x14ac:dyDescent="0.2">
      <c r="A3554" s="2">
        <v>2026</v>
      </c>
      <c r="B3554" s="2">
        <v>3</v>
      </c>
      <c r="D3554" s="2" t="s">
        <v>428</v>
      </c>
      <c r="E3554" s="2" t="s">
        <v>38</v>
      </c>
      <c r="G3554" s="2">
        <v>500820384</v>
      </c>
      <c r="H3554" s="2" t="s">
        <v>40</v>
      </c>
      <c r="I3554" s="2" t="s">
        <v>429</v>
      </c>
      <c r="J3554" s="2" t="s">
        <v>430</v>
      </c>
      <c r="L3554" s="2" t="s">
        <v>99</v>
      </c>
      <c r="M3554" s="2" t="s">
        <v>80</v>
      </c>
      <c r="O3554" s="2" t="s">
        <v>2710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22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14"/>
        <v>0</v>
      </c>
      <c r="AJ3554" s="2">
        <f t="shared" si="515"/>
        <v>0</v>
      </c>
      <c r="AK3554" s="2">
        <f t="shared" si="523"/>
        <v>0</v>
      </c>
      <c r="AL3554" s="5">
        <f t="shared" si="524"/>
        <v>0</v>
      </c>
    </row>
    <row r="3555" spans="1:38" x14ac:dyDescent="0.2">
      <c r="A3555" s="2">
        <v>2026</v>
      </c>
      <c r="B3555" s="2">
        <v>3</v>
      </c>
      <c r="D3555" s="2" t="s">
        <v>1553</v>
      </c>
      <c r="E3555" s="2" t="s">
        <v>108</v>
      </c>
      <c r="F3555" s="2" t="s">
        <v>717</v>
      </c>
      <c r="G3555" s="2">
        <v>500975914</v>
      </c>
      <c r="H3555" s="2" t="s">
        <v>41</v>
      </c>
      <c r="I3555" s="2" t="s">
        <v>1554</v>
      </c>
      <c r="J3555" s="2" t="s">
        <v>1555</v>
      </c>
      <c r="L3555" s="2" t="s">
        <v>177</v>
      </c>
      <c r="M3555" s="2" t="s">
        <v>41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22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14"/>
        <v>0</v>
      </c>
      <c r="AJ3555" s="2">
        <f t="shared" si="515"/>
        <v>0</v>
      </c>
      <c r="AK3555" s="2">
        <f t="shared" si="523"/>
        <v>0</v>
      </c>
      <c r="AL3555" s="5">
        <f t="shared" si="524"/>
        <v>0</v>
      </c>
    </row>
    <row r="3556" spans="1:38" x14ac:dyDescent="0.2">
      <c r="A3556" s="2">
        <v>2026</v>
      </c>
      <c r="B3556" s="2">
        <v>3</v>
      </c>
      <c r="D3556" s="2" t="s">
        <v>2714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22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14"/>
        <v>0</v>
      </c>
      <c r="AJ3556" s="2">
        <f t="shared" si="515"/>
        <v>0</v>
      </c>
      <c r="AK3556" s="2">
        <f t="shared" si="523"/>
        <v>0</v>
      </c>
      <c r="AL3556" s="5">
        <f t="shared" si="524"/>
        <v>0</v>
      </c>
    </row>
    <row r="3557" spans="1:38" x14ac:dyDescent="0.2">
      <c r="A3557" s="2">
        <v>2026</v>
      </c>
      <c r="B3557" s="2">
        <v>3</v>
      </c>
      <c r="D3557" s="2" t="s">
        <v>2143</v>
      </c>
      <c r="I3557" s="2" t="s">
        <v>315</v>
      </c>
      <c r="L3557" s="2" t="s">
        <v>99</v>
      </c>
      <c r="M3557" s="2" t="s">
        <v>80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22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14"/>
        <v>0</v>
      </c>
      <c r="AJ3557" s="2">
        <f t="shared" si="515"/>
        <v>0</v>
      </c>
      <c r="AK3557" s="2">
        <f t="shared" si="523"/>
        <v>0</v>
      </c>
      <c r="AL3557" s="5">
        <f t="shared" si="524"/>
        <v>0</v>
      </c>
    </row>
    <row r="3558" spans="1:38" x14ac:dyDescent="0.2">
      <c r="A3558" s="2">
        <v>2026</v>
      </c>
      <c r="B3558" s="2">
        <v>3</v>
      </c>
      <c r="C3558" s="2" t="s">
        <v>3420</v>
      </c>
      <c r="D3558" s="2" t="s">
        <v>485</v>
      </c>
      <c r="E3558" s="2" t="s">
        <v>108</v>
      </c>
      <c r="F3558" s="2" t="s">
        <v>39</v>
      </c>
      <c r="G3558" s="2">
        <v>506834689</v>
      </c>
      <c r="H3558" s="2" t="s">
        <v>41</v>
      </c>
      <c r="I3558" s="2" t="s">
        <v>486</v>
      </c>
      <c r="J3558" s="2" t="s">
        <v>487</v>
      </c>
      <c r="K3558" s="2">
        <v>919866237</v>
      </c>
      <c r="L3558" s="2" t="s">
        <v>461</v>
      </c>
      <c r="M3558" s="2" t="s">
        <v>41</v>
      </c>
      <c r="P3558" s="2" t="s">
        <v>93</v>
      </c>
      <c r="Q3558" s="2" t="s">
        <v>94</v>
      </c>
      <c r="R3558" s="2" t="s">
        <v>95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522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14"/>
        <v>0</v>
      </c>
      <c r="AJ3558" s="2">
        <f t="shared" si="515"/>
        <v>0</v>
      </c>
      <c r="AK3558" s="2">
        <f t="shared" si="523"/>
        <v>0</v>
      </c>
      <c r="AL3558" s="5">
        <f t="shared" si="524"/>
        <v>0</v>
      </c>
    </row>
    <row r="3559" spans="1:38" x14ac:dyDescent="0.2">
      <c r="A3559" s="2">
        <v>2026</v>
      </c>
      <c r="B3559" s="2">
        <v>3</v>
      </c>
      <c r="D3559" s="2" t="s">
        <v>1255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522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14"/>
        <v>0</v>
      </c>
      <c r="AJ3559" s="2">
        <f t="shared" si="515"/>
        <v>0</v>
      </c>
      <c r="AK3559" s="2">
        <f t="shared" si="523"/>
        <v>0</v>
      </c>
      <c r="AL3559" s="5">
        <f t="shared" si="524"/>
        <v>0</v>
      </c>
    </row>
    <row r="3560" spans="1:38" x14ac:dyDescent="0.2">
      <c r="A3560" s="2">
        <v>2026</v>
      </c>
      <c r="B3560" s="2">
        <v>3</v>
      </c>
      <c r="D3560" s="2" t="s">
        <v>1256</v>
      </c>
      <c r="P3560" s="2" t="s">
        <v>93</v>
      </c>
      <c r="Q3560" s="2" t="s">
        <v>94</v>
      </c>
      <c r="R3560" s="2" t="s">
        <v>95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522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14"/>
        <v>0</v>
      </c>
      <c r="AJ3560" s="2">
        <f t="shared" si="515"/>
        <v>0</v>
      </c>
      <c r="AK3560" s="2">
        <f t="shared" si="523"/>
        <v>0</v>
      </c>
      <c r="AL3560" s="5">
        <f t="shared" si="524"/>
        <v>0</v>
      </c>
    </row>
    <row r="3561" spans="1:38" x14ac:dyDescent="0.2">
      <c r="A3561" s="2">
        <v>2026</v>
      </c>
      <c r="B3561" s="2">
        <v>3</v>
      </c>
      <c r="D3561" s="2" t="s">
        <v>1053</v>
      </c>
      <c r="E3561" s="2" t="s">
        <v>183</v>
      </c>
      <c r="F3561" s="2" t="s">
        <v>1054</v>
      </c>
      <c r="G3561" s="2">
        <v>500199523</v>
      </c>
      <c r="H3561" s="2" t="s">
        <v>290</v>
      </c>
      <c r="I3561" s="2" t="s">
        <v>293</v>
      </c>
      <c r="J3561" s="2" t="s">
        <v>1055</v>
      </c>
      <c r="L3561" s="2" t="s">
        <v>293</v>
      </c>
      <c r="M3561" s="2" t="s">
        <v>80</v>
      </c>
      <c r="O3561" s="2" t="s">
        <v>2773</v>
      </c>
      <c r="P3561" s="2" t="s">
        <v>93</v>
      </c>
      <c r="Q3561" s="2" t="s">
        <v>94</v>
      </c>
      <c r="R3561" s="2" t="s">
        <v>95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522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14"/>
        <v>0</v>
      </c>
      <c r="AJ3561" s="2">
        <f t="shared" si="515"/>
        <v>0</v>
      </c>
      <c r="AK3561" s="2">
        <f t="shared" si="523"/>
        <v>0</v>
      </c>
      <c r="AL3561" s="5">
        <f t="shared" si="524"/>
        <v>0</v>
      </c>
    </row>
    <row r="3562" spans="1:38" x14ac:dyDescent="0.2">
      <c r="A3562" s="2">
        <v>2026</v>
      </c>
      <c r="B3562" s="2">
        <v>3</v>
      </c>
      <c r="D3562" s="2" t="s">
        <v>507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177</v>
      </c>
      <c r="J3562" s="2" t="s">
        <v>3133</v>
      </c>
      <c r="L3562" s="2" t="s">
        <v>177</v>
      </c>
      <c r="M3562" s="2" t="s">
        <v>41</v>
      </c>
      <c r="O3562" s="2" t="s">
        <v>2731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22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14"/>
        <v>0</v>
      </c>
      <c r="AJ3562" s="2">
        <f t="shared" si="515"/>
        <v>0</v>
      </c>
      <c r="AK3562" s="2">
        <f t="shared" si="523"/>
        <v>0</v>
      </c>
      <c r="AL3562" s="5">
        <f t="shared" si="524"/>
        <v>0</v>
      </c>
    </row>
    <row r="3563" spans="1:38" x14ac:dyDescent="0.2">
      <c r="A3563" s="2">
        <v>2026</v>
      </c>
      <c r="B3563" s="2">
        <v>3</v>
      </c>
      <c r="D3563" s="2" t="s">
        <v>2725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22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14"/>
        <v>0</v>
      </c>
      <c r="AJ3563" s="2">
        <f t="shared" si="515"/>
        <v>0</v>
      </c>
      <c r="AK3563" s="2">
        <f t="shared" si="523"/>
        <v>0</v>
      </c>
      <c r="AL3563" s="5">
        <f t="shared" si="524"/>
        <v>0</v>
      </c>
    </row>
    <row r="3564" spans="1:38" x14ac:dyDescent="0.2">
      <c r="A3564" s="2">
        <v>2026</v>
      </c>
      <c r="B3564" s="2">
        <v>3</v>
      </c>
      <c r="D3564" s="2" t="s">
        <v>1418</v>
      </c>
      <c r="E3564" s="2" t="s">
        <v>108</v>
      </c>
      <c r="F3564" s="2" t="s">
        <v>39</v>
      </c>
      <c r="G3564" s="2">
        <v>502696338</v>
      </c>
      <c r="H3564" s="2" t="s">
        <v>40</v>
      </c>
      <c r="I3564" s="2" t="s">
        <v>2411</v>
      </c>
      <c r="J3564" s="2" t="s">
        <v>2412</v>
      </c>
      <c r="L3564" s="2" t="s">
        <v>201</v>
      </c>
      <c r="M3564" s="2" t="s">
        <v>80</v>
      </c>
      <c r="O3564" s="2" t="s">
        <v>2718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22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14"/>
        <v>0</v>
      </c>
      <c r="AJ3564" s="2">
        <f t="shared" si="515"/>
        <v>0</v>
      </c>
      <c r="AK3564" s="2">
        <f t="shared" si="523"/>
        <v>0</v>
      </c>
      <c r="AL3564" s="5">
        <f t="shared" si="524"/>
        <v>0</v>
      </c>
    </row>
    <row r="3565" spans="1:38" x14ac:dyDescent="0.2">
      <c r="A3565" s="2">
        <v>2026</v>
      </c>
      <c r="B3565" s="2">
        <v>3</v>
      </c>
      <c r="D3565" s="2" t="s">
        <v>1419</v>
      </c>
      <c r="E3565" s="2" t="s">
        <v>108</v>
      </c>
      <c r="F3565" s="2" t="s">
        <v>39</v>
      </c>
      <c r="G3565" s="2">
        <v>513795855</v>
      </c>
      <c r="H3565" s="2" t="s">
        <v>41</v>
      </c>
      <c r="I3565" s="2" t="s">
        <v>1272</v>
      </c>
      <c r="J3565" s="2" t="s">
        <v>2394</v>
      </c>
      <c r="L3565" s="2" t="s">
        <v>177</v>
      </c>
      <c r="M3565" s="2" t="s">
        <v>41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22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14"/>
        <v>0</v>
      </c>
      <c r="AJ3565" s="2">
        <f t="shared" si="515"/>
        <v>0</v>
      </c>
      <c r="AK3565" s="2">
        <f t="shared" si="523"/>
        <v>0</v>
      </c>
      <c r="AL3565" s="5">
        <f t="shared" si="524"/>
        <v>0</v>
      </c>
    </row>
    <row r="3566" spans="1:38" x14ac:dyDescent="0.2">
      <c r="A3566" s="2">
        <v>2026</v>
      </c>
      <c r="B3566" s="2">
        <v>3</v>
      </c>
      <c r="D3566" s="2" t="s">
        <v>549</v>
      </c>
      <c r="E3566" s="2" t="s">
        <v>108</v>
      </c>
      <c r="F3566" s="2" t="s">
        <v>395</v>
      </c>
      <c r="G3566" s="2">
        <v>503641790</v>
      </c>
      <c r="H3566" s="2" t="s">
        <v>40</v>
      </c>
      <c r="I3566" s="2" t="s">
        <v>550</v>
      </c>
      <c r="J3566" s="2" t="s">
        <v>551</v>
      </c>
      <c r="K3566" s="2">
        <v>917753665</v>
      </c>
      <c r="L3566" s="2" t="s">
        <v>99</v>
      </c>
      <c r="M3566" s="2" t="s">
        <v>80</v>
      </c>
      <c r="O3566" s="2" t="s">
        <v>2708</v>
      </c>
      <c r="P3566" s="2" t="s">
        <v>93</v>
      </c>
      <c r="Q3566" s="2" t="s">
        <v>94</v>
      </c>
      <c r="R3566" s="2" t="s">
        <v>95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522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14"/>
        <v>0</v>
      </c>
      <c r="AG3566" s="2">
        <v>1.48</v>
      </c>
      <c r="AH3566" s="2">
        <v>1.48</v>
      </c>
      <c r="AJ3566" s="2">
        <f t="shared" si="515"/>
        <v>0</v>
      </c>
      <c r="AK3566" s="2">
        <f t="shared" si="523"/>
        <v>0</v>
      </c>
      <c r="AL3566" s="5">
        <f t="shared" si="524"/>
        <v>0</v>
      </c>
    </row>
    <row r="3567" spans="1:38" x14ac:dyDescent="0.2">
      <c r="A3567" s="2">
        <v>2026</v>
      </c>
      <c r="B3567" s="2">
        <v>3</v>
      </c>
      <c r="D3567" s="2" t="s">
        <v>558</v>
      </c>
      <c r="E3567" s="2" t="s">
        <v>108</v>
      </c>
      <c r="F3567" s="2" t="s">
        <v>39</v>
      </c>
      <c r="G3567" s="2">
        <v>506517233</v>
      </c>
      <c r="H3567" s="2" t="s">
        <v>80</v>
      </c>
      <c r="I3567" s="2" t="s">
        <v>559</v>
      </c>
      <c r="J3567" s="2" t="s">
        <v>560</v>
      </c>
      <c r="L3567" s="2" t="s">
        <v>133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22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14"/>
        <v>0</v>
      </c>
      <c r="AJ3567" s="2">
        <f t="shared" si="515"/>
        <v>0</v>
      </c>
      <c r="AK3567" s="2">
        <f t="shared" si="523"/>
        <v>0</v>
      </c>
      <c r="AL3567" s="5">
        <f t="shared" si="524"/>
        <v>0</v>
      </c>
    </row>
    <row r="3568" spans="1:38" x14ac:dyDescent="0.2">
      <c r="A3568" s="2">
        <v>2026</v>
      </c>
      <c r="B3568" s="2">
        <v>3</v>
      </c>
      <c r="D3568" s="2" t="s">
        <v>2559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522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14"/>
        <v>0</v>
      </c>
      <c r="AJ3568" s="2">
        <f t="shared" si="515"/>
        <v>0</v>
      </c>
      <c r="AK3568" s="2">
        <f t="shared" si="523"/>
        <v>0</v>
      </c>
      <c r="AL3568" s="5">
        <f t="shared" si="524"/>
        <v>0</v>
      </c>
    </row>
    <row r="3569" spans="1:38" x14ac:dyDescent="0.2">
      <c r="A3569" s="2">
        <v>2026</v>
      </c>
      <c r="B3569" s="2">
        <v>3</v>
      </c>
      <c r="D3569" s="2" t="s">
        <v>582</v>
      </c>
      <c r="E3569" s="2" t="s">
        <v>108</v>
      </c>
      <c r="F3569" s="2" t="s">
        <v>39</v>
      </c>
      <c r="G3569" s="2">
        <v>503850276</v>
      </c>
      <c r="H3569" s="2" t="s">
        <v>40</v>
      </c>
      <c r="I3569" s="2" t="s">
        <v>583</v>
      </c>
      <c r="J3569" s="2" t="s">
        <v>584</v>
      </c>
      <c r="L3569" s="2" t="s">
        <v>201</v>
      </c>
      <c r="M3569" s="2" t="s">
        <v>80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22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14"/>
        <v>0</v>
      </c>
      <c r="AJ3569" s="2">
        <f t="shared" si="515"/>
        <v>0</v>
      </c>
      <c r="AK3569" s="2">
        <f t="shared" si="523"/>
        <v>0</v>
      </c>
      <c r="AL3569" s="5">
        <f t="shared" si="524"/>
        <v>0</v>
      </c>
    </row>
    <row r="3570" spans="1:38" x14ac:dyDescent="0.2">
      <c r="A3570" s="2">
        <v>2026</v>
      </c>
      <c r="B3570" s="2">
        <v>3</v>
      </c>
      <c r="D3570" s="2" t="s">
        <v>651</v>
      </c>
      <c r="E3570" s="2" t="s">
        <v>108</v>
      </c>
      <c r="F3570" s="2" t="s">
        <v>39</v>
      </c>
      <c r="G3570" s="2">
        <v>509838537</v>
      </c>
      <c r="H3570" s="2" t="s">
        <v>41</v>
      </c>
      <c r="I3570" s="2" t="s">
        <v>652</v>
      </c>
      <c r="J3570" s="2" t="s">
        <v>653</v>
      </c>
      <c r="L3570" s="2" t="s">
        <v>418</v>
      </c>
      <c r="M3570" s="2" t="s">
        <v>41</v>
      </c>
      <c r="O3570" s="2" t="s">
        <v>2709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22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14"/>
        <v>0</v>
      </c>
      <c r="AG3570" s="2">
        <v>1.48</v>
      </c>
      <c r="AH3570" s="2">
        <v>1.48</v>
      </c>
      <c r="AJ3570" s="2">
        <f t="shared" si="515"/>
        <v>0</v>
      </c>
      <c r="AK3570" s="2">
        <f t="shared" si="523"/>
        <v>0</v>
      </c>
      <c r="AL3570" s="5">
        <f t="shared" si="524"/>
        <v>0</v>
      </c>
    </row>
    <row r="3571" spans="1:38" x14ac:dyDescent="0.2">
      <c r="A3571" s="2">
        <v>2026</v>
      </c>
      <c r="B3571" s="2">
        <v>3</v>
      </c>
      <c r="D3571" s="2" t="s">
        <v>660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661</v>
      </c>
      <c r="J3571" s="2" t="s">
        <v>662</v>
      </c>
      <c r="L3571" s="2" t="s">
        <v>344</v>
      </c>
      <c r="M3571" s="2" t="s">
        <v>80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22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14"/>
        <v>0</v>
      </c>
      <c r="AJ3571" s="2">
        <f t="shared" si="515"/>
        <v>0</v>
      </c>
      <c r="AK3571" s="2">
        <f t="shared" si="523"/>
        <v>0</v>
      </c>
      <c r="AL3571" s="5">
        <f t="shared" si="524"/>
        <v>0</v>
      </c>
    </row>
    <row r="3572" spans="1:38" x14ac:dyDescent="0.2">
      <c r="A3572" s="2">
        <v>2026</v>
      </c>
      <c r="B3572" s="2">
        <v>3</v>
      </c>
      <c r="D3572" s="2" t="s">
        <v>1125</v>
      </c>
      <c r="E3572" s="2" t="s">
        <v>38</v>
      </c>
      <c r="F3572" s="2" t="s">
        <v>39</v>
      </c>
      <c r="G3572" s="2">
        <v>501551298</v>
      </c>
      <c r="H3572" s="2" t="s">
        <v>109</v>
      </c>
      <c r="I3572" s="2" t="s">
        <v>1126</v>
      </c>
      <c r="J3572" s="2" t="s">
        <v>1127</v>
      </c>
      <c r="L3572" s="2" t="s">
        <v>461</v>
      </c>
      <c r="M3572" s="2" t="s">
        <v>80</v>
      </c>
      <c r="O3572" s="2" t="s">
        <v>2722</v>
      </c>
      <c r="P3572" s="2" t="s">
        <v>93</v>
      </c>
      <c r="Q3572" s="2" t="s">
        <v>94</v>
      </c>
      <c r="R3572" s="2" t="s">
        <v>95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522"/>
        <v>0</v>
      </c>
      <c r="Z3572" s="2" t="s">
        <v>3226</v>
      </c>
      <c r="AA3572" s="2" t="s">
        <v>96</v>
      </c>
      <c r="AB3572" s="2" t="s">
        <v>76</v>
      </c>
      <c r="AC3572" s="2" t="s">
        <v>93</v>
      </c>
      <c r="AF3572" s="2">
        <f t="shared" si="514"/>
        <v>0</v>
      </c>
      <c r="AJ3572" s="2">
        <f t="shared" si="515"/>
        <v>0</v>
      </c>
      <c r="AK3572" s="2">
        <f t="shared" si="523"/>
        <v>0</v>
      </c>
      <c r="AL3572" s="5">
        <f t="shared" si="524"/>
        <v>0</v>
      </c>
    </row>
    <row r="3573" spans="1:38" x14ac:dyDescent="0.2">
      <c r="A3573" s="2">
        <v>2026</v>
      </c>
      <c r="B3573" s="2">
        <v>3</v>
      </c>
      <c r="D3573" s="2" t="s">
        <v>97</v>
      </c>
      <c r="E3573" s="2" t="s">
        <v>98</v>
      </c>
      <c r="F3573" s="2" t="s">
        <v>39</v>
      </c>
      <c r="G3573" s="2">
        <v>517450925</v>
      </c>
      <c r="H3573" s="2" t="s">
        <v>40</v>
      </c>
      <c r="I3573" s="2" t="s">
        <v>99</v>
      </c>
      <c r="J3573" s="2" t="s">
        <v>100</v>
      </c>
      <c r="L3573" s="2" t="s">
        <v>99</v>
      </c>
      <c r="M3573" s="2" t="s">
        <v>40</v>
      </c>
      <c r="P3573" s="2" t="s">
        <v>40</v>
      </c>
      <c r="Q3573" s="2" t="s">
        <v>363</v>
      </c>
      <c r="R3573" s="2" t="s">
        <v>364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522"/>
        <v>1</v>
      </c>
      <c r="Z3573" s="2" t="s">
        <v>119</v>
      </c>
      <c r="AA3573" s="2" t="s">
        <v>3379</v>
      </c>
      <c r="AF3573" s="2">
        <f t="shared" si="514"/>
        <v>0</v>
      </c>
      <c r="AJ3573" s="2">
        <f t="shared" si="515"/>
        <v>0</v>
      </c>
      <c r="AK3573" s="2">
        <f t="shared" si="523"/>
        <v>576</v>
      </c>
      <c r="AL3573" s="5">
        <f t="shared" si="524"/>
        <v>1</v>
      </c>
    </row>
    <row r="3574" spans="1:38" x14ac:dyDescent="0.2">
      <c r="A3574" s="2">
        <v>2026</v>
      </c>
      <c r="B3574" s="2">
        <v>3</v>
      </c>
      <c r="D3574" s="2" t="s">
        <v>382</v>
      </c>
      <c r="E3574" s="2" t="s">
        <v>38</v>
      </c>
      <c r="F3574" s="2" t="s">
        <v>39</v>
      </c>
      <c r="G3574" s="2">
        <v>212196260</v>
      </c>
      <c r="H3574" s="2" t="s">
        <v>109</v>
      </c>
      <c r="I3574" s="2" t="s">
        <v>383</v>
      </c>
      <c r="J3574" s="2" t="s">
        <v>384</v>
      </c>
      <c r="K3574" s="2">
        <v>926769894</v>
      </c>
      <c r="L3574" s="2" t="s">
        <v>112</v>
      </c>
      <c r="M3574" s="2" t="s">
        <v>109</v>
      </c>
      <c r="O3574" s="2" t="s">
        <v>2699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522"/>
        <v>1</v>
      </c>
      <c r="Z3574" s="2" t="s">
        <v>119</v>
      </c>
      <c r="AA3574" s="2" t="s">
        <v>3379</v>
      </c>
      <c r="AF3574" s="2">
        <f t="shared" si="514"/>
        <v>0</v>
      </c>
      <c r="AJ3574" s="2">
        <f t="shared" si="515"/>
        <v>0</v>
      </c>
      <c r="AK3574" s="2">
        <f t="shared" si="523"/>
        <v>200</v>
      </c>
      <c r="AL3574" s="5">
        <f t="shared" si="524"/>
        <v>1</v>
      </c>
    </row>
    <row r="3575" spans="1:38" x14ac:dyDescent="0.2">
      <c r="A3575" s="2">
        <v>2026</v>
      </c>
      <c r="B3575" s="2">
        <v>3</v>
      </c>
      <c r="C3575" s="2" t="s">
        <v>3420</v>
      </c>
      <c r="D3575" s="2" t="s">
        <v>2774</v>
      </c>
      <c r="E3575" s="2" t="s">
        <v>108</v>
      </c>
      <c r="F3575" s="2" t="s">
        <v>39</v>
      </c>
      <c r="L3575" s="2" t="s">
        <v>2438</v>
      </c>
      <c r="M3575" s="2" t="s">
        <v>40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522"/>
        <v>1</v>
      </c>
      <c r="Z3575" s="2" t="s">
        <v>104</v>
      </c>
      <c r="AA3575" s="2" t="s">
        <v>3421</v>
      </c>
      <c r="AB3575" s="2" t="s">
        <v>3422</v>
      </c>
      <c r="AC3575" s="2" t="s">
        <v>114</v>
      </c>
      <c r="AF3575" s="2">
        <f t="shared" si="514"/>
        <v>0</v>
      </c>
      <c r="AJ3575" s="2">
        <f t="shared" si="515"/>
        <v>0</v>
      </c>
      <c r="AK3575" s="2">
        <f t="shared" si="523"/>
        <v>180</v>
      </c>
      <c r="AL3575" s="5">
        <f t="shared" si="524"/>
        <v>1</v>
      </c>
    </row>
    <row r="3576" spans="1:38" x14ac:dyDescent="0.2">
      <c r="A3576" s="2">
        <v>2026</v>
      </c>
      <c r="B3576" s="2">
        <v>3</v>
      </c>
      <c r="D3576" s="2" t="s">
        <v>458</v>
      </c>
      <c r="E3576" s="2" t="s">
        <v>108</v>
      </c>
      <c r="F3576" s="2" t="s">
        <v>477</v>
      </c>
      <c r="G3576" s="2">
        <v>507016173</v>
      </c>
      <c r="H3576" s="2" t="s">
        <v>109</v>
      </c>
      <c r="I3576" s="2" t="s">
        <v>459</v>
      </c>
      <c r="J3576" s="2" t="s">
        <v>460</v>
      </c>
      <c r="L3576" s="2" t="s">
        <v>461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522"/>
        <v>1</v>
      </c>
      <c r="Z3576" s="2" t="s">
        <v>119</v>
      </c>
      <c r="AA3576" s="2" t="s">
        <v>3379</v>
      </c>
      <c r="AF3576" s="2">
        <f t="shared" si="514"/>
        <v>0</v>
      </c>
      <c r="AJ3576" s="2">
        <f t="shared" si="515"/>
        <v>0</v>
      </c>
      <c r="AK3576" s="2">
        <f t="shared" si="523"/>
        <v>180</v>
      </c>
      <c r="AL3576" s="5">
        <f t="shared" si="524"/>
        <v>1</v>
      </c>
    </row>
    <row r="3577" spans="1:38" x14ac:dyDescent="0.2">
      <c r="A3577" s="2">
        <v>2026</v>
      </c>
      <c r="B3577" s="2">
        <v>3</v>
      </c>
      <c r="C3577" s="2" t="s">
        <v>3506</v>
      </c>
      <c r="D3577" s="2" t="s">
        <v>2049</v>
      </c>
      <c r="E3577" s="2" t="s">
        <v>108</v>
      </c>
      <c r="F3577" s="2" t="s">
        <v>39</v>
      </c>
      <c r="G3577" s="2">
        <v>514960337</v>
      </c>
      <c r="H3577" s="2" t="s">
        <v>290</v>
      </c>
      <c r="I3577" s="2" t="s">
        <v>2779</v>
      </c>
      <c r="J3577" s="2" t="s">
        <v>2820</v>
      </c>
      <c r="K3577" s="2">
        <v>914732950</v>
      </c>
      <c r="L3577" s="2" t="s">
        <v>480</v>
      </c>
      <c r="M3577" s="2" t="s">
        <v>40</v>
      </c>
      <c r="P3577" s="2" t="s">
        <v>40</v>
      </c>
      <c r="Q3577" s="2" t="s">
        <v>363</v>
      </c>
      <c r="R3577" s="2" t="s">
        <v>364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522"/>
        <v>1</v>
      </c>
      <c r="Z3577" s="2" t="s">
        <v>117</v>
      </c>
      <c r="AA3577" s="2" t="s">
        <v>118</v>
      </c>
      <c r="AB3577" s="2" t="s">
        <v>119</v>
      </c>
      <c r="AF3577" s="2">
        <f t="shared" si="514"/>
        <v>0</v>
      </c>
      <c r="AJ3577" s="2">
        <f t="shared" si="515"/>
        <v>0</v>
      </c>
      <c r="AK3577" s="2">
        <f t="shared" si="523"/>
        <v>67.2</v>
      </c>
      <c r="AL3577" s="5">
        <f t="shared" si="524"/>
        <v>1</v>
      </c>
    </row>
    <row r="3578" spans="1:38" x14ac:dyDescent="0.2">
      <c r="A3578" s="2">
        <v>2026</v>
      </c>
      <c r="B3578" s="2">
        <v>4</v>
      </c>
      <c r="C3578" s="2" t="s">
        <v>3318</v>
      </c>
      <c r="D3578" s="2" t="s">
        <v>624</v>
      </c>
      <c r="E3578" s="2" t="s">
        <v>38</v>
      </c>
      <c r="F3578" s="2" t="s">
        <v>39</v>
      </c>
      <c r="G3578" s="2" t="s">
        <v>625</v>
      </c>
      <c r="H3578" s="2" t="s">
        <v>40</v>
      </c>
      <c r="I3578" s="2" t="s">
        <v>626</v>
      </c>
      <c r="J3578" s="2" t="s">
        <v>627</v>
      </c>
      <c r="L3578" s="2" t="s">
        <v>626</v>
      </c>
      <c r="M3578" s="2" t="s">
        <v>40</v>
      </c>
      <c r="O3578" s="2" t="s">
        <v>2775</v>
      </c>
      <c r="P3578" s="2" t="s">
        <v>114</v>
      </c>
      <c r="Q3578" s="2" t="s">
        <v>2776</v>
      </c>
      <c r="R3578" s="2" t="s">
        <v>849</v>
      </c>
      <c r="S3578" s="2">
        <v>1</v>
      </c>
      <c r="T3578" s="2">
        <v>18.989999999999998</v>
      </c>
      <c r="V3578" s="2">
        <f>T3578</f>
        <v>18.989999999999998</v>
      </c>
      <c r="W3578" s="2">
        <v>6.55</v>
      </c>
      <c r="X3578" s="5">
        <f t="shared" si="522"/>
        <v>0.6550816219062664</v>
      </c>
      <c r="Z3578" s="2" t="s">
        <v>117</v>
      </c>
      <c r="AA3578" s="2" t="s">
        <v>118</v>
      </c>
      <c r="AB3578" s="2" t="s">
        <v>119</v>
      </c>
      <c r="AC3578" s="2" t="s">
        <v>114</v>
      </c>
      <c r="AF3578" s="2">
        <f t="shared" si="514"/>
        <v>0</v>
      </c>
      <c r="AG3578" s="2">
        <v>6.55</v>
      </c>
      <c r="AJ3578" s="2">
        <f t="shared" si="515"/>
        <v>0</v>
      </c>
      <c r="AK3578" s="2">
        <f t="shared" si="523"/>
        <v>12.439999999999998</v>
      </c>
      <c r="AL3578" s="5">
        <f t="shared" si="524"/>
        <v>0.6550816219062664</v>
      </c>
    </row>
    <row r="3579" spans="1:38" x14ac:dyDescent="0.2">
      <c r="A3579" s="2">
        <v>2026</v>
      </c>
      <c r="B3579" s="2">
        <v>3</v>
      </c>
      <c r="D3579" s="2" t="s">
        <v>382</v>
      </c>
      <c r="E3579" s="2" t="s">
        <v>38</v>
      </c>
      <c r="F3579" s="2" t="s">
        <v>39</v>
      </c>
      <c r="G3579" s="2">
        <v>212196260</v>
      </c>
      <c r="H3579" s="2" t="s">
        <v>109</v>
      </c>
      <c r="I3579" s="2" t="s">
        <v>383</v>
      </c>
      <c r="J3579" s="2" t="s">
        <v>384</v>
      </c>
      <c r="K3579" s="2">
        <v>926769894</v>
      </c>
      <c r="L3579" s="2" t="s">
        <v>112</v>
      </c>
      <c r="M3579" s="2" t="s">
        <v>109</v>
      </c>
      <c r="O3579" s="2" t="s">
        <v>2777</v>
      </c>
      <c r="P3579" s="2" t="s">
        <v>114</v>
      </c>
      <c r="Q3579" s="16" t="s">
        <v>709</v>
      </c>
      <c r="R3579" s="2" t="s">
        <v>710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522"/>
        <v>0.26376071005917157</v>
      </c>
      <c r="Z3579" s="2" t="s">
        <v>104</v>
      </c>
      <c r="AA3579" s="2" t="s">
        <v>578</v>
      </c>
      <c r="AB3579" s="2" t="s">
        <v>701</v>
      </c>
      <c r="AC3579" s="2" t="s">
        <v>114</v>
      </c>
      <c r="AF3579" s="2">
        <f t="shared" si="514"/>
        <v>0</v>
      </c>
      <c r="AG3579" s="2">
        <v>1244.2444</v>
      </c>
      <c r="AJ3579" s="2">
        <f t="shared" si="515"/>
        <v>0</v>
      </c>
      <c r="AK3579" s="2">
        <f t="shared" si="523"/>
        <v>445.75559999999996</v>
      </c>
      <c r="AL3579" s="5">
        <f t="shared" si="524"/>
        <v>0.26376071005917157</v>
      </c>
    </row>
    <row r="3580" spans="1:38" x14ac:dyDescent="0.2">
      <c r="A3580" s="2">
        <v>2026</v>
      </c>
      <c r="B3580" s="2">
        <v>4</v>
      </c>
      <c r="D3580" s="2" t="s">
        <v>549</v>
      </c>
      <c r="E3580" s="2" t="s">
        <v>108</v>
      </c>
      <c r="F3580" s="2" t="s">
        <v>395</v>
      </c>
      <c r="G3580" s="2">
        <v>503641790</v>
      </c>
      <c r="H3580" s="2" t="s">
        <v>40</v>
      </c>
      <c r="I3580" s="2" t="s">
        <v>550</v>
      </c>
      <c r="J3580" s="2" t="s">
        <v>551</v>
      </c>
      <c r="K3580" s="2">
        <v>917753665</v>
      </c>
      <c r="L3580" s="2" t="s">
        <v>99</v>
      </c>
      <c r="M3580" s="2" t="s">
        <v>40</v>
      </c>
      <c r="O3580" s="2" t="s">
        <v>2778</v>
      </c>
      <c r="P3580" s="2" t="s">
        <v>114</v>
      </c>
      <c r="Q3580" s="2" t="s">
        <v>2297</v>
      </c>
      <c r="R3580" s="2" t="s">
        <v>2298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525">(T3580-W3580)/T3580</f>
        <v>0.46282000787711702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14"/>
        <v>0</v>
      </c>
      <c r="AG3580" s="2">
        <v>136.38999999999999</v>
      </c>
      <c r="AH3580" s="2">
        <v>282.11399999999998</v>
      </c>
      <c r="AJ3580" s="2">
        <f t="shared" si="515"/>
        <v>0</v>
      </c>
      <c r="AK3580" s="2">
        <f t="shared" ref="AK3580:AK3611" si="526">T3580-W3580</f>
        <v>117.51000000000002</v>
      </c>
      <c r="AL3580" s="5">
        <f t="shared" ref="AL3580:AL3611" si="527">(T3580-W3580)/T3580</f>
        <v>0.46282000787711702</v>
      </c>
    </row>
    <row r="3581" spans="1:38" x14ac:dyDescent="0.2">
      <c r="A3581" s="2">
        <v>2026</v>
      </c>
      <c r="B3581" s="2">
        <v>4</v>
      </c>
      <c r="C3581" s="2" t="s">
        <v>3506</v>
      </c>
      <c r="D3581" s="2" t="s">
        <v>2049</v>
      </c>
      <c r="E3581" s="2" t="s">
        <v>108</v>
      </c>
      <c r="F3581" s="2" t="s">
        <v>39</v>
      </c>
      <c r="G3581" s="2">
        <v>514960337</v>
      </c>
      <c r="H3581" s="2" t="s">
        <v>290</v>
      </c>
      <c r="I3581" s="2" t="s">
        <v>2779</v>
      </c>
      <c r="J3581" s="2" t="s">
        <v>2820</v>
      </c>
      <c r="K3581" s="2">
        <v>914732950</v>
      </c>
      <c r="L3581" s="2" t="s">
        <v>480</v>
      </c>
      <c r="M3581" s="2" t="s">
        <v>40</v>
      </c>
      <c r="O3581" s="2" t="s">
        <v>2780</v>
      </c>
      <c r="P3581" s="2" t="s">
        <v>114</v>
      </c>
      <c r="Q3581" s="2" t="s">
        <v>2002</v>
      </c>
      <c r="R3581" s="2" t="s">
        <v>2003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525"/>
        <v>0.14659827213822893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14"/>
        <v>0</v>
      </c>
      <c r="AG3581" s="2">
        <v>7.9024999999999999</v>
      </c>
      <c r="AJ3581" s="2">
        <f t="shared" si="515"/>
        <v>0</v>
      </c>
      <c r="AK3581" s="2">
        <f t="shared" si="526"/>
        <v>5.43</v>
      </c>
      <c r="AL3581" s="5">
        <f t="shared" si="527"/>
        <v>0.14659827213822893</v>
      </c>
    </row>
    <row r="3582" spans="1:38" x14ac:dyDescent="0.2">
      <c r="A3582" s="2">
        <v>2026</v>
      </c>
      <c r="B3582" s="2">
        <v>4</v>
      </c>
      <c r="C3582" s="2" t="s">
        <v>3450</v>
      </c>
      <c r="D3582" s="2" t="s">
        <v>1009</v>
      </c>
      <c r="E3582" s="2" t="s">
        <v>108</v>
      </c>
      <c r="F3582" s="2" t="s">
        <v>39</v>
      </c>
      <c r="G3582" s="2">
        <v>507063481</v>
      </c>
      <c r="H3582" s="2" t="s">
        <v>290</v>
      </c>
      <c r="I3582" s="2" t="s">
        <v>1010</v>
      </c>
      <c r="J3582" s="2" t="s">
        <v>1011</v>
      </c>
      <c r="L3582" s="2" t="s">
        <v>293</v>
      </c>
      <c r="M3582" s="2" t="s">
        <v>40</v>
      </c>
      <c r="P3582" s="2" t="s">
        <v>114</v>
      </c>
      <c r="Q3582" s="2" t="s">
        <v>1514</v>
      </c>
      <c r="R3582" s="2" t="s">
        <v>1515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525"/>
        <v>0.44842079450711131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14"/>
        <v>0</v>
      </c>
      <c r="AG3582" s="2">
        <v>11.246700000000001</v>
      </c>
      <c r="AJ3582" s="2">
        <f t="shared" si="515"/>
        <v>0</v>
      </c>
      <c r="AK3582" s="2">
        <f t="shared" si="526"/>
        <v>9.1433</v>
      </c>
      <c r="AL3582" s="5">
        <f t="shared" si="527"/>
        <v>0.44842079450711131</v>
      </c>
    </row>
    <row r="3583" spans="1:38" x14ac:dyDescent="0.2">
      <c r="A3583" s="2">
        <v>2026</v>
      </c>
      <c r="B3583" s="2">
        <v>4</v>
      </c>
      <c r="D3583" s="2" t="s">
        <v>2781</v>
      </c>
      <c r="G3583" s="2">
        <v>219031614</v>
      </c>
      <c r="I3583" s="2" t="s">
        <v>2199</v>
      </c>
      <c r="M3583" s="2" t="s">
        <v>40</v>
      </c>
      <c r="O3583" s="2" t="s">
        <v>2782</v>
      </c>
      <c r="P3583" s="2" t="s">
        <v>114</v>
      </c>
      <c r="Q3583" s="2" t="s">
        <v>779</v>
      </c>
      <c r="R3583" s="2" t="s">
        <v>780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36.2258*S3583</f>
        <v>72.451599999999999</v>
      </c>
      <c r="X3583" s="5">
        <f t="shared" si="525"/>
        <v>0.53905331467107775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14"/>
        <v>0</v>
      </c>
      <c r="AG3583" s="2">
        <v>35.931699999999999</v>
      </c>
      <c r="AJ3583" s="2">
        <f t="shared" si="515"/>
        <v>0</v>
      </c>
      <c r="AK3583" s="2">
        <f t="shared" si="526"/>
        <v>84.728400000000008</v>
      </c>
      <c r="AL3583" s="5">
        <f t="shared" si="527"/>
        <v>0.53905331467107775</v>
      </c>
    </row>
    <row r="3584" spans="1:38" x14ac:dyDescent="0.2">
      <c r="A3584" s="2">
        <v>2026</v>
      </c>
      <c r="B3584" s="2">
        <v>3</v>
      </c>
      <c r="D3584" s="2" t="s">
        <v>391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392</v>
      </c>
      <c r="J3584" s="2" t="s">
        <v>393</v>
      </c>
      <c r="L3584" s="2" t="s">
        <v>99</v>
      </c>
      <c r="M3584" s="2" t="s">
        <v>40</v>
      </c>
      <c r="O3584" s="2" t="s">
        <v>2783</v>
      </c>
      <c r="P3584" s="2" t="s">
        <v>114</v>
      </c>
      <c r="Q3584" s="2" t="s">
        <v>561</v>
      </c>
      <c r="R3584" s="2" t="s">
        <v>562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525"/>
        <v>0.62688134406720331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14"/>
        <v>0</v>
      </c>
      <c r="AG3584" s="2">
        <v>5.33</v>
      </c>
      <c r="AJ3584" s="2">
        <f t="shared" si="515"/>
        <v>0</v>
      </c>
      <c r="AK3584" s="2">
        <f t="shared" si="526"/>
        <v>17.91</v>
      </c>
      <c r="AL3584" s="5">
        <f t="shared" si="527"/>
        <v>0.62688134406720331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2785</v>
      </c>
      <c r="R3585" s="2" t="s">
        <v>2786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525"/>
        <v>0.51615903278307373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si="514"/>
        <v>0</v>
      </c>
      <c r="AG3585" s="2">
        <f>20.48+0.33</f>
        <v>20.81</v>
      </c>
      <c r="AJ3585" s="2">
        <f t="shared" si="515"/>
        <v>0</v>
      </c>
      <c r="AK3585" s="2">
        <f t="shared" si="526"/>
        <v>22.2</v>
      </c>
      <c r="AL3585" s="5">
        <f t="shared" si="527"/>
        <v>0.51615903278307373</v>
      </c>
    </row>
    <row r="3586" spans="1:38" x14ac:dyDescent="0.2">
      <c r="A3586" s="2">
        <v>2026</v>
      </c>
      <c r="B3586" s="2">
        <v>3</v>
      </c>
      <c r="D3586" s="2" t="s">
        <v>574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177</v>
      </c>
      <c r="J3586" s="2" t="s">
        <v>575</v>
      </c>
      <c r="L3586" s="2" t="s">
        <v>177</v>
      </c>
      <c r="M3586" s="2" t="s">
        <v>40</v>
      </c>
      <c r="O3586" s="2" t="s">
        <v>2784</v>
      </c>
      <c r="P3586" s="2" t="s">
        <v>114</v>
      </c>
      <c r="Q3586" s="2" t="s">
        <v>2787</v>
      </c>
      <c r="R3586" s="2" t="s">
        <v>2487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525"/>
        <v>0.51621077737199073</v>
      </c>
      <c r="Z3586" s="2" t="s">
        <v>117</v>
      </c>
      <c r="AA3586" s="2" t="s">
        <v>118</v>
      </c>
      <c r="AB3586" s="2" t="s">
        <v>119</v>
      </c>
      <c r="AC3586" s="2" t="s">
        <v>114</v>
      </c>
      <c r="AF3586" s="2">
        <f t="shared" ref="AF3586:AF3649" si="528">AJ3586</f>
        <v>0</v>
      </c>
      <c r="AG3586" s="2">
        <f>63.89+1.02</f>
        <v>64.91</v>
      </c>
      <c r="AJ3586" s="2">
        <f t="shared" ref="AJ3586:AJ3649" si="529">AI3586*T3586</f>
        <v>0</v>
      </c>
      <c r="AK3586" s="2">
        <f t="shared" si="526"/>
        <v>69.259999999999991</v>
      </c>
      <c r="AL3586" s="5">
        <f t="shared" si="527"/>
        <v>0.51621077737199073</v>
      </c>
    </row>
    <row r="3587" spans="1:38" x14ac:dyDescent="0.2">
      <c r="A3587" s="2">
        <v>2026</v>
      </c>
      <c r="B3587" s="2">
        <v>1</v>
      </c>
      <c r="D3587" s="2" t="s">
        <v>509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156</v>
      </c>
      <c r="J3587" s="2" t="s">
        <v>510</v>
      </c>
      <c r="K3587" s="2">
        <v>919770433</v>
      </c>
      <c r="L3587" s="2" t="s">
        <v>99</v>
      </c>
      <c r="M3587" s="2" t="s">
        <v>40</v>
      </c>
      <c r="P3587" s="2" t="s">
        <v>187</v>
      </c>
      <c r="Q3587" s="2" t="s">
        <v>191</v>
      </c>
      <c r="R3587" s="2" t="s">
        <v>190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525"/>
        <v>0.5</v>
      </c>
      <c r="Z3587" s="2" t="s">
        <v>117</v>
      </c>
      <c r="AA3587" s="2" t="s">
        <v>190</v>
      </c>
      <c r="AB3587" s="2" t="s">
        <v>190</v>
      </c>
      <c r="AC3587" s="2" t="s">
        <v>40</v>
      </c>
      <c r="AF3587" s="2">
        <f t="shared" si="528"/>
        <v>0</v>
      </c>
      <c r="AG3587" s="2">
        <f>W3587</f>
        <v>100</v>
      </c>
      <c r="AJ3587" s="2">
        <f t="shared" si="529"/>
        <v>0</v>
      </c>
      <c r="AK3587" s="2">
        <f t="shared" si="526"/>
        <v>100</v>
      </c>
      <c r="AL3587" s="5">
        <f t="shared" si="527"/>
        <v>0.5</v>
      </c>
    </row>
    <row r="3588" spans="1:38" x14ac:dyDescent="0.2">
      <c r="A3588" s="2">
        <v>2026</v>
      </c>
      <c r="B3588" s="2">
        <v>3</v>
      </c>
      <c r="D3588" s="2" t="s">
        <v>403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2476</v>
      </c>
      <c r="J3588" s="2" t="s">
        <v>3122</v>
      </c>
      <c r="K3588" s="2">
        <v>965864665</v>
      </c>
      <c r="L3588" s="2" t="s">
        <v>344</v>
      </c>
      <c r="M3588" s="2" t="s">
        <v>40</v>
      </c>
      <c r="O3588" s="2" t="s">
        <v>2788</v>
      </c>
      <c r="P3588" s="2" t="s">
        <v>114</v>
      </c>
      <c r="Q3588" s="2" t="s">
        <v>1250</v>
      </c>
      <c r="R3588" s="2" t="s">
        <v>1251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525"/>
        <v>0.45218664992676288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28"/>
        <v>0</v>
      </c>
      <c r="AG3588" s="2">
        <v>183.26</v>
      </c>
      <c r="AJ3588" s="2">
        <f t="shared" si="529"/>
        <v>0</v>
      </c>
      <c r="AK3588" s="2">
        <f t="shared" si="526"/>
        <v>151.26999999999998</v>
      </c>
      <c r="AL3588" s="5">
        <f t="shared" si="527"/>
        <v>0.45218664992676288</v>
      </c>
    </row>
    <row r="3589" spans="1:38" x14ac:dyDescent="0.2">
      <c r="A3589" s="2">
        <v>2026</v>
      </c>
      <c r="B3589" s="2">
        <v>3</v>
      </c>
      <c r="D3589" s="2" t="s">
        <v>706</v>
      </c>
      <c r="E3589" s="2" t="s">
        <v>183</v>
      </c>
      <c r="G3589" s="2">
        <v>500038996</v>
      </c>
      <c r="H3589" s="2" t="s">
        <v>109</v>
      </c>
      <c r="I3589" s="2" t="s">
        <v>707</v>
      </c>
      <c r="J3589" s="2" t="s">
        <v>708</v>
      </c>
      <c r="K3589" s="2">
        <v>913640179</v>
      </c>
      <c r="L3589" s="2" t="s">
        <v>133</v>
      </c>
      <c r="M3589" s="2" t="s">
        <v>40</v>
      </c>
      <c r="O3589" s="2" t="s">
        <v>2789</v>
      </c>
      <c r="P3589" s="2" t="s">
        <v>114</v>
      </c>
      <c r="Q3589" s="2" t="s">
        <v>373</v>
      </c>
      <c r="R3589" s="2" t="s">
        <v>374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>23.042*S3589</f>
        <v>46.084000000000003</v>
      </c>
      <c r="X3589" s="5">
        <f t="shared" si="525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28"/>
        <v>0</v>
      </c>
      <c r="AG3589" s="2">
        <v>22.2</v>
      </c>
      <c r="AJ3589" s="2">
        <f t="shared" si="529"/>
        <v>0</v>
      </c>
      <c r="AK3589" s="2">
        <f t="shared" si="526"/>
        <v>51.816000000000003</v>
      </c>
      <c r="AL3589" s="5">
        <f t="shared" si="527"/>
        <v>0.52927477017364655</v>
      </c>
    </row>
    <row r="3590" spans="1:38" x14ac:dyDescent="0.2">
      <c r="A3590" s="2">
        <v>2026</v>
      </c>
      <c r="B3590" s="2">
        <v>3</v>
      </c>
      <c r="D3590" s="2" t="s">
        <v>588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177</v>
      </c>
      <c r="J3590" s="2" t="s">
        <v>589</v>
      </c>
      <c r="L3590" s="2" t="s">
        <v>177</v>
      </c>
      <c r="M3590" s="2" t="s">
        <v>40</v>
      </c>
      <c r="O3590" s="2" t="s">
        <v>2790</v>
      </c>
      <c r="P3590" s="2" t="s">
        <v>114</v>
      </c>
      <c r="Q3590" s="2" t="s">
        <v>373</v>
      </c>
      <c r="R3590" s="2" t="s">
        <v>374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>23.042*S3590</f>
        <v>23.042000000000002</v>
      </c>
      <c r="X3590" s="5">
        <f t="shared" si="525"/>
        <v>0.52927477017364655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28"/>
        <v>0</v>
      </c>
      <c r="AG3590" s="2">
        <v>22.2</v>
      </c>
      <c r="AJ3590" s="2">
        <f t="shared" si="529"/>
        <v>0</v>
      </c>
      <c r="AK3590" s="2">
        <f t="shared" si="526"/>
        <v>25.908000000000001</v>
      </c>
      <c r="AL3590" s="5">
        <f t="shared" si="527"/>
        <v>0.52927477017364655</v>
      </c>
    </row>
    <row r="3591" spans="1:38" x14ac:dyDescent="0.2">
      <c r="A3591" s="2">
        <v>2026</v>
      </c>
      <c r="B3591" s="2">
        <v>3</v>
      </c>
      <c r="D3591" s="2" t="s">
        <v>574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177</v>
      </c>
      <c r="J3591" s="2" t="s">
        <v>575</v>
      </c>
      <c r="L3591" s="2" t="s">
        <v>177</v>
      </c>
      <c r="M3591" s="2" t="s">
        <v>40</v>
      </c>
      <c r="P3591" s="2" t="s">
        <v>114</v>
      </c>
      <c r="Q3591" s="2" t="s">
        <v>2791</v>
      </c>
      <c r="R3591" s="2" t="s">
        <v>2792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525"/>
        <v>0.51618190828345967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28"/>
        <v>0</v>
      </c>
      <c r="AG3591" s="2">
        <f>249.84+4</f>
        <v>253.84</v>
      </c>
      <c r="AJ3591" s="2">
        <f t="shared" si="529"/>
        <v>0</v>
      </c>
      <c r="AK3591" s="2">
        <f t="shared" si="526"/>
        <v>270.81999999999994</v>
      </c>
      <c r="AL3591" s="5">
        <f t="shared" si="527"/>
        <v>0.51618190828345967</v>
      </c>
    </row>
    <row r="3592" spans="1:38" x14ac:dyDescent="0.2">
      <c r="A3592" s="2">
        <v>2026</v>
      </c>
      <c r="B3592" s="2">
        <v>4</v>
      </c>
      <c r="D3592" s="2" t="s">
        <v>2319</v>
      </c>
      <c r="M3592" s="2" t="s">
        <v>40</v>
      </c>
      <c r="O3592" s="2" t="s">
        <v>2793</v>
      </c>
      <c r="P3592" s="2" t="s">
        <v>114</v>
      </c>
      <c r="Q3592" s="2" t="s">
        <v>646</v>
      </c>
      <c r="R3592" s="2" t="s">
        <v>647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30.61</v>
      </c>
      <c r="X3592" s="5">
        <f t="shared" si="525"/>
        <v>0.51764891270091395</v>
      </c>
      <c r="Z3592" s="2" t="s">
        <v>117</v>
      </c>
      <c r="AA3592" s="2" t="s">
        <v>118</v>
      </c>
      <c r="AB3592" s="2" t="s">
        <v>119</v>
      </c>
      <c r="AC3592" s="2" t="s">
        <v>114</v>
      </c>
      <c r="AF3592" s="2">
        <f t="shared" si="528"/>
        <v>0</v>
      </c>
      <c r="AG3592" s="2">
        <v>30.22</v>
      </c>
      <c r="AJ3592" s="2">
        <f t="shared" si="529"/>
        <v>0</v>
      </c>
      <c r="AK3592" s="2">
        <f t="shared" si="526"/>
        <v>32.85</v>
      </c>
      <c r="AL3592" s="5">
        <f t="shared" si="527"/>
        <v>0.51764891270091395</v>
      </c>
    </row>
    <row r="3593" spans="1:38" x14ac:dyDescent="0.2">
      <c r="A3593" s="2">
        <v>2026</v>
      </c>
      <c r="B3593" s="2">
        <v>3</v>
      </c>
      <c r="D3593" s="2" t="s">
        <v>2766</v>
      </c>
      <c r="M3593" s="2" t="s">
        <v>40</v>
      </c>
      <c r="O3593" s="2" t="s">
        <v>2794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25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28"/>
        <v>0</v>
      </c>
      <c r="AG3593" s="2">
        <v>342.22</v>
      </c>
      <c r="AJ3593" s="2">
        <f t="shared" si="529"/>
        <v>0</v>
      </c>
      <c r="AK3593" s="2">
        <f t="shared" si="526"/>
        <v>354.09659999999997</v>
      </c>
      <c r="AL3593" s="5">
        <f t="shared" si="527"/>
        <v>0.50635864435864431</v>
      </c>
    </row>
    <row r="3594" spans="1:38" x14ac:dyDescent="0.2">
      <c r="A3594" s="2">
        <v>2026</v>
      </c>
      <c r="B3594" s="2">
        <v>4</v>
      </c>
      <c r="D3594" s="2" t="s">
        <v>2795</v>
      </c>
      <c r="M3594" s="2" t="s">
        <v>40</v>
      </c>
      <c r="O3594" s="2" t="s">
        <v>2796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25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28"/>
        <v>0</v>
      </c>
      <c r="AG3594" s="2">
        <v>342.22</v>
      </c>
      <c r="AJ3594" s="2">
        <f t="shared" si="529"/>
        <v>0</v>
      </c>
      <c r="AK3594" s="2">
        <f t="shared" si="526"/>
        <v>354.09659999999997</v>
      </c>
      <c r="AL3594" s="5">
        <f t="shared" si="527"/>
        <v>0.50635864435864431</v>
      </c>
    </row>
    <row r="3595" spans="1:38" x14ac:dyDescent="0.2">
      <c r="A3595" s="2">
        <v>2026</v>
      </c>
      <c r="B3595" s="2">
        <v>4</v>
      </c>
      <c r="D3595" s="2" t="s">
        <v>2797</v>
      </c>
      <c r="E3595" s="2" t="s">
        <v>108</v>
      </c>
      <c r="F3595" s="2" t="s">
        <v>39</v>
      </c>
      <c r="G3595" s="2">
        <v>505556995</v>
      </c>
      <c r="H3595" s="2" t="s">
        <v>40</v>
      </c>
      <c r="I3595" s="2" t="s">
        <v>2798</v>
      </c>
      <c r="J3595" s="2" t="s">
        <v>2799</v>
      </c>
      <c r="L3595" s="2" t="s">
        <v>201</v>
      </c>
      <c r="M3595" s="2" t="s">
        <v>40</v>
      </c>
      <c r="O3595" s="2" t="s">
        <v>2800</v>
      </c>
      <c r="P3595" s="2" t="s">
        <v>114</v>
      </c>
      <c r="Q3595" s="2" t="s">
        <v>904</v>
      </c>
      <c r="R3595" s="2" t="s">
        <v>905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525"/>
        <v>0.50635864435864431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28"/>
        <v>0</v>
      </c>
      <c r="AG3595" s="2">
        <v>342.22</v>
      </c>
      <c r="AJ3595" s="2">
        <f t="shared" si="529"/>
        <v>0</v>
      </c>
      <c r="AK3595" s="2">
        <f t="shared" si="526"/>
        <v>354.09659999999997</v>
      </c>
      <c r="AL3595" s="5">
        <f t="shared" si="527"/>
        <v>0.50635864435864431</v>
      </c>
    </row>
    <row r="3596" spans="1:38" x14ac:dyDescent="0.2">
      <c r="A3596" s="2">
        <v>2026</v>
      </c>
      <c r="B3596" s="2">
        <v>4</v>
      </c>
      <c r="D3596" s="2" t="s">
        <v>687</v>
      </c>
      <c r="E3596" s="2" t="s">
        <v>38</v>
      </c>
      <c r="F3596" s="2" t="s">
        <v>39</v>
      </c>
      <c r="G3596" s="2">
        <v>501726519</v>
      </c>
      <c r="H3596" s="2" t="s">
        <v>290</v>
      </c>
      <c r="I3596" s="2" t="s">
        <v>437</v>
      </c>
      <c r="J3596" s="2" t="s">
        <v>688</v>
      </c>
      <c r="L3596" s="2" t="s">
        <v>339</v>
      </c>
      <c r="M3596" s="2" t="s">
        <v>40</v>
      </c>
      <c r="O3596" s="2" t="s">
        <v>2801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25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28"/>
        <v>0</v>
      </c>
      <c r="AJ3596" s="2">
        <f t="shared" si="529"/>
        <v>0</v>
      </c>
      <c r="AK3596" s="2">
        <f t="shared" si="526"/>
        <v>352.72999999999996</v>
      </c>
      <c r="AL3596" s="5">
        <f t="shared" si="527"/>
        <v>0.50440440440440437</v>
      </c>
    </row>
    <row r="3597" spans="1:38" x14ac:dyDescent="0.2">
      <c r="A3597" s="2">
        <v>2026</v>
      </c>
      <c r="B3597" s="2">
        <v>4</v>
      </c>
      <c r="D3597" s="2" t="s">
        <v>2604</v>
      </c>
      <c r="E3597" s="2" t="s">
        <v>108</v>
      </c>
      <c r="F3597" s="2" t="s">
        <v>39</v>
      </c>
      <c r="G3597" s="2">
        <v>5056222351</v>
      </c>
      <c r="H3597" s="2" t="s">
        <v>109</v>
      </c>
      <c r="I3597" s="2" t="s">
        <v>112</v>
      </c>
      <c r="J3597" s="2" t="s">
        <v>2605</v>
      </c>
      <c r="K3597" s="2">
        <v>935402550</v>
      </c>
      <c r="L3597" s="2" t="s">
        <v>112</v>
      </c>
      <c r="M3597" s="2" t="s">
        <v>40</v>
      </c>
      <c r="O3597" s="2" t="s">
        <v>2606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25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28"/>
        <v>0</v>
      </c>
      <c r="AG3597" s="2">
        <v>346.57</v>
      </c>
      <c r="AJ3597" s="2">
        <f t="shared" si="529"/>
        <v>0</v>
      </c>
      <c r="AK3597" s="2">
        <f t="shared" si="526"/>
        <v>352.72999999999996</v>
      </c>
      <c r="AL3597" s="5">
        <f t="shared" si="527"/>
        <v>0.50440440440440437</v>
      </c>
    </row>
    <row r="3598" spans="1:38" x14ac:dyDescent="0.2">
      <c r="A3598" s="2">
        <v>2026</v>
      </c>
      <c r="B3598" s="2">
        <v>4</v>
      </c>
      <c r="D3598" s="2" t="s">
        <v>2607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2608</v>
      </c>
      <c r="J3598" s="2" t="s">
        <v>2609</v>
      </c>
      <c r="K3598" s="2">
        <v>912183782</v>
      </c>
      <c r="L3598" s="2" t="s">
        <v>201</v>
      </c>
      <c r="M3598" s="2" t="s">
        <v>40</v>
      </c>
      <c r="O3598" s="2" t="s">
        <v>2610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25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28"/>
        <v>0</v>
      </c>
      <c r="AG3598" s="2">
        <v>346.57</v>
      </c>
      <c r="AJ3598" s="2">
        <f t="shared" si="529"/>
        <v>0</v>
      </c>
      <c r="AK3598" s="2">
        <f t="shared" si="526"/>
        <v>352.72999999999996</v>
      </c>
      <c r="AL3598" s="5">
        <f t="shared" si="527"/>
        <v>0.50440440440440437</v>
      </c>
    </row>
    <row r="3599" spans="1:38" x14ac:dyDescent="0.2">
      <c r="A3599" s="2">
        <v>2026</v>
      </c>
      <c r="B3599" s="2">
        <v>4</v>
      </c>
      <c r="D3599" s="2" t="s">
        <v>2614</v>
      </c>
      <c r="M3599" s="2" t="s">
        <v>40</v>
      </c>
      <c r="O3599" s="2" t="s">
        <v>2802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525"/>
        <v>0.50440440440440437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28"/>
        <v>0</v>
      </c>
      <c r="AJ3599" s="2">
        <f t="shared" si="529"/>
        <v>0</v>
      </c>
      <c r="AK3599" s="2">
        <f t="shared" si="526"/>
        <v>352.72999999999996</v>
      </c>
      <c r="AL3599" s="5">
        <f t="shared" si="527"/>
        <v>0.50440440440440437</v>
      </c>
    </row>
    <row r="3600" spans="1:38" x14ac:dyDescent="0.2">
      <c r="A3600" s="2">
        <v>2026</v>
      </c>
      <c r="B3600" s="2">
        <v>4</v>
      </c>
      <c r="C3600" s="2" t="s">
        <v>3318</v>
      </c>
      <c r="D3600" s="2" t="s">
        <v>624</v>
      </c>
      <c r="E3600" s="2" t="s">
        <v>38</v>
      </c>
      <c r="F3600" s="2" t="s">
        <v>39</v>
      </c>
      <c r="G3600" s="2" t="s">
        <v>625</v>
      </c>
      <c r="H3600" s="2" t="s">
        <v>40</v>
      </c>
      <c r="I3600" s="2" t="s">
        <v>626</v>
      </c>
      <c r="J3600" s="2" t="s">
        <v>627</v>
      </c>
      <c r="L3600" s="2" t="s">
        <v>626</v>
      </c>
      <c r="M3600" s="2" t="s">
        <v>40</v>
      </c>
      <c r="O3600" s="2" t="s">
        <v>2775</v>
      </c>
      <c r="P3600" s="2" t="s">
        <v>114</v>
      </c>
      <c r="Q3600" s="2" t="s">
        <v>179</v>
      </c>
      <c r="R3600" s="2" t="s">
        <v>180</v>
      </c>
      <c r="S3600" s="2">
        <v>1</v>
      </c>
      <c r="T3600" s="2">
        <v>575.95000000000005</v>
      </c>
      <c r="V3600" s="2">
        <f>T3600</f>
        <v>575.95000000000005</v>
      </c>
      <c r="W3600" s="2">
        <v>346.57</v>
      </c>
      <c r="X3600" s="5">
        <f t="shared" si="525"/>
        <v>0.39826373817171634</v>
      </c>
      <c r="Z3600" s="2" t="s">
        <v>117</v>
      </c>
      <c r="AA3600" s="2" t="s">
        <v>181</v>
      </c>
      <c r="AB3600" s="2" t="s">
        <v>119</v>
      </c>
      <c r="AC3600" s="2" t="s">
        <v>114</v>
      </c>
      <c r="AF3600" s="2">
        <f t="shared" si="528"/>
        <v>0</v>
      </c>
      <c r="AJ3600" s="2">
        <f t="shared" si="529"/>
        <v>0</v>
      </c>
      <c r="AK3600" s="2">
        <f t="shared" si="526"/>
        <v>229.38000000000005</v>
      </c>
      <c r="AL3600" s="5">
        <f t="shared" si="527"/>
        <v>0.39826373817171634</v>
      </c>
    </row>
    <row r="3601" spans="1:38" x14ac:dyDescent="0.2">
      <c r="A3601" s="2">
        <v>2026</v>
      </c>
      <c r="B3601" s="2">
        <v>4</v>
      </c>
      <c r="D3601" s="2" t="s">
        <v>1599</v>
      </c>
      <c r="M3601" s="2" t="s">
        <v>40</v>
      </c>
      <c r="O3601" s="2" t="s">
        <v>2803</v>
      </c>
      <c r="P3601" s="2" t="s">
        <v>114</v>
      </c>
      <c r="Q3601" s="2" t="s">
        <v>1200</v>
      </c>
      <c r="R3601" s="2" t="s">
        <v>1201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525"/>
        <v>0.5293853871808526</v>
      </c>
      <c r="Z3601" s="2" t="s">
        <v>117</v>
      </c>
      <c r="AA3601" s="2" t="s">
        <v>118</v>
      </c>
      <c r="AB3601" s="2" t="s">
        <v>119</v>
      </c>
      <c r="AC3601" s="2" t="s">
        <v>119</v>
      </c>
      <c r="AF3601" s="2">
        <f t="shared" si="528"/>
        <v>0</v>
      </c>
      <c r="AG3601" s="2">
        <f>167.92</f>
        <v>167.92</v>
      </c>
      <c r="AJ3601" s="2">
        <f t="shared" si="529"/>
        <v>0</v>
      </c>
      <c r="AK3601" s="2">
        <f t="shared" si="526"/>
        <v>188.89000000000001</v>
      </c>
      <c r="AL3601" s="5">
        <f t="shared" si="527"/>
        <v>0.5293853871808526</v>
      </c>
    </row>
    <row r="3602" spans="1:38" x14ac:dyDescent="0.2">
      <c r="A3602" s="2">
        <v>2026</v>
      </c>
      <c r="B3602" s="2">
        <v>4</v>
      </c>
      <c r="D3602" s="2" t="s">
        <v>2795</v>
      </c>
      <c r="M3602" s="2" t="s">
        <v>40</v>
      </c>
      <c r="P3602" s="2" t="s">
        <v>187</v>
      </c>
      <c r="Q3602" s="2" t="s">
        <v>188</v>
      </c>
      <c r="R3602" s="2" t="s">
        <v>189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525"/>
        <v>0.6</v>
      </c>
      <c r="Z3602" s="2" t="s">
        <v>117</v>
      </c>
      <c r="AA3602" s="2" t="s">
        <v>190</v>
      </c>
      <c r="AB3602" s="2" t="s">
        <v>189</v>
      </c>
      <c r="AC3602" s="2" t="s">
        <v>40</v>
      </c>
      <c r="AF3602" s="2">
        <f t="shared" si="528"/>
        <v>0</v>
      </c>
      <c r="AG3602" s="2">
        <f>W3602</f>
        <v>36.800000000000004</v>
      </c>
      <c r="AJ3602" s="2">
        <f t="shared" si="529"/>
        <v>0</v>
      </c>
      <c r="AK3602" s="2">
        <f t="shared" si="526"/>
        <v>55.199999999999996</v>
      </c>
      <c r="AL3602" s="5">
        <f t="shared" si="527"/>
        <v>0.6</v>
      </c>
    </row>
    <row r="3603" spans="1:38" x14ac:dyDescent="0.2">
      <c r="A3603" s="2">
        <v>2026</v>
      </c>
      <c r="B3603" s="2">
        <v>4</v>
      </c>
      <c r="D3603" s="2" t="s">
        <v>2283</v>
      </c>
      <c r="M3603" s="2" t="s">
        <v>40</v>
      </c>
      <c r="O3603" s="2" t="s">
        <v>2804</v>
      </c>
      <c r="P3603" s="2" t="s">
        <v>114</v>
      </c>
      <c r="Q3603" s="2" t="s">
        <v>467</v>
      </c>
      <c r="R3603" s="2" t="s">
        <v>468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237.8466</v>
      </c>
      <c r="X3603" s="5">
        <f t="shared" si="525"/>
        <v>0.51342702835399534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28"/>
        <v>0</v>
      </c>
      <c r="AG3603" s="2">
        <f>231.78+0.96</f>
        <v>232.74</v>
      </c>
      <c r="AJ3603" s="2">
        <f t="shared" si="529"/>
        <v>0</v>
      </c>
      <c r="AK3603" s="2">
        <f t="shared" si="526"/>
        <v>250.9734</v>
      </c>
      <c r="AL3603" s="5">
        <f t="shared" si="527"/>
        <v>0.51342702835399534</v>
      </c>
    </row>
    <row r="3604" spans="1:38" x14ac:dyDescent="0.2">
      <c r="A3604" s="2">
        <v>2026</v>
      </c>
      <c r="B3604" s="2">
        <v>4</v>
      </c>
      <c r="D3604" s="2" t="s">
        <v>1000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1001</v>
      </c>
      <c r="J3604" s="2" t="s">
        <v>1002</v>
      </c>
      <c r="K3604" s="2">
        <v>917233128</v>
      </c>
      <c r="L3604" s="2" t="s">
        <v>99</v>
      </c>
      <c r="M3604" s="2" t="s">
        <v>40</v>
      </c>
      <c r="O3604" s="2" t="s">
        <v>2603</v>
      </c>
      <c r="P3604" s="2" t="s">
        <v>114</v>
      </c>
      <c r="Q3604" s="2" t="s">
        <v>1655</v>
      </c>
      <c r="R3604" s="2" t="s">
        <v>1656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525"/>
        <v>0.69334083148138115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28"/>
        <v>0</v>
      </c>
      <c r="AG3604" s="2">
        <v>565.755</v>
      </c>
      <c r="AJ3604" s="2">
        <f t="shared" si="529"/>
        <v>0</v>
      </c>
      <c r="AK3604" s="2">
        <f t="shared" si="526"/>
        <v>1279.1445000000001</v>
      </c>
      <c r="AL3604" s="5">
        <f t="shared" si="527"/>
        <v>0.69334083148138115</v>
      </c>
    </row>
    <row r="3605" spans="1:38" x14ac:dyDescent="0.2">
      <c r="A3605" s="2">
        <v>2026</v>
      </c>
      <c r="B3605" s="2">
        <v>4</v>
      </c>
      <c r="C3605" s="2" t="s">
        <v>3443</v>
      </c>
      <c r="D3605" s="2" t="s">
        <v>941</v>
      </c>
      <c r="E3605" s="2" t="s">
        <v>38</v>
      </c>
      <c r="F3605" s="2" t="s">
        <v>39</v>
      </c>
      <c r="L3605" s="2" t="s">
        <v>177</v>
      </c>
      <c r="M3605" s="2" t="s">
        <v>40</v>
      </c>
      <c r="O3605" s="2" t="s">
        <v>2805</v>
      </c>
      <c r="P3605" s="2" t="s">
        <v>114</v>
      </c>
      <c r="Q3605" s="2" t="s">
        <v>793</v>
      </c>
      <c r="R3605" s="2" t="s">
        <v>794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525"/>
        <v>0.66809046530951399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28"/>
        <v>0</v>
      </c>
      <c r="AG3605" s="2">
        <v>255.65</v>
      </c>
      <c r="AJ3605" s="2">
        <f t="shared" si="529"/>
        <v>0</v>
      </c>
      <c r="AK3605" s="2">
        <f t="shared" si="526"/>
        <v>514.59</v>
      </c>
      <c r="AL3605" s="5">
        <f t="shared" si="527"/>
        <v>0.66809046530951399</v>
      </c>
    </row>
    <row r="3606" spans="1:38" x14ac:dyDescent="0.2">
      <c r="A3606" s="2">
        <v>2026</v>
      </c>
      <c r="B3606" s="2">
        <v>4</v>
      </c>
      <c r="C3606" s="2" t="s">
        <v>3450</v>
      </c>
      <c r="D3606" s="2" t="s">
        <v>558</v>
      </c>
      <c r="E3606" s="2" t="s">
        <v>108</v>
      </c>
      <c r="F3606" s="2" t="s">
        <v>39</v>
      </c>
      <c r="G3606" s="2">
        <v>506517233</v>
      </c>
      <c r="H3606" s="2" t="s">
        <v>80</v>
      </c>
      <c r="I3606" s="2" t="s">
        <v>559</v>
      </c>
      <c r="J3606" s="2" t="s">
        <v>560</v>
      </c>
      <c r="L3606" s="2" t="s">
        <v>133</v>
      </c>
      <c r="M3606" s="2" t="s">
        <v>40</v>
      </c>
      <c r="O3606" s="2" t="s">
        <v>2806</v>
      </c>
      <c r="P3606" s="2" t="s">
        <v>114</v>
      </c>
      <c r="Q3606" s="2" t="s">
        <v>2486</v>
      </c>
      <c r="R3606" s="2" t="s">
        <v>2487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525"/>
        <v>0.52137606996650543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28"/>
        <v>0</v>
      </c>
      <c r="AG3606" s="2">
        <v>102.88249999999999</v>
      </c>
      <c r="AJ3606" s="2">
        <f t="shared" si="529"/>
        <v>0</v>
      </c>
      <c r="AK3606" s="2">
        <f t="shared" si="526"/>
        <v>112.075</v>
      </c>
      <c r="AL3606" s="5">
        <f t="shared" si="527"/>
        <v>0.52137606996650543</v>
      </c>
    </row>
    <row r="3607" spans="1:38" x14ac:dyDescent="0.2">
      <c r="A3607" s="2">
        <v>2026</v>
      </c>
      <c r="B3607" s="2">
        <v>4</v>
      </c>
      <c r="D3607" s="2" t="s">
        <v>1599</v>
      </c>
      <c r="M3607" s="2" t="s">
        <v>40</v>
      </c>
      <c r="O3607" s="2" t="s">
        <v>2803</v>
      </c>
      <c r="P3607" s="2" t="s">
        <v>114</v>
      </c>
      <c r="Q3607" s="2" t="s">
        <v>2807</v>
      </c>
      <c r="R3607" s="2" t="s">
        <v>2808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525"/>
        <v>0.52339622641509442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28"/>
        <v>0</v>
      </c>
      <c r="AG3607" s="2">
        <v>42.436799999999998</v>
      </c>
      <c r="AJ3607" s="2">
        <f t="shared" si="529"/>
        <v>0</v>
      </c>
      <c r="AK3607" s="2">
        <f t="shared" si="526"/>
        <v>46.603200000000008</v>
      </c>
      <c r="AL3607" s="5">
        <f t="shared" si="527"/>
        <v>0.52339622641509442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457</v>
      </c>
      <c r="P3608" s="2" t="s">
        <v>114</v>
      </c>
      <c r="Q3608" s="2" t="s">
        <v>2809</v>
      </c>
      <c r="R3608" s="2" t="s">
        <v>2810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525"/>
        <v>0.21486031452358925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28"/>
        <v>0</v>
      </c>
      <c r="AG3608" s="2">
        <v>42.436799999999998</v>
      </c>
      <c r="AJ3608" s="2">
        <f t="shared" si="529"/>
        <v>0</v>
      </c>
      <c r="AK3608" s="2">
        <f t="shared" si="526"/>
        <v>11.613199999999999</v>
      </c>
      <c r="AL3608" s="5">
        <f t="shared" si="527"/>
        <v>0.21486031452358925</v>
      </c>
    </row>
    <row r="3609" spans="1:38" x14ac:dyDescent="0.2">
      <c r="A3609" s="2">
        <v>2026</v>
      </c>
      <c r="B3609" s="2">
        <v>4</v>
      </c>
      <c r="D3609" s="2" t="s">
        <v>574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177</v>
      </c>
      <c r="J3609" s="2" t="s">
        <v>575</v>
      </c>
      <c r="L3609" s="2" t="s">
        <v>177</v>
      </c>
      <c r="M3609" s="2" t="s">
        <v>40</v>
      </c>
      <c r="O3609" s="2" t="s">
        <v>2784</v>
      </c>
      <c r="P3609" s="2" t="s">
        <v>114</v>
      </c>
      <c r="Q3609" s="2" t="s">
        <v>2811</v>
      </c>
      <c r="R3609" s="2" t="s">
        <v>2812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525"/>
        <v>0.51613894866277277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28"/>
        <v>0</v>
      </c>
      <c r="AG3609" s="2">
        <f>15.49+0.25</f>
        <v>15.74</v>
      </c>
      <c r="AJ3609" s="2">
        <f t="shared" si="529"/>
        <v>0</v>
      </c>
      <c r="AK3609" s="2">
        <f t="shared" si="526"/>
        <v>16.79</v>
      </c>
      <c r="AL3609" s="5">
        <f t="shared" si="527"/>
        <v>0.51613894866277277</v>
      </c>
    </row>
    <row r="3610" spans="1:38" x14ac:dyDescent="0.2">
      <c r="A3610" s="2">
        <v>2026</v>
      </c>
      <c r="B3610" s="2">
        <v>4</v>
      </c>
      <c r="D3610" s="2" t="s">
        <v>1590</v>
      </c>
      <c r="M3610" s="2" t="s">
        <v>40</v>
      </c>
      <c r="O3610" s="2" t="s">
        <v>2813</v>
      </c>
      <c r="P3610" s="2" t="s">
        <v>114</v>
      </c>
      <c r="Q3610" s="2" t="s">
        <v>1591</v>
      </c>
      <c r="R3610" s="2" t="s">
        <v>1592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525"/>
        <v>0.54239107104528872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28"/>
        <v>0</v>
      </c>
      <c r="AG3610" s="2">
        <v>21.32</v>
      </c>
      <c r="AJ3610" s="2">
        <f t="shared" si="529"/>
        <v>0</v>
      </c>
      <c r="AK3610" s="2">
        <f t="shared" si="526"/>
        <v>25.270000000000003</v>
      </c>
      <c r="AL3610" s="5">
        <f t="shared" si="527"/>
        <v>0.54239107104528872</v>
      </c>
    </row>
    <row r="3611" spans="1:38" x14ac:dyDescent="0.2">
      <c r="A3611" s="2">
        <v>2026</v>
      </c>
      <c r="B3611" s="2">
        <v>4</v>
      </c>
      <c r="D3611" s="2" t="s">
        <v>906</v>
      </c>
      <c r="M3611" s="2" t="s">
        <v>40</v>
      </c>
      <c r="O3611" s="2" t="s">
        <v>2814</v>
      </c>
      <c r="P3611" s="2" t="s">
        <v>114</v>
      </c>
      <c r="Q3611" s="2" t="s">
        <v>2815</v>
      </c>
      <c r="R3611" s="2" t="s">
        <v>2816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525"/>
        <v>0.52789791969037259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28"/>
        <v>0</v>
      </c>
      <c r="AG3611" s="2">
        <v>19.5167</v>
      </c>
      <c r="AJ3611" s="2">
        <f t="shared" si="529"/>
        <v>0</v>
      </c>
      <c r="AK3611" s="2">
        <f t="shared" si="526"/>
        <v>21.823300000000003</v>
      </c>
      <c r="AL3611" s="5">
        <f t="shared" si="527"/>
        <v>0.52789791969037259</v>
      </c>
    </row>
    <row r="3612" spans="1:38" x14ac:dyDescent="0.2">
      <c r="A3612" s="2">
        <v>2026</v>
      </c>
      <c r="B3612" s="2">
        <v>4</v>
      </c>
      <c r="D3612" s="2" t="s">
        <v>643</v>
      </c>
      <c r="E3612" s="2" t="s">
        <v>108</v>
      </c>
      <c r="F3612" s="2" t="s">
        <v>477</v>
      </c>
      <c r="G3612" s="2">
        <v>509056946</v>
      </c>
      <c r="H3612" s="2" t="s">
        <v>109</v>
      </c>
      <c r="I3612" s="2" t="s">
        <v>644</v>
      </c>
      <c r="J3612" s="2" t="s">
        <v>645</v>
      </c>
      <c r="K3612" s="2">
        <v>964495536</v>
      </c>
      <c r="L3612" s="2" t="s">
        <v>112</v>
      </c>
      <c r="M3612" s="2" t="s">
        <v>40</v>
      </c>
      <c r="O3612" s="2" t="s">
        <v>2817</v>
      </c>
      <c r="P3612" s="2" t="s">
        <v>114</v>
      </c>
      <c r="Q3612" s="2" t="s">
        <v>978</v>
      </c>
      <c r="R3612" s="2" t="s">
        <v>979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117</v>
      </c>
      <c r="AA3612" s="2" t="s">
        <v>118</v>
      </c>
      <c r="AB3612" s="2" t="s">
        <v>119</v>
      </c>
      <c r="AC3612" s="2" t="s">
        <v>114</v>
      </c>
      <c r="AF3612" s="2">
        <f t="shared" si="528"/>
        <v>0</v>
      </c>
      <c r="AJ3612" s="2">
        <f t="shared" si="529"/>
        <v>0</v>
      </c>
      <c r="AK3612" s="2">
        <f t="shared" ref="AK3612:AK3635" si="530">T3612-W3612</f>
        <v>-83.46</v>
      </c>
      <c r="AL3612" s="5">
        <f t="shared" ref="AL3612:AL3635" si="531">(T3612-W3612)/T3612</f>
        <v>1</v>
      </c>
    </row>
    <row r="3613" spans="1:38" x14ac:dyDescent="0.2">
      <c r="A3613" s="2">
        <v>2026</v>
      </c>
      <c r="B3613" s="2">
        <v>4</v>
      </c>
      <c r="D3613" s="2" t="s">
        <v>706</v>
      </c>
      <c r="E3613" s="2" t="s">
        <v>183</v>
      </c>
      <c r="G3613" s="2">
        <v>500038996</v>
      </c>
      <c r="H3613" s="2" t="s">
        <v>109</v>
      </c>
      <c r="I3613" s="2" t="s">
        <v>707</v>
      </c>
      <c r="J3613" s="2" t="s">
        <v>708</v>
      </c>
      <c r="K3613" s="2">
        <v>913640179</v>
      </c>
      <c r="L3613" s="2" t="s">
        <v>133</v>
      </c>
      <c r="M3613" s="2" t="s">
        <v>109</v>
      </c>
      <c r="P3613" s="2" t="s">
        <v>114</v>
      </c>
      <c r="Q3613" s="2" t="s">
        <v>1332</v>
      </c>
      <c r="R3613" s="2" t="s">
        <v>1333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532">(T3613-W3613)/T3613</f>
        <v>1</v>
      </c>
      <c r="Z3613" s="2" t="s">
        <v>117</v>
      </c>
      <c r="AF3613" s="2">
        <f t="shared" si="528"/>
        <v>0</v>
      </c>
      <c r="AJ3613" s="2">
        <f t="shared" si="529"/>
        <v>0</v>
      </c>
      <c r="AK3613" s="2">
        <f t="shared" si="530"/>
        <v>140.24</v>
      </c>
      <c r="AL3613" s="5">
        <f t="shared" si="531"/>
        <v>1</v>
      </c>
    </row>
    <row r="3614" spans="1:38" x14ac:dyDescent="0.2">
      <c r="A3614" s="2">
        <v>2026</v>
      </c>
      <c r="B3614" s="2">
        <v>4</v>
      </c>
      <c r="D3614" s="2" t="s">
        <v>1438</v>
      </c>
      <c r="P3614" s="2" t="s">
        <v>114</v>
      </c>
      <c r="Q3614" s="2" t="s">
        <v>1902</v>
      </c>
      <c r="R3614" s="2" t="s">
        <v>1903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532"/>
        <v>1</v>
      </c>
      <c r="Z3614" s="2" t="s">
        <v>117</v>
      </c>
      <c r="AF3614" s="2">
        <f t="shared" si="528"/>
        <v>0</v>
      </c>
      <c r="AJ3614" s="2">
        <f t="shared" si="529"/>
        <v>0</v>
      </c>
      <c r="AK3614" s="2">
        <f t="shared" si="530"/>
        <v>1031.94</v>
      </c>
      <c r="AL3614" s="5">
        <f t="shared" si="531"/>
        <v>1</v>
      </c>
    </row>
    <row r="3615" spans="1:38" x14ac:dyDescent="0.2">
      <c r="A3615" s="2">
        <v>2026</v>
      </c>
      <c r="B3615" s="2">
        <v>4</v>
      </c>
      <c r="C3615" s="2" t="s">
        <v>3450</v>
      </c>
      <c r="D3615" s="2" t="s">
        <v>451</v>
      </c>
      <c r="E3615" s="2" t="s">
        <v>108</v>
      </c>
      <c r="F3615" s="2" t="s">
        <v>39</v>
      </c>
      <c r="G3615" s="2">
        <v>506085686</v>
      </c>
      <c r="H3615" s="2" t="s">
        <v>40</v>
      </c>
      <c r="I3615" s="2" t="s">
        <v>452</v>
      </c>
      <c r="J3615" s="2" t="s">
        <v>453</v>
      </c>
      <c r="K3615" s="2">
        <v>917241919</v>
      </c>
      <c r="L3615" s="2" t="s">
        <v>398</v>
      </c>
      <c r="M3615" s="2" t="s">
        <v>40</v>
      </c>
      <c r="P3615" s="2" t="s">
        <v>114</v>
      </c>
      <c r="Q3615" s="2" t="s">
        <v>2502</v>
      </c>
      <c r="R3615" s="2" t="s">
        <v>2503</v>
      </c>
      <c r="S3615" s="2">
        <v>1</v>
      </c>
      <c r="T3615" s="2">
        <v>1594.72</v>
      </c>
      <c r="U3615" s="2">
        <v>366.78559999999999</v>
      </c>
      <c r="V3615" s="2">
        <v>1961.5056</v>
      </c>
      <c r="W3615" s="2">
        <v>566.66999999999996</v>
      </c>
      <c r="X3615" s="5">
        <f t="shared" si="532"/>
        <v>0.64465862345740954</v>
      </c>
      <c r="Z3615" s="2" t="s">
        <v>117</v>
      </c>
      <c r="AA3615" s="2" t="s">
        <v>118</v>
      </c>
      <c r="AB3615" s="2" t="s">
        <v>119</v>
      </c>
      <c r="AC3615" s="2" t="s">
        <v>114</v>
      </c>
      <c r="AF3615" s="2">
        <f t="shared" si="528"/>
        <v>0</v>
      </c>
      <c r="AJ3615" s="2">
        <f t="shared" si="529"/>
        <v>0</v>
      </c>
      <c r="AK3615" s="2">
        <f t="shared" si="530"/>
        <v>1028.0500000000002</v>
      </c>
      <c r="AL3615" s="5">
        <f t="shared" si="531"/>
        <v>0.64465862345740954</v>
      </c>
    </row>
    <row r="3616" spans="1:38" x14ac:dyDescent="0.2">
      <c r="A3616" s="2">
        <v>2026</v>
      </c>
      <c r="B3616" s="2">
        <v>4</v>
      </c>
      <c r="C3616" s="2" t="s">
        <v>3318</v>
      </c>
      <c r="D3616" s="2" t="s">
        <v>1162</v>
      </c>
      <c r="E3616" s="2" t="s">
        <v>752</v>
      </c>
      <c r="F3616" s="2" t="s">
        <v>1217</v>
      </c>
      <c r="G3616" s="2">
        <v>508199280</v>
      </c>
      <c r="H3616" s="2" t="s">
        <v>40</v>
      </c>
      <c r="I3616" s="2" t="s">
        <v>1163</v>
      </c>
      <c r="L3616" s="2" t="s">
        <v>293</v>
      </c>
      <c r="M3616" s="2" t="s">
        <v>40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532"/>
        <v>0.33274546591619764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28"/>
        <v>0</v>
      </c>
      <c r="AJ3616" s="2">
        <f t="shared" si="529"/>
        <v>0</v>
      </c>
      <c r="AK3616" s="2">
        <f t="shared" si="530"/>
        <v>5320.6</v>
      </c>
      <c r="AL3616" s="5">
        <f t="shared" si="531"/>
        <v>0.33274546591619764</v>
      </c>
    </row>
    <row r="3617" spans="1:38" x14ac:dyDescent="0.2">
      <c r="A3617" s="2">
        <v>2026</v>
      </c>
      <c r="B3617" s="2">
        <v>4</v>
      </c>
      <c r="D3617" s="2" t="s">
        <v>3258</v>
      </c>
      <c r="E3617" s="2" t="s">
        <v>38</v>
      </c>
      <c r="G3617" s="2">
        <v>500844321</v>
      </c>
      <c r="H3617" s="2" t="s">
        <v>40</v>
      </c>
      <c r="I3617" s="2" t="s">
        <v>339</v>
      </c>
      <c r="J3617" s="2" t="s">
        <v>2646</v>
      </c>
      <c r="L3617" s="2" t="s">
        <v>398</v>
      </c>
      <c r="M3617" s="2" t="s">
        <v>40</v>
      </c>
      <c r="O3617" s="2" t="s">
        <v>3259</v>
      </c>
      <c r="P3617" s="2" t="s">
        <v>114</v>
      </c>
      <c r="Q3617" s="2" t="s">
        <v>412</v>
      </c>
      <c r="R3617" s="2" t="s">
        <v>413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532"/>
        <v>0.26716811207471652</v>
      </c>
      <c r="Z3617" s="2" t="s">
        <v>104</v>
      </c>
      <c r="AA3617" s="2" t="s">
        <v>414</v>
      </c>
      <c r="AB3617" s="2" t="s">
        <v>151</v>
      </c>
      <c r="AC3617" s="2" t="s">
        <v>114</v>
      </c>
      <c r="AF3617" s="2">
        <f t="shared" si="528"/>
        <v>0</v>
      </c>
      <c r="AJ3617" s="2">
        <f t="shared" si="529"/>
        <v>0</v>
      </c>
      <c r="AK3617" s="2">
        <f t="shared" si="530"/>
        <v>4004.8500000000004</v>
      </c>
      <c r="AL3617" s="5">
        <f t="shared" si="531"/>
        <v>0.26716811207471652</v>
      </c>
    </row>
    <row r="3618" spans="1:38" x14ac:dyDescent="0.2">
      <c r="A3618" s="2">
        <v>2026</v>
      </c>
      <c r="B3618" s="2">
        <v>4</v>
      </c>
      <c r="C3618" s="2" t="s">
        <v>3318</v>
      </c>
      <c r="D3618" s="2" t="s">
        <v>1162</v>
      </c>
      <c r="E3618" s="2" t="s">
        <v>752</v>
      </c>
      <c r="F3618" s="2" t="s">
        <v>1217</v>
      </c>
      <c r="G3618" s="2">
        <v>508199280</v>
      </c>
      <c r="H3618" s="2" t="s">
        <v>40</v>
      </c>
      <c r="I3618" s="2" t="s">
        <v>1163</v>
      </c>
      <c r="L3618" s="2" t="s">
        <v>293</v>
      </c>
      <c r="M3618" s="2" t="s">
        <v>40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32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28"/>
        <v>0</v>
      </c>
      <c r="AG3618" s="2">
        <f>6193.4+275.33</f>
        <v>6468.73</v>
      </c>
      <c r="AJ3618" s="2">
        <f t="shared" si="529"/>
        <v>0</v>
      </c>
      <c r="AK3618" s="2">
        <f t="shared" si="530"/>
        <v>2461.2700000000004</v>
      </c>
      <c r="AL3618" s="5">
        <f t="shared" si="531"/>
        <v>0.27561814109742444</v>
      </c>
    </row>
    <row r="3619" spans="1:38" x14ac:dyDescent="0.2">
      <c r="A3619" s="2">
        <v>2026</v>
      </c>
      <c r="B3619" s="2">
        <v>4</v>
      </c>
      <c r="C3619" s="2" t="s">
        <v>3450</v>
      </c>
      <c r="D3619" s="2" t="s">
        <v>3457</v>
      </c>
      <c r="E3619" s="2" t="s">
        <v>108</v>
      </c>
      <c r="F3619" s="2" t="s">
        <v>395</v>
      </c>
      <c r="L3619" s="2" t="s">
        <v>418</v>
      </c>
      <c r="M3619" s="2" t="s">
        <v>41</v>
      </c>
      <c r="O3619" s="2" t="s">
        <v>2818</v>
      </c>
      <c r="P3619" s="2" t="s">
        <v>114</v>
      </c>
      <c r="Q3619" s="2" t="s">
        <v>955</v>
      </c>
      <c r="R3619" s="2" t="s">
        <v>956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532"/>
        <v>0.27561814109742444</v>
      </c>
      <c r="Z3619" s="2" t="s">
        <v>104</v>
      </c>
      <c r="AA3619" s="2" t="s">
        <v>616</v>
      </c>
      <c r="AB3619" s="2" t="s">
        <v>957</v>
      </c>
      <c r="AC3619" s="2" t="s">
        <v>114</v>
      </c>
      <c r="AF3619" s="2">
        <f t="shared" si="528"/>
        <v>0</v>
      </c>
      <c r="AG3619" s="2">
        <v>6468.73</v>
      </c>
      <c r="AJ3619" s="2">
        <f t="shared" si="529"/>
        <v>0</v>
      </c>
      <c r="AK3619" s="2">
        <f t="shared" si="530"/>
        <v>2461.2700000000004</v>
      </c>
      <c r="AL3619" s="5">
        <f t="shared" si="531"/>
        <v>0.27561814109742444</v>
      </c>
    </row>
    <row r="3620" spans="1:38" x14ac:dyDescent="0.2">
      <c r="A3620" s="2">
        <v>2026</v>
      </c>
      <c r="B3620" s="2">
        <v>4</v>
      </c>
      <c r="C3620" s="2" t="s">
        <v>3318</v>
      </c>
      <c r="D3620" s="2" t="s">
        <v>1162</v>
      </c>
      <c r="E3620" s="2" t="s">
        <v>752</v>
      </c>
      <c r="F3620" s="2" t="s">
        <v>1217</v>
      </c>
      <c r="G3620" s="2">
        <v>508199280</v>
      </c>
      <c r="H3620" s="2" t="s">
        <v>40</v>
      </c>
      <c r="I3620" s="2" t="s">
        <v>1163</v>
      </c>
      <c r="L3620" s="2" t="s">
        <v>293</v>
      </c>
      <c r="M3620" s="2" t="s">
        <v>40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532"/>
        <v>0.31005040871934608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28"/>
        <v>0</v>
      </c>
      <c r="AG3620" s="2">
        <f>4893.23+171</f>
        <v>5064.2299999999996</v>
      </c>
      <c r="AJ3620" s="2">
        <f t="shared" si="529"/>
        <v>0</v>
      </c>
      <c r="AK3620" s="2">
        <f t="shared" si="530"/>
        <v>2275.7700000000004</v>
      </c>
      <c r="AL3620" s="5">
        <f t="shared" si="531"/>
        <v>0.31005040871934608</v>
      </c>
    </row>
    <row r="3621" spans="1:38" x14ac:dyDescent="0.2">
      <c r="A3621" s="2">
        <v>2026</v>
      </c>
      <c r="B3621" s="2">
        <v>4</v>
      </c>
      <c r="D3621" s="2" t="s">
        <v>462</v>
      </c>
      <c r="E3621" s="2" t="s">
        <v>108</v>
      </c>
      <c r="F3621" s="2" t="s">
        <v>39</v>
      </c>
      <c r="G3621" s="2">
        <v>506531031</v>
      </c>
      <c r="H3621" s="2" t="s">
        <v>109</v>
      </c>
      <c r="I3621" s="2" t="s">
        <v>463</v>
      </c>
      <c r="J3621" s="2" t="s">
        <v>464</v>
      </c>
      <c r="L3621" s="2" t="s">
        <v>112</v>
      </c>
      <c r="O3621" s="2" t="s">
        <v>2819</v>
      </c>
      <c r="P3621" s="2" t="s">
        <v>114</v>
      </c>
      <c r="Q3621" s="2" t="s">
        <v>1578</v>
      </c>
      <c r="R3621" s="2" t="s">
        <v>1579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532"/>
        <v>0.27550357653791135</v>
      </c>
      <c r="Z3621" s="2" t="s">
        <v>104</v>
      </c>
      <c r="AA3621" s="2" t="s">
        <v>150</v>
      </c>
      <c r="AB3621" s="2" t="s">
        <v>151</v>
      </c>
      <c r="AC3621" s="2" t="s">
        <v>114</v>
      </c>
      <c r="AF3621" s="2">
        <f t="shared" si="528"/>
        <v>0</v>
      </c>
      <c r="AG3621" s="2">
        <f>4893.23+171</f>
        <v>5064.2299999999996</v>
      </c>
      <c r="AJ3621" s="2">
        <f t="shared" si="529"/>
        <v>0</v>
      </c>
      <c r="AK3621" s="2">
        <f t="shared" si="530"/>
        <v>1925.7700000000004</v>
      </c>
      <c r="AL3621" s="5">
        <f t="shared" si="531"/>
        <v>0.27550357653791135</v>
      </c>
    </row>
    <row r="3622" spans="1:38" x14ac:dyDescent="0.2">
      <c r="A3622" s="2">
        <v>2026</v>
      </c>
      <c r="B3622" s="2">
        <v>4</v>
      </c>
      <c r="C3622" s="2" t="s">
        <v>3443</v>
      </c>
      <c r="D3622" s="2" t="s">
        <v>2049</v>
      </c>
      <c r="E3622" s="2" t="s">
        <v>108</v>
      </c>
      <c r="F3622" s="2" t="s">
        <v>39</v>
      </c>
      <c r="G3622" s="2">
        <v>514960337</v>
      </c>
      <c r="H3622" s="2" t="s">
        <v>290</v>
      </c>
      <c r="I3622" s="2" t="s">
        <v>2779</v>
      </c>
      <c r="J3622" s="2" t="s">
        <v>2820</v>
      </c>
      <c r="K3622" s="2">
        <v>914732950</v>
      </c>
      <c r="L3622" s="2" t="s">
        <v>480</v>
      </c>
      <c r="M3622" s="2" t="s">
        <v>40</v>
      </c>
      <c r="O3622" s="2" t="s">
        <v>2821</v>
      </c>
      <c r="P3622" s="2" t="s">
        <v>1604</v>
      </c>
      <c r="Q3622" s="2" t="s">
        <v>1602</v>
      </c>
      <c r="R3622" s="2" t="s">
        <v>1603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532"/>
        <v>0.8525994772001162</v>
      </c>
      <c r="Z3622" s="2" t="s">
        <v>117</v>
      </c>
      <c r="AA3622" s="2" t="s">
        <v>118</v>
      </c>
      <c r="AB3622" s="2" t="s">
        <v>119</v>
      </c>
      <c r="AC3622" s="2" t="s">
        <v>1604</v>
      </c>
      <c r="AF3622" s="2">
        <f t="shared" si="528"/>
        <v>0</v>
      </c>
      <c r="AG3622" s="2">
        <v>10.15</v>
      </c>
      <c r="AJ3622" s="2">
        <f t="shared" si="529"/>
        <v>0</v>
      </c>
      <c r="AK3622" s="2">
        <f t="shared" si="530"/>
        <v>58.71</v>
      </c>
      <c r="AL3622" s="5">
        <f t="shared" si="531"/>
        <v>0.8525994772001162</v>
      </c>
    </row>
    <row r="3623" spans="1:38" x14ac:dyDescent="0.2">
      <c r="A3623" s="2">
        <v>2026</v>
      </c>
      <c r="B3623" s="2">
        <v>4</v>
      </c>
      <c r="C3623" s="2" t="s">
        <v>3445</v>
      </c>
      <c r="D3623" s="2" t="s">
        <v>451</v>
      </c>
      <c r="E3623" s="2" t="s">
        <v>108</v>
      </c>
      <c r="F3623" s="2" t="s">
        <v>39</v>
      </c>
      <c r="G3623" s="2">
        <v>506085686</v>
      </c>
      <c r="H3623" s="2" t="s">
        <v>40</v>
      </c>
      <c r="I3623" s="2" t="s">
        <v>452</v>
      </c>
      <c r="J3623" s="2" t="s">
        <v>453</v>
      </c>
      <c r="K3623" s="2">
        <v>917241919</v>
      </c>
      <c r="L3623" s="2" t="s">
        <v>398</v>
      </c>
      <c r="M3623" s="2" t="s">
        <v>40</v>
      </c>
      <c r="P3623" s="2" t="s">
        <v>1608</v>
      </c>
      <c r="Q3623" s="2" t="s">
        <v>2822</v>
      </c>
      <c r="R3623" s="2" t="s">
        <v>2823</v>
      </c>
      <c r="S3623" s="2">
        <v>2</v>
      </c>
      <c r="T3623" s="2">
        <v>9215</v>
      </c>
      <c r="U3623" s="2">
        <v>2119.4499999999998</v>
      </c>
      <c r="V3623" s="2">
        <v>11334.45</v>
      </c>
      <c r="W3623" s="2">
        <f>(3406.56+219.35)*S3623</f>
        <v>7251.82</v>
      </c>
      <c r="X3623" s="5">
        <f t="shared" si="532"/>
        <v>0.2130417797069995</v>
      </c>
      <c r="Z3623" s="2" t="s">
        <v>104</v>
      </c>
      <c r="AA3623" s="2" t="s">
        <v>264</v>
      </c>
      <c r="AB3623" s="2" t="s">
        <v>1095</v>
      </c>
      <c r="AC3623" s="2" t="s">
        <v>1608</v>
      </c>
      <c r="AF3623" s="2">
        <f t="shared" si="528"/>
        <v>0</v>
      </c>
      <c r="AJ3623" s="2">
        <f t="shared" si="529"/>
        <v>0</v>
      </c>
      <c r="AK3623" s="2">
        <f t="shared" si="530"/>
        <v>1963.1800000000003</v>
      </c>
      <c r="AL3623" s="5">
        <f t="shared" si="531"/>
        <v>0.2130417797069995</v>
      </c>
    </row>
    <row r="3624" spans="1:38" x14ac:dyDescent="0.2">
      <c r="A3624" s="2">
        <v>2026</v>
      </c>
      <c r="B3624" s="2">
        <v>4</v>
      </c>
      <c r="D3624" s="2" t="s">
        <v>1621</v>
      </c>
      <c r="E3624" s="2" t="s">
        <v>108</v>
      </c>
      <c r="F3624" s="2" t="s">
        <v>39</v>
      </c>
      <c r="G3624" s="2">
        <v>505915774</v>
      </c>
      <c r="H3624" s="2" t="s">
        <v>109</v>
      </c>
      <c r="I3624" s="2" t="s">
        <v>2824</v>
      </c>
      <c r="J3624" s="2" t="s">
        <v>2825</v>
      </c>
      <c r="L3624" s="2" t="s">
        <v>112</v>
      </c>
      <c r="M3624" s="2" t="s">
        <v>109</v>
      </c>
      <c r="O3624" s="2" t="s">
        <v>2826</v>
      </c>
      <c r="P3624" s="2" t="s">
        <v>282</v>
      </c>
      <c r="Q3624" s="2" t="s">
        <v>1205</v>
      </c>
      <c r="R3624" s="2" t="s">
        <v>1206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532"/>
        <v>0.50380622837370237</v>
      </c>
      <c r="Z3624" s="2" t="s">
        <v>3226</v>
      </c>
      <c r="AA3624" s="2" t="s">
        <v>71</v>
      </c>
      <c r="AB3624" s="2" t="s">
        <v>119</v>
      </c>
      <c r="AC3624" s="2" t="s">
        <v>119</v>
      </c>
      <c r="AF3624" s="2">
        <f t="shared" si="528"/>
        <v>0</v>
      </c>
      <c r="AG3624" s="2">
        <v>14.34</v>
      </c>
      <c r="AJ3624" s="2">
        <f t="shared" si="529"/>
        <v>0</v>
      </c>
      <c r="AK3624" s="2">
        <f t="shared" si="530"/>
        <v>29.119999999999997</v>
      </c>
      <c r="AL3624" s="5">
        <f t="shared" si="531"/>
        <v>0.50380622837370237</v>
      </c>
    </row>
    <row r="3625" spans="1:38" x14ac:dyDescent="0.2">
      <c r="A3625" s="2">
        <v>2026</v>
      </c>
      <c r="B3625" s="2">
        <v>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P3625" s="2" t="s">
        <v>282</v>
      </c>
      <c r="Q3625" s="2" t="s">
        <v>2827</v>
      </c>
      <c r="R3625" s="2" t="s">
        <v>2828</v>
      </c>
      <c r="S3625" s="2">
        <v>1</v>
      </c>
      <c r="T3625" s="2">
        <v>11.2</v>
      </c>
      <c r="U3625" s="2">
        <v>2.5760000000000001</v>
      </c>
      <c r="V3625" s="2">
        <v>13.776</v>
      </c>
      <c r="W3625" s="2">
        <f>9.8+0.27</f>
        <v>10.07</v>
      </c>
      <c r="X3625" s="5">
        <f t="shared" si="532"/>
        <v>0.10089285714285706</v>
      </c>
      <c r="Z3625" s="2" t="s">
        <v>3226</v>
      </c>
      <c r="AA3625" s="2" t="s">
        <v>155</v>
      </c>
      <c r="AB3625" s="2" t="s">
        <v>3402</v>
      </c>
      <c r="AC3625" s="2" t="s">
        <v>1327</v>
      </c>
      <c r="AF3625" s="2">
        <f t="shared" si="528"/>
        <v>0</v>
      </c>
      <c r="AJ3625" s="2">
        <f t="shared" si="529"/>
        <v>0</v>
      </c>
      <c r="AK3625" s="2">
        <f t="shared" si="530"/>
        <v>1.129999999999999</v>
      </c>
      <c r="AL3625" s="5">
        <f t="shared" si="531"/>
        <v>0.10089285714285706</v>
      </c>
    </row>
    <row r="3626" spans="1:38" x14ac:dyDescent="0.2">
      <c r="A3626" s="2">
        <v>2026</v>
      </c>
      <c r="B3626" s="2">
        <v>4</v>
      </c>
      <c r="D3626" s="2" t="s">
        <v>781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782</v>
      </c>
      <c r="J3626" s="2" t="s">
        <v>783</v>
      </c>
      <c r="K3626" s="2">
        <v>917341136</v>
      </c>
      <c r="L3626" s="2" t="s">
        <v>99</v>
      </c>
      <c r="P3626" s="2" t="s">
        <v>282</v>
      </c>
      <c r="Q3626" s="2" t="s">
        <v>2829</v>
      </c>
      <c r="R3626" s="2" t="s">
        <v>2830</v>
      </c>
      <c r="S3626" s="2">
        <v>1</v>
      </c>
      <c r="T3626" s="2">
        <v>88.8</v>
      </c>
      <c r="U3626" s="2">
        <v>20.423999999999999</v>
      </c>
      <c r="V3626" s="2">
        <v>109.224</v>
      </c>
      <c r="W3626" s="2">
        <f>77.7+2.15</f>
        <v>79.850000000000009</v>
      </c>
      <c r="X3626" s="5">
        <f t="shared" si="532"/>
        <v>0.10078828828828816</v>
      </c>
      <c r="Z3626" s="2" t="s">
        <v>3226</v>
      </c>
      <c r="AA3626" s="2" t="s">
        <v>578</v>
      </c>
      <c r="AB3626" s="2" t="s">
        <v>119</v>
      </c>
      <c r="AC3626" s="2" t="s">
        <v>1327</v>
      </c>
      <c r="AF3626" s="2">
        <f t="shared" si="528"/>
        <v>0</v>
      </c>
      <c r="AJ3626" s="2">
        <f t="shared" si="529"/>
        <v>0</v>
      </c>
      <c r="AK3626" s="2">
        <f t="shared" si="530"/>
        <v>8.9499999999999886</v>
      </c>
      <c r="AL3626" s="5">
        <f t="shared" si="531"/>
        <v>0.10078828828828816</v>
      </c>
    </row>
    <row r="3627" spans="1:38" x14ac:dyDescent="0.2">
      <c r="A3627" s="2">
        <v>2026</v>
      </c>
      <c r="B3627" s="2">
        <v>4</v>
      </c>
      <c r="D3627" s="2" t="s">
        <v>174</v>
      </c>
      <c r="E3627" s="2" t="s">
        <v>38</v>
      </c>
      <c r="G3627" s="2">
        <v>507685261</v>
      </c>
      <c r="H3627" s="2" t="s">
        <v>41</v>
      </c>
      <c r="I3627" s="2" t="s">
        <v>175</v>
      </c>
      <c r="J3627" s="2" t="s">
        <v>176</v>
      </c>
      <c r="K3627" s="2">
        <v>932748418</v>
      </c>
      <c r="L3627" s="2" t="s">
        <v>177</v>
      </c>
      <c r="M3627" s="2" t="s">
        <v>41</v>
      </c>
      <c r="O3627" s="2" t="s">
        <v>2831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532"/>
        <v>0.26733668341708544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28"/>
        <v>0</v>
      </c>
      <c r="AG3627" s="2">
        <v>1458</v>
      </c>
      <c r="AJ3627" s="2">
        <f t="shared" si="529"/>
        <v>0</v>
      </c>
      <c r="AK3627" s="2">
        <f t="shared" si="530"/>
        <v>532</v>
      </c>
      <c r="AL3627" s="5">
        <f t="shared" si="531"/>
        <v>0.26733668341708544</v>
      </c>
    </row>
    <row r="3628" spans="1:38" x14ac:dyDescent="0.2">
      <c r="A3628" s="2">
        <v>2026</v>
      </c>
      <c r="B3628" s="2">
        <v>4</v>
      </c>
      <c r="D3628" s="2" t="s">
        <v>2832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532"/>
        <v>1</v>
      </c>
      <c r="Z3628" s="2" t="s">
        <v>104</v>
      </c>
      <c r="AF3628" s="2">
        <f t="shared" si="528"/>
        <v>0</v>
      </c>
      <c r="AJ3628" s="2">
        <f t="shared" si="529"/>
        <v>0</v>
      </c>
      <c r="AK3628" s="2">
        <f t="shared" si="530"/>
        <v>1990</v>
      </c>
      <c r="AL3628" s="5">
        <f t="shared" si="531"/>
        <v>1</v>
      </c>
    </row>
    <row r="3629" spans="1:38" x14ac:dyDescent="0.2">
      <c r="A3629" s="2">
        <v>2026</v>
      </c>
      <c r="B3629" s="2">
        <v>4</v>
      </c>
      <c r="D3629" s="2" t="s">
        <v>781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782</v>
      </c>
      <c r="J3629" s="2" t="s">
        <v>783</v>
      </c>
      <c r="K3629" s="2">
        <v>917341136</v>
      </c>
      <c r="L3629" s="2" t="s">
        <v>99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532"/>
        <v>1</v>
      </c>
      <c r="Z3629" s="2" t="s">
        <v>104</v>
      </c>
      <c r="AF3629" s="2">
        <f t="shared" si="528"/>
        <v>0</v>
      </c>
      <c r="AJ3629" s="2">
        <f t="shared" si="529"/>
        <v>0</v>
      </c>
      <c r="AK3629" s="2">
        <f t="shared" si="530"/>
        <v>1791</v>
      </c>
      <c r="AL3629" s="5">
        <f t="shared" si="531"/>
        <v>1</v>
      </c>
    </row>
    <row r="3630" spans="1:38" x14ac:dyDescent="0.2">
      <c r="A3630" s="2">
        <v>2026</v>
      </c>
      <c r="B3630" s="2">
        <v>4</v>
      </c>
      <c r="D3630" s="2" t="s">
        <v>2752</v>
      </c>
      <c r="E3630" s="2" t="s">
        <v>38</v>
      </c>
      <c r="F3630" s="2" t="s">
        <v>39</v>
      </c>
      <c r="G3630" s="2">
        <v>501938311</v>
      </c>
      <c r="H3630" s="2" t="s">
        <v>109</v>
      </c>
      <c r="I3630" s="2" t="s">
        <v>2753</v>
      </c>
      <c r="J3630" s="2" t="s">
        <v>2754</v>
      </c>
      <c r="K3630" s="2">
        <v>962332957</v>
      </c>
      <c r="L3630" s="2" t="s">
        <v>112</v>
      </c>
      <c r="M3630" s="2" t="s">
        <v>109</v>
      </c>
      <c r="O3630" s="2" t="s">
        <v>2833</v>
      </c>
      <c r="P3630" s="2" t="s">
        <v>282</v>
      </c>
      <c r="Q3630" s="2" t="s">
        <v>1779</v>
      </c>
      <c r="R3630" s="2" t="s">
        <v>1780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532"/>
        <v>0.26733668341708544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28"/>
        <v>0</v>
      </c>
      <c r="AG3630" s="2">
        <v>1458</v>
      </c>
      <c r="AJ3630" s="2">
        <f t="shared" si="529"/>
        <v>0</v>
      </c>
      <c r="AK3630" s="2">
        <f t="shared" si="530"/>
        <v>532</v>
      </c>
      <c r="AL3630" s="5">
        <f t="shared" si="531"/>
        <v>0.26733668341708544</v>
      </c>
    </row>
    <row r="3631" spans="1:38" x14ac:dyDescent="0.2">
      <c r="A3631" s="2">
        <v>2026</v>
      </c>
      <c r="B3631" s="2">
        <v>4</v>
      </c>
      <c r="D3631" s="2" t="s">
        <v>174</v>
      </c>
      <c r="E3631" s="2" t="s">
        <v>38</v>
      </c>
      <c r="G3631" s="2">
        <v>507685261</v>
      </c>
      <c r="H3631" s="2" t="s">
        <v>41</v>
      </c>
      <c r="I3631" s="2" t="s">
        <v>175</v>
      </c>
      <c r="J3631" s="2" t="s">
        <v>176</v>
      </c>
      <c r="K3631" s="2">
        <v>932748418</v>
      </c>
      <c r="L3631" s="2" t="s">
        <v>177</v>
      </c>
      <c r="M3631" s="2" t="s">
        <v>41</v>
      </c>
      <c r="O3631" s="2" t="s">
        <v>2831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532"/>
        <v>0.20703517587939699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28"/>
        <v>0</v>
      </c>
      <c r="AG3631" s="2">
        <v>1578</v>
      </c>
      <c r="AJ3631" s="2">
        <f t="shared" si="529"/>
        <v>0</v>
      </c>
      <c r="AK3631" s="2">
        <f t="shared" si="530"/>
        <v>412</v>
      </c>
      <c r="AL3631" s="5">
        <f t="shared" si="531"/>
        <v>0.20703517587939699</v>
      </c>
    </row>
    <row r="3632" spans="1:38" x14ac:dyDescent="0.2">
      <c r="A3632" s="2">
        <v>2026</v>
      </c>
      <c r="B3632" s="2">
        <v>4</v>
      </c>
      <c r="D3632" s="2" t="s">
        <v>781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782</v>
      </c>
      <c r="J3632" s="2" t="s">
        <v>783</v>
      </c>
      <c r="K3632" s="2">
        <v>917341136</v>
      </c>
      <c r="L3632" s="2" t="s">
        <v>99</v>
      </c>
      <c r="P3632" s="2" t="s">
        <v>282</v>
      </c>
      <c r="Q3632" s="2" t="s">
        <v>1328</v>
      </c>
      <c r="R3632" s="2" t="s">
        <v>1329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532"/>
        <v>0.18449612403100776</v>
      </c>
      <c r="Z3632" s="2" t="s">
        <v>104</v>
      </c>
      <c r="AA3632" s="2" t="s">
        <v>387</v>
      </c>
      <c r="AB3632" s="2" t="s">
        <v>1330</v>
      </c>
      <c r="AC3632" s="2" t="s">
        <v>1327</v>
      </c>
      <c r="AF3632" s="2">
        <f t="shared" si="528"/>
        <v>0</v>
      </c>
      <c r="AJ3632" s="2">
        <f t="shared" si="529"/>
        <v>0</v>
      </c>
      <c r="AK3632" s="2">
        <f t="shared" si="530"/>
        <v>357</v>
      </c>
      <c r="AL3632" s="5">
        <f t="shared" si="531"/>
        <v>0.18449612403100776</v>
      </c>
    </row>
    <row r="3633" spans="1:38" x14ac:dyDescent="0.2">
      <c r="A3633" s="2">
        <v>2026</v>
      </c>
      <c r="B3633" s="2">
        <v>4</v>
      </c>
      <c r="D3633" s="2" t="s">
        <v>1573</v>
      </c>
      <c r="E3633" s="2" t="s">
        <v>752</v>
      </c>
      <c r="F3633" s="2" t="s">
        <v>39</v>
      </c>
      <c r="L3633" s="2" t="s">
        <v>461</v>
      </c>
      <c r="M3633" s="2" t="s">
        <v>40</v>
      </c>
      <c r="P3633" s="2" t="s">
        <v>282</v>
      </c>
      <c r="Q3633" s="2" t="s">
        <v>1284</v>
      </c>
      <c r="R3633" s="2" t="s">
        <v>1285</v>
      </c>
      <c r="S3633" s="2">
        <v>1</v>
      </c>
      <c r="T3633" s="2">
        <v>250</v>
      </c>
      <c r="U3633" s="2">
        <v>57.5</v>
      </c>
      <c r="V3633" s="2">
        <v>307.5</v>
      </c>
      <c r="W3633" s="2">
        <v>212.5</v>
      </c>
      <c r="X3633" s="5">
        <f t="shared" si="532"/>
        <v>0.15</v>
      </c>
      <c r="Z3633" s="2" t="s">
        <v>117</v>
      </c>
      <c r="AA3633" s="2" t="s">
        <v>181</v>
      </c>
      <c r="AB3633" s="2" t="s">
        <v>3380</v>
      </c>
      <c r="AC3633" s="2" t="s">
        <v>1327</v>
      </c>
      <c r="AF3633" s="2">
        <f t="shared" si="528"/>
        <v>0</v>
      </c>
      <c r="AJ3633" s="2">
        <f t="shared" si="529"/>
        <v>0</v>
      </c>
      <c r="AK3633" s="2">
        <f t="shared" si="530"/>
        <v>37.5</v>
      </c>
      <c r="AL3633" s="5">
        <f t="shared" si="531"/>
        <v>0.15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528</v>
      </c>
      <c r="R3634" s="2" t="s">
        <v>529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532"/>
        <v>0.22680412371134015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28"/>
        <v>0</v>
      </c>
      <c r="AG3634" s="2">
        <v>299.25</v>
      </c>
      <c r="AJ3634" s="2">
        <f t="shared" si="529"/>
        <v>0</v>
      </c>
      <c r="AK3634" s="2">
        <f t="shared" si="530"/>
        <v>87.779999999999973</v>
      </c>
      <c r="AL3634" s="5">
        <f t="shared" si="531"/>
        <v>0.22680412371134015</v>
      </c>
    </row>
    <row r="3635" spans="1:38" x14ac:dyDescent="0.2">
      <c r="A3635" s="2">
        <v>2026</v>
      </c>
      <c r="B3635" s="2">
        <v>4</v>
      </c>
      <c r="D3635" s="2" t="s">
        <v>2834</v>
      </c>
      <c r="E3635" s="2" t="s">
        <v>108</v>
      </c>
      <c r="F3635" s="2" t="s">
        <v>39</v>
      </c>
      <c r="G3635" s="2">
        <v>500412243</v>
      </c>
      <c r="H3635" s="2" t="s">
        <v>41</v>
      </c>
      <c r="I3635" s="2" t="s">
        <v>2835</v>
      </c>
      <c r="J3635" s="2" t="s">
        <v>2836</v>
      </c>
      <c r="K3635" s="2">
        <v>918896903</v>
      </c>
      <c r="L3635" s="2" t="s">
        <v>99</v>
      </c>
      <c r="M3635" s="2" t="s">
        <v>41</v>
      </c>
      <c r="O3635" s="2" t="s">
        <v>2837</v>
      </c>
      <c r="P3635" s="2" t="s">
        <v>282</v>
      </c>
      <c r="Q3635" s="2" t="s">
        <v>997</v>
      </c>
      <c r="R3635" s="2" t="s">
        <v>998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532"/>
        <v>0.38144329896907209</v>
      </c>
      <c r="Z3635" s="2" t="s">
        <v>3226</v>
      </c>
      <c r="AA3635" s="2" t="s">
        <v>71</v>
      </c>
      <c r="AB3635" s="2" t="s">
        <v>119</v>
      </c>
      <c r="AC3635" s="2" t="s">
        <v>119</v>
      </c>
      <c r="AF3635" s="2">
        <f t="shared" si="528"/>
        <v>0</v>
      </c>
      <c r="AG3635" s="2">
        <v>77.400000000000006</v>
      </c>
      <c r="AJ3635" s="2">
        <f t="shared" si="529"/>
        <v>0</v>
      </c>
      <c r="AK3635" s="2">
        <f t="shared" si="530"/>
        <v>47.72999999999999</v>
      </c>
      <c r="AL3635" s="5">
        <f t="shared" si="531"/>
        <v>0.38144329896907209</v>
      </c>
    </row>
    <row r="3636" spans="1:38" x14ac:dyDescent="0.2">
      <c r="A3636" s="2">
        <v>2026</v>
      </c>
      <c r="B3636" s="2">
        <v>4</v>
      </c>
      <c r="D3636" s="2" t="s">
        <v>2521</v>
      </c>
      <c r="M3636" s="2" t="s">
        <v>109</v>
      </c>
      <c r="P3636" s="2" t="s">
        <v>282</v>
      </c>
      <c r="Q3636" s="2" t="s">
        <v>399</v>
      </c>
      <c r="R3636" s="2" t="s">
        <v>400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3226</v>
      </c>
      <c r="AA3636" s="2" t="s">
        <v>46</v>
      </c>
      <c r="AB3636" s="2" t="s">
        <v>60</v>
      </c>
      <c r="AC3636" s="2" t="s">
        <v>3331</v>
      </c>
      <c r="AF3636" s="2">
        <f t="shared" si="528"/>
        <v>0</v>
      </c>
      <c r="AJ3636" s="2">
        <f t="shared" si="529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1553</v>
      </c>
      <c r="E3637" s="2" t="s">
        <v>108</v>
      </c>
      <c r="F3637" s="2" t="s">
        <v>717</v>
      </c>
      <c r="G3637" s="2">
        <v>500975914</v>
      </c>
      <c r="H3637" s="2" t="s">
        <v>41</v>
      </c>
      <c r="I3637" s="2" t="s">
        <v>1554</v>
      </c>
      <c r="J3637" s="2" t="s">
        <v>1555</v>
      </c>
      <c r="L3637" s="2" t="s">
        <v>177</v>
      </c>
      <c r="M3637" s="2" t="s">
        <v>41</v>
      </c>
      <c r="P3637" s="2" t="s">
        <v>282</v>
      </c>
      <c r="Q3637" s="2" t="s">
        <v>401</v>
      </c>
      <c r="R3637" s="2" t="s">
        <v>402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3226</v>
      </c>
      <c r="AA3637" s="2" t="s">
        <v>46</v>
      </c>
      <c r="AB3637" s="2" t="s">
        <v>60</v>
      </c>
      <c r="AC3637" s="2" t="s">
        <v>3331</v>
      </c>
      <c r="AF3637" s="2">
        <f t="shared" si="528"/>
        <v>0</v>
      </c>
      <c r="AJ3637" s="2">
        <f t="shared" si="529"/>
        <v>0</v>
      </c>
      <c r="AK3637" s="2">
        <f>T3637-W3637</f>
        <v>109.80200000000002</v>
      </c>
      <c r="AL3637" s="5">
        <f>(T3637-W3637)/T3637</f>
        <v>0.27450500000000005</v>
      </c>
    </row>
    <row r="3638" spans="1:38" x14ac:dyDescent="0.2">
      <c r="A3638" s="2">
        <v>2026</v>
      </c>
      <c r="B3638" s="2">
        <v>4</v>
      </c>
      <c r="D3638" s="2" t="s">
        <v>2521</v>
      </c>
      <c r="M3638" s="2" t="s">
        <v>109</v>
      </c>
      <c r="P3638" s="2" t="s">
        <v>282</v>
      </c>
      <c r="Q3638" s="2" t="s">
        <v>401</v>
      </c>
      <c r="R3638" s="2" t="s">
        <v>402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3226</v>
      </c>
      <c r="AA3638" s="2" t="s">
        <v>46</v>
      </c>
      <c r="AB3638" s="2" t="s">
        <v>60</v>
      </c>
      <c r="AC3638" s="2" t="s">
        <v>3331</v>
      </c>
      <c r="AF3638" s="2">
        <f t="shared" si="528"/>
        <v>0</v>
      </c>
      <c r="AJ3638" s="2">
        <f t="shared" si="529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2838</v>
      </c>
      <c r="E3639" s="2" t="s">
        <v>38</v>
      </c>
      <c r="G3639" s="2">
        <v>184822033</v>
      </c>
      <c r="I3639" s="2" t="s">
        <v>2839</v>
      </c>
      <c r="L3639" s="2" t="s">
        <v>461</v>
      </c>
      <c r="M3639" s="2" t="s">
        <v>109</v>
      </c>
      <c r="O3639" s="2" t="s">
        <v>2840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533">(T3639-W3639)/T3639</f>
        <v>0.42321428571428571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28"/>
        <v>0</v>
      </c>
      <c r="AG3639" s="2">
        <v>14.535</v>
      </c>
      <c r="AH3639" s="2">
        <v>25.2</v>
      </c>
      <c r="AJ3639" s="2">
        <f t="shared" si="529"/>
        <v>0</v>
      </c>
      <c r="AK3639" s="2">
        <f t="shared" ref="AK3639:AK3670" si="534">T3639-W3639</f>
        <v>10.664999999999999</v>
      </c>
      <c r="AL3639" s="5">
        <f t="shared" ref="AL3639:AL3670" si="535">(T3639-W3639)/T3639</f>
        <v>0.42321428571428571</v>
      </c>
    </row>
    <row r="3640" spans="1:38" x14ac:dyDescent="0.2">
      <c r="A3640" s="2">
        <v>2026</v>
      </c>
      <c r="B3640" s="2">
        <v>4</v>
      </c>
      <c r="D3640" s="2" t="s">
        <v>422</v>
      </c>
      <c r="E3640" s="2" t="s">
        <v>98</v>
      </c>
      <c r="F3640" s="2" t="s">
        <v>39</v>
      </c>
      <c r="G3640" s="2">
        <v>503523470</v>
      </c>
      <c r="H3640" s="2" t="s">
        <v>40</v>
      </c>
      <c r="I3640" s="2" t="s">
        <v>423</v>
      </c>
      <c r="J3640" s="2" t="s">
        <v>424</v>
      </c>
      <c r="L3640" s="2" t="s">
        <v>201</v>
      </c>
      <c r="M3640" s="2" t="s">
        <v>80</v>
      </c>
      <c r="O3640" s="2" t="s">
        <v>2841</v>
      </c>
      <c r="P3640" s="2" t="s">
        <v>43</v>
      </c>
      <c r="Q3640" s="2" t="s">
        <v>1104</v>
      </c>
      <c r="R3640" s="2" t="s">
        <v>1105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533"/>
        <v>0.52380952380952384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28"/>
        <v>0</v>
      </c>
      <c r="AG3640" s="2">
        <v>10</v>
      </c>
      <c r="AH3640" s="2">
        <v>21</v>
      </c>
      <c r="AJ3640" s="2">
        <f t="shared" si="529"/>
        <v>0</v>
      </c>
      <c r="AK3640" s="2">
        <f t="shared" si="534"/>
        <v>11</v>
      </c>
      <c r="AL3640" s="5">
        <f t="shared" si="535"/>
        <v>0.52380952380952384</v>
      </c>
    </row>
    <row r="3641" spans="1:38" x14ac:dyDescent="0.2">
      <c r="A3641" s="2">
        <v>2026</v>
      </c>
      <c r="B3641" s="2">
        <v>4</v>
      </c>
      <c r="D3641" s="2" t="s">
        <v>2838</v>
      </c>
      <c r="E3641" s="2" t="s">
        <v>38</v>
      </c>
      <c r="G3641" s="2">
        <v>184822033</v>
      </c>
      <c r="I3641" s="2" t="s">
        <v>2842</v>
      </c>
      <c r="L3641" s="2" t="s">
        <v>461</v>
      </c>
      <c r="M3641" s="2" t="s">
        <v>109</v>
      </c>
      <c r="O3641" s="2" t="s">
        <v>2843</v>
      </c>
      <c r="P3641" s="2" t="s">
        <v>43</v>
      </c>
      <c r="Q3641" s="2" t="s">
        <v>351</v>
      </c>
      <c r="R3641" s="2" t="s">
        <v>352</v>
      </c>
      <c r="S3641" s="2">
        <v>1</v>
      </c>
      <c r="T3641" s="2">
        <v>21</v>
      </c>
      <c r="U3641" s="2">
        <v>4.83</v>
      </c>
      <c r="V3641" s="2">
        <v>25.83</v>
      </c>
      <c r="W3641" s="2">
        <f>10.67*S3641</f>
        <v>10.67</v>
      </c>
      <c r="X3641" s="5">
        <f t="shared" si="533"/>
        <v>0.4919047619047619</v>
      </c>
      <c r="Z3641" s="2" t="s">
        <v>3226</v>
      </c>
      <c r="AA3641" s="2" t="s">
        <v>46</v>
      </c>
      <c r="AB3641" s="2" t="s">
        <v>47</v>
      </c>
      <c r="AC3641" s="2" t="s">
        <v>57</v>
      </c>
      <c r="AF3641" s="2">
        <f t="shared" si="528"/>
        <v>0</v>
      </c>
      <c r="AG3641" s="2">
        <v>10.67</v>
      </c>
      <c r="AH3641" s="2">
        <v>21</v>
      </c>
      <c r="AJ3641" s="2">
        <f t="shared" si="529"/>
        <v>0</v>
      </c>
      <c r="AK3641" s="2">
        <f t="shared" si="534"/>
        <v>10.33</v>
      </c>
      <c r="AL3641" s="5">
        <f t="shared" si="535"/>
        <v>0.4919047619047619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72</v>
      </c>
      <c r="Q3642" s="2" t="s">
        <v>557</v>
      </c>
      <c r="R3642" s="2" t="s">
        <v>307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533"/>
        <v>0.46762608695652175</v>
      </c>
      <c r="Z3642" s="2" t="s">
        <v>3226</v>
      </c>
      <c r="AA3642" s="2" t="s">
        <v>75</v>
      </c>
      <c r="AB3642" s="2" t="s">
        <v>76</v>
      </c>
      <c r="AC3642" s="2" t="s">
        <v>77</v>
      </c>
      <c r="AF3642" s="2">
        <f t="shared" si="528"/>
        <v>0</v>
      </c>
      <c r="AG3642" s="2">
        <v>122.446</v>
      </c>
      <c r="AH3642" s="2">
        <v>230</v>
      </c>
      <c r="AJ3642" s="2">
        <f t="shared" si="529"/>
        <v>0</v>
      </c>
      <c r="AK3642" s="2">
        <f t="shared" si="534"/>
        <v>107.554</v>
      </c>
      <c r="AL3642" s="5">
        <f t="shared" si="535"/>
        <v>0.46762608695652175</v>
      </c>
    </row>
    <row r="3643" spans="1:38" x14ac:dyDescent="0.2">
      <c r="A3643" s="2">
        <v>2026</v>
      </c>
      <c r="B3643" s="2">
        <v>1</v>
      </c>
      <c r="D3643" s="2" t="s">
        <v>322</v>
      </c>
      <c r="E3643" s="2" t="s">
        <v>183</v>
      </c>
      <c r="G3643" s="2">
        <v>500048894</v>
      </c>
      <c r="H3643" s="2" t="s">
        <v>40</v>
      </c>
      <c r="I3643" s="2" t="s">
        <v>99</v>
      </c>
      <c r="J3643" s="2" t="s">
        <v>323</v>
      </c>
      <c r="L3643" s="2" t="s">
        <v>99</v>
      </c>
      <c r="M3643" s="2" t="s">
        <v>80</v>
      </c>
      <c r="O3643" s="2" t="s">
        <v>2844</v>
      </c>
      <c r="P3643" s="2" t="s">
        <v>93</v>
      </c>
      <c r="Q3643" s="2" t="s">
        <v>94</v>
      </c>
      <c r="R3643" s="2" t="s">
        <v>95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533"/>
        <v>0</v>
      </c>
      <c r="Z3643" s="2" t="s">
        <v>3226</v>
      </c>
      <c r="AA3643" s="2" t="s">
        <v>96</v>
      </c>
      <c r="AB3643" s="2" t="s">
        <v>76</v>
      </c>
      <c r="AC3643" s="2" t="s">
        <v>93</v>
      </c>
      <c r="AF3643" s="2">
        <f t="shared" si="528"/>
        <v>0</v>
      </c>
      <c r="AG3643" s="2">
        <v>1.48</v>
      </c>
      <c r="AH3643" s="2">
        <v>1.48</v>
      </c>
      <c r="AJ3643" s="2">
        <f t="shared" si="529"/>
        <v>0</v>
      </c>
      <c r="AK3643" s="2">
        <f t="shared" si="534"/>
        <v>0</v>
      </c>
      <c r="AL3643" s="5">
        <f t="shared" si="535"/>
        <v>0</v>
      </c>
    </row>
    <row r="3644" spans="1:38" x14ac:dyDescent="0.2">
      <c r="A3644" s="2">
        <v>2026</v>
      </c>
      <c r="B3644" s="2">
        <v>4</v>
      </c>
      <c r="D3644" s="2" t="s">
        <v>980</v>
      </c>
      <c r="E3644" s="2" t="s">
        <v>38</v>
      </c>
      <c r="F3644" s="2" t="s">
        <v>39</v>
      </c>
      <c r="L3644" s="2" t="s">
        <v>418</v>
      </c>
      <c r="M3644" s="2" t="s">
        <v>41</v>
      </c>
      <c r="P3644" s="2" t="s">
        <v>43</v>
      </c>
      <c r="Q3644" s="2" t="s">
        <v>48</v>
      </c>
      <c r="R3644" s="2" t="s">
        <v>49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536">6.6267*S3644</f>
        <v>6.6266999999999996</v>
      </c>
      <c r="X3644" s="5">
        <f t="shared" si="533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28"/>
        <v>0</v>
      </c>
      <c r="AG3644" s="2">
        <v>6.6266999999999996</v>
      </c>
      <c r="AH3644" s="2">
        <v>12</v>
      </c>
      <c r="AJ3644" s="2">
        <f t="shared" si="529"/>
        <v>0</v>
      </c>
      <c r="AK3644" s="2">
        <f t="shared" si="534"/>
        <v>6.3733000000000004</v>
      </c>
      <c r="AL3644" s="5">
        <f t="shared" si="535"/>
        <v>0.49025384615384621</v>
      </c>
    </row>
    <row r="3645" spans="1:38" x14ac:dyDescent="0.2">
      <c r="A3645" s="2">
        <v>2026</v>
      </c>
      <c r="B3645" s="2">
        <v>4</v>
      </c>
      <c r="D3645" s="2" t="s">
        <v>784</v>
      </c>
      <c r="P3645" s="2" t="s">
        <v>43</v>
      </c>
      <c r="Q3645" s="2" t="s">
        <v>48</v>
      </c>
      <c r="R3645" s="2" t="s">
        <v>49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536"/>
        <v>19.880099999999999</v>
      </c>
      <c r="X3645" s="5">
        <f t="shared" si="533"/>
        <v>0.49025384615384621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28"/>
        <v>0</v>
      </c>
      <c r="AG3645" s="2">
        <v>6.6266999999999996</v>
      </c>
      <c r="AH3645" s="2">
        <v>12</v>
      </c>
      <c r="AJ3645" s="2">
        <f t="shared" si="529"/>
        <v>0</v>
      </c>
      <c r="AK3645" s="2">
        <f t="shared" si="534"/>
        <v>19.119900000000001</v>
      </c>
      <c r="AL3645" s="5">
        <f t="shared" si="535"/>
        <v>0.49025384615384621</v>
      </c>
    </row>
    <row r="3646" spans="1:38" x14ac:dyDescent="0.2">
      <c r="A3646" s="2">
        <v>2026</v>
      </c>
      <c r="B3646" s="2">
        <v>4</v>
      </c>
      <c r="D3646" s="2" t="s">
        <v>1015</v>
      </c>
      <c r="E3646" s="2" t="s">
        <v>108</v>
      </c>
      <c r="F3646" s="2" t="s">
        <v>477</v>
      </c>
      <c r="G3646" s="2">
        <v>503815284</v>
      </c>
      <c r="H3646" s="2" t="s">
        <v>40</v>
      </c>
      <c r="I3646" s="2" t="s">
        <v>156</v>
      </c>
      <c r="J3646" s="2" t="s">
        <v>2538</v>
      </c>
      <c r="L3646" s="2" t="s">
        <v>99</v>
      </c>
      <c r="M3646" s="2" t="s">
        <v>80</v>
      </c>
      <c r="O3646" s="2" t="s">
        <v>2845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536"/>
        <v>6.6266999999999996</v>
      </c>
      <c r="X3646" s="5">
        <f t="shared" si="533"/>
        <v>0.65485937500000002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28"/>
        <v>0</v>
      </c>
      <c r="AG3646" s="2">
        <v>6.6266999999999996</v>
      </c>
      <c r="AH3646" s="2">
        <v>12</v>
      </c>
      <c r="AJ3646" s="2">
        <f t="shared" si="529"/>
        <v>0</v>
      </c>
      <c r="AK3646" s="2">
        <f t="shared" si="534"/>
        <v>12.5733</v>
      </c>
      <c r="AL3646" s="5">
        <f t="shared" si="535"/>
        <v>0.65485937500000002</v>
      </c>
    </row>
    <row r="3647" spans="1:38" x14ac:dyDescent="0.2">
      <c r="A3647" s="2">
        <v>2026</v>
      </c>
      <c r="B3647" s="2">
        <v>4</v>
      </c>
      <c r="D3647" s="2" t="s">
        <v>2846</v>
      </c>
      <c r="M3647" s="2" t="s">
        <v>80</v>
      </c>
      <c r="P3647" s="2" t="s">
        <v>43</v>
      </c>
      <c r="Q3647" s="2" t="s">
        <v>48</v>
      </c>
      <c r="R3647" s="2" t="s">
        <v>49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536"/>
        <v>6.6266999999999996</v>
      </c>
      <c r="X3647" s="5">
        <f t="shared" si="533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28"/>
        <v>0</v>
      </c>
      <c r="AG3647" s="2">
        <v>6.6266999999999996</v>
      </c>
      <c r="AH3647" s="2">
        <v>12</v>
      </c>
      <c r="AJ3647" s="2">
        <f t="shared" si="529"/>
        <v>0</v>
      </c>
      <c r="AK3647" s="2">
        <f t="shared" si="534"/>
        <v>5.3733000000000004</v>
      </c>
      <c r="AL3647" s="5">
        <f t="shared" si="535"/>
        <v>0.44777500000000003</v>
      </c>
    </row>
    <row r="3648" spans="1:38" x14ac:dyDescent="0.2">
      <c r="A3648" s="2">
        <v>2026</v>
      </c>
      <c r="B3648" s="2">
        <v>4</v>
      </c>
      <c r="D3648" s="2" t="s">
        <v>588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177</v>
      </c>
      <c r="J3648" s="2" t="s">
        <v>589</v>
      </c>
      <c r="L3648" s="2" t="s">
        <v>177</v>
      </c>
      <c r="M3648" s="2" t="s">
        <v>41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36"/>
        <v>13.253399999999999</v>
      </c>
      <c r="X3648" s="5">
        <f t="shared" si="533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28"/>
        <v>0</v>
      </c>
      <c r="AG3648" s="2">
        <v>6.6266999999999996</v>
      </c>
      <c r="AH3648" s="2">
        <v>12</v>
      </c>
      <c r="AJ3648" s="2">
        <f t="shared" si="529"/>
        <v>0</v>
      </c>
      <c r="AK3648" s="2">
        <f t="shared" si="534"/>
        <v>10.746600000000001</v>
      </c>
      <c r="AL3648" s="5">
        <f t="shared" si="535"/>
        <v>0.44777500000000003</v>
      </c>
    </row>
    <row r="3649" spans="1:38" x14ac:dyDescent="0.2">
      <c r="A3649" s="2">
        <v>2026</v>
      </c>
      <c r="B3649" s="2">
        <v>4</v>
      </c>
      <c r="D3649" s="2" t="s">
        <v>643</v>
      </c>
      <c r="E3649" s="2" t="s">
        <v>108</v>
      </c>
      <c r="F3649" s="2" t="s">
        <v>477</v>
      </c>
      <c r="G3649" s="2">
        <v>509056946</v>
      </c>
      <c r="H3649" s="2" t="s">
        <v>109</v>
      </c>
      <c r="I3649" s="2" t="s">
        <v>644</v>
      </c>
      <c r="J3649" s="2" t="s">
        <v>645</v>
      </c>
      <c r="K3649" s="2">
        <v>964495536</v>
      </c>
      <c r="L3649" s="2" t="s">
        <v>112</v>
      </c>
      <c r="M3649" s="2" t="s">
        <v>109</v>
      </c>
      <c r="O3649" s="2" t="s">
        <v>2847</v>
      </c>
      <c r="P3649" s="2" t="s">
        <v>43</v>
      </c>
      <c r="Q3649" s="2" t="s">
        <v>48</v>
      </c>
      <c r="R3649" s="2" t="s">
        <v>49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536"/>
        <v>13.253399999999999</v>
      </c>
      <c r="X3649" s="5">
        <f t="shared" si="533"/>
        <v>0.44777500000000003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si="528"/>
        <v>0</v>
      </c>
      <c r="AG3649" s="2">
        <v>6.6266999999999996</v>
      </c>
      <c r="AH3649" s="2">
        <v>12</v>
      </c>
      <c r="AJ3649" s="2">
        <f t="shared" si="529"/>
        <v>0</v>
      </c>
      <c r="AK3649" s="2">
        <f t="shared" si="534"/>
        <v>10.746600000000001</v>
      </c>
      <c r="AL3649" s="5">
        <f t="shared" si="535"/>
        <v>0.44777500000000003</v>
      </c>
    </row>
    <row r="3650" spans="1:38" x14ac:dyDescent="0.2">
      <c r="A3650" s="2">
        <v>2026</v>
      </c>
      <c r="B3650" s="2">
        <v>4</v>
      </c>
      <c r="D3650" s="2" t="s">
        <v>617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618</v>
      </c>
      <c r="J3650" s="2" t="s">
        <v>619</v>
      </c>
      <c r="L3650" s="2" t="s">
        <v>418</v>
      </c>
      <c r="M3650" s="2" t="s">
        <v>41</v>
      </c>
      <c r="P3650" s="2" t="s">
        <v>43</v>
      </c>
      <c r="Q3650" s="2" t="s">
        <v>1363</v>
      </c>
      <c r="R3650" s="2" t="s">
        <v>1364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W3650" s="2">
        <f>9.75*S3650</f>
        <v>19.5</v>
      </c>
      <c r="X3650" s="5">
        <f t="shared" si="533"/>
        <v>0.71491228070175439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ref="AF3650:AF3713" si="537">AJ3650</f>
        <v>0</v>
      </c>
      <c r="AJ3650" s="2">
        <f t="shared" ref="AJ3650:AJ3713" si="538">AI3650*T3650</f>
        <v>0</v>
      </c>
      <c r="AK3650" s="2">
        <f t="shared" si="534"/>
        <v>48.900000000000006</v>
      </c>
      <c r="AL3650" s="5">
        <f t="shared" si="535"/>
        <v>0.71491228070175439</v>
      </c>
    </row>
    <row r="3651" spans="1:38" x14ac:dyDescent="0.2">
      <c r="A3651" s="2">
        <v>2026</v>
      </c>
      <c r="B3651" s="2">
        <v>4</v>
      </c>
      <c r="D3651" s="2" t="s">
        <v>332</v>
      </c>
      <c r="E3651" s="2" t="s">
        <v>108</v>
      </c>
      <c r="F3651" s="2" t="s">
        <v>39</v>
      </c>
      <c r="G3651" s="2">
        <v>513493557</v>
      </c>
      <c r="H3651" s="2" t="s">
        <v>41</v>
      </c>
      <c r="I3651" s="2" t="s">
        <v>279</v>
      </c>
      <c r="J3651" s="2" t="s">
        <v>333</v>
      </c>
      <c r="L3651" s="2" t="s">
        <v>177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1</v>
      </c>
      <c r="T3651" s="2">
        <v>36</v>
      </c>
      <c r="U3651" s="2">
        <v>8.2800000000000011</v>
      </c>
      <c r="V3651" s="2">
        <v>44.28</v>
      </c>
      <c r="W3651" s="2">
        <f>11.295*S3651</f>
        <v>11.295</v>
      </c>
      <c r="X3651" s="5">
        <f t="shared" si="533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37"/>
        <v>0</v>
      </c>
      <c r="AJ3651" s="2">
        <f t="shared" si="538"/>
        <v>0</v>
      </c>
      <c r="AK3651" s="2">
        <f t="shared" si="534"/>
        <v>24.704999999999998</v>
      </c>
      <c r="AL3651" s="5">
        <f t="shared" si="535"/>
        <v>0.68624999999999992</v>
      </c>
    </row>
    <row r="3652" spans="1:38" x14ac:dyDescent="0.2">
      <c r="A3652" s="2">
        <v>2026</v>
      </c>
      <c r="B3652" s="2">
        <v>4</v>
      </c>
      <c r="D3652" s="2" t="s">
        <v>617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618</v>
      </c>
      <c r="J3652" s="2" t="s">
        <v>619</v>
      </c>
      <c r="L3652" s="2" t="s">
        <v>418</v>
      </c>
      <c r="M3652" s="2" t="s">
        <v>41</v>
      </c>
      <c r="P3652" s="2" t="s">
        <v>43</v>
      </c>
      <c r="Q3652" s="2" t="s">
        <v>592</v>
      </c>
      <c r="R3652" s="2" t="s">
        <v>593</v>
      </c>
      <c r="S3652" s="2">
        <v>2</v>
      </c>
      <c r="T3652" s="2">
        <v>72</v>
      </c>
      <c r="U3652" s="2">
        <v>16.559999999999999</v>
      </c>
      <c r="V3652" s="2">
        <v>88.56</v>
      </c>
      <c r="W3652" s="2">
        <f>11.295*S3652</f>
        <v>22.59</v>
      </c>
      <c r="X3652" s="5">
        <f t="shared" si="533"/>
        <v>0.68624999999999992</v>
      </c>
      <c r="Z3652" s="2" t="s">
        <v>3226</v>
      </c>
      <c r="AA3652" s="2" t="s">
        <v>46</v>
      </c>
      <c r="AB3652" s="2" t="s">
        <v>47</v>
      </c>
      <c r="AC3652" s="2" t="s">
        <v>57</v>
      </c>
      <c r="AF3652" s="2">
        <f t="shared" si="537"/>
        <v>0</v>
      </c>
      <c r="AJ3652" s="2">
        <f t="shared" si="538"/>
        <v>0</v>
      </c>
      <c r="AK3652" s="2">
        <f t="shared" si="534"/>
        <v>49.41</v>
      </c>
      <c r="AL3652" s="5">
        <f t="shared" si="535"/>
        <v>0.68624999999999992</v>
      </c>
    </row>
    <row r="3653" spans="1:38" x14ac:dyDescent="0.2">
      <c r="A3653" s="2">
        <v>2026</v>
      </c>
      <c r="B3653" s="2">
        <v>2</v>
      </c>
      <c r="D3653" s="2" t="s">
        <v>322</v>
      </c>
      <c r="E3653" s="2" t="s">
        <v>183</v>
      </c>
      <c r="G3653" s="2">
        <v>500048894</v>
      </c>
      <c r="H3653" s="2" t="s">
        <v>40</v>
      </c>
      <c r="I3653" s="2" t="s">
        <v>99</v>
      </c>
      <c r="J3653" s="2" t="s">
        <v>323</v>
      </c>
      <c r="L3653" s="2" t="s">
        <v>99</v>
      </c>
      <c r="M3653" s="2" t="s">
        <v>80</v>
      </c>
      <c r="O3653" s="2" t="s">
        <v>2848</v>
      </c>
      <c r="P3653" s="2" t="s">
        <v>72</v>
      </c>
      <c r="Q3653" s="2" t="s">
        <v>557</v>
      </c>
      <c r="R3653" s="2" t="s">
        <v>307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533"/>
        <v>0.46762608695652175</v>
      </c>
      <c r="Z3653" s="2" t="s">
        <v>3226</v>
      </c>
      <c r="AA3653" s="2" t="s">
        <v>75</v>
      </c>
      <c r="AB3653" s="2" t="s">
        <v>76</v>
      </c>
      <c r="AC3653" s="2" t="s">
        <v>77</v>
      </c>
      <c r="AF3653" s="2">
        <f t="shared" si="537"/>
        <v>0</v>
      </c>
      <c r="AG3653" s="2">
        <v>122.446</v>
      </c>
      <c r="AH3653" s="2">
        <v>230</v>
      </c>
      <c r="AJ3653" s="2">
        <f t="shared" si="538"/>
        <v>0</v>
      </c>
      <c r="AK3653" s="2">
        <f t="shared" si="534"/>
        <v>107.554</v>
      </c>
      <c r="AL3653" s="5">
        <f t="shared" si="535"/>
        <v>0.46762608695652175</v>
      </c>
    </row>
    <row r="3654" spans="1:38" x14ac:dyDescent="0.2">
      <c r="A3654" s="2">
        <v>2026</v>
      </c>
      <c r="B3654" s="2">
        <v>4</v>
      </c>
      <c r="C3654" s="2" t="s">
        <v>3445</v>
      </c>
      <c r="D3654" s="2" t="s">
        <v>297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298</v>
      </c>
      <c r="J3654" s="2" t="s">
        <v>299</v>
      </c>
      <c r="K3654" s="2">
        <v>962678129</v>
      </c>
      <c r="L3654" s="2" t="s">
        <v>177</v>
      </c>
      <c r="M3654" s="2" t="s">
        <v>41</v>
      </c>
      <c r="O3654" s="2" t="s">
        <v>2849</v>
      </c>
      <c r="P3654" s="2" t="s">
        <v>43</v>
      </c>
      <c r="Q3654" s="2" t="s">
        <v>50</v>
      </c>
      <c r="R3654" s="2" t="s">
        <v>51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533"/>
        <v>0.31428571428571428</v>
      </c>
      <c r="Z3654" s="2" t="s">
        <v>3226</v>
      </c>
      <c r="AA3654" s="2" t="s">
        <v>46</v>
      </c>
      <c r="AB3654" s="2" t="s">
        <v>47</v>
      </c>
      <c r="AC3654" s="2" t="s">
        <v>57</v>
      </c>
      <c r="AF3654" s="2">
        <f t="shared" si="537"/>
        <v>0</v>
      </c>
      <c r="AG3654" s="2">
        <v>14.4</v>
      </c>
      <c r="AH3654" s="2">
        <v>21</v>
      </c>
      <c r="AJ3654" s="2">
        <f t="shared" si="538"/>
        <v>0</v>
      </c>
      <c r="AK3654" s="2">
        <f t="shared" si="534"/>
        <v>6.6</v>
      </c>
      <c r="AL3654" s="5">
        <f t="shared" si="535"/>
        <v>0.31428571428571428</v>
      </c>
    </row>
    <row r="3655" spans="1:38" x14ac:dyDescent="0.2">
      <c r="A3655" s="2">
        <v>2026</v>
      </c>
      <c r="B3655" s="2">
        <v>2</v>
      </c>
      <c r="D3655" s="2" t="s">
        <v>322</v>
      </c>
      <c r="E3655" s="2" t="s">
        <v>183</v>
      </c>
      <c r="G3655" s="2">
        <v>500048894</v>
      </c>
      <c r="H3655" s="2" t="s">
        <v>40</v>
      </c>
      <c r="I3655" s="2" t="s">
        <v>99</v>
      </c>
      <c r="J3655" s="2" t="s">
        <v>323</v>
      </c>
      <c r="L3655" s="2" t="s">
        <v>99</v>
      </c>
      <c r="M3655" s="2" t="s">
        <v>80</v>
      </c>
      <c r="O3655" s="2" t="s">
        <v>2848</v>
      </c>
      <c r="P3655" s="2" t="s">
        <v>93</v>
      </c>
      <c r="Q3655" s="2" t="s">
        <v>94</v>
      </c>
      <c r="R3655" s="2" t="s">
        <v>95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533"/>
        <v>0</v>
      </c>
      <c r="Z3655" s="2" t="s">
        <v>3226</v>
      </c>
      <c r="AA3655" s="2" t="s">
        <v>96</v>
      </c>
      <c r="AB3655" s="2" t="s">
        <v>76</v>
      </c>
      <c r="AC3655" s="2" t="s">
        <v>93</v>
      </c>
      <c r="AF3655" s="2">
        <f t="shared" si="537"/>
        <v>0</v>
      </c>
      <c r="AG3655" s="2">
        <v>1.48</v>
      </c>
      <c r="AH3655" s="2">
        <v>1.48</v>
      </c>
      <c r="AJ3655" s="2">
        <f t="shared" si="538"/>
        <v>0</v>
      </c>
      <c r="AK3655" s="2">
        <f t="shared" si="534"/>
        <v>0</v>
      </c>
      <c r="AL3655" s="5">
        <f t="shared" si="535"/>
        <v>0</v>
      </c>
    </row>
    <row r="3656" spans="1:38" x14ac:dyDescent="0.2">
      <c r="A3656" s="2">
        <v>2026</v>
      </c>
      <c r="B3656" s="2">
        <v>4</v>
      </c>
      <c r="D3656" s="2" t="s">
        <v>980</v>
      </c>
      <c r="E3656" s="2" t="s">
        <v>38</v>
      </c>
      <c r="F3656" s="2" t="s">
        <v>39</v>
      </c>
      <c r="L3656" s="2" t="s">
        <v>418</v>
      </c>
      <c r="M3656" s="2" t="s">
        <v>41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33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37"/>
        <v>0</v>
      </c>
      <c r="AG3656" s="2">
        <v>3.7357999999999998</v>
      </c>
      <c r="AH3656" s="2">
        <v>9</v>
      </c>
      <c r="AJ3656" s="2">
        <f t="shared" si="538"/>
        <v>0</v>
      </c>
      <c r="AK3656" s="2">
        <f t="shared" si="534"/>
        <v>5.2642000000000007</v>
      </c>
      <c r="AL3656" s="5">
        <f t="shared" si="535"/>
        <v>0.58491111111111116</v>
      </c>
    </row>
    <row r="3657" spans="1:38" x14ac:dyDescent="0.2">
      <c r="A3657" s="2">
        <v>2026</v>
      </c>
      <c r="B3657" s="2">
        <v>4</v>
      </c>
      <c r="D3657" s="2" t="s">
        <v>2846</v>
      </c>
      <c r="M3657" s="2" t="s">
        <v>80</v>
      </c>
      <c r="P3657" s="2" t="s">
        <v>43</v>
      </c>
      <c r="Q3657" s="2" t="s">
        <v>160</v>
      </c>
      <c r="R3657" s="2" t="s">
        <v>161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533"/>
        <v>0.58491111111111116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37"/>
        <v>0</v>
      </c>
      <c r="AG3657" s="2">
        <v>3.7357999999999998</v>
      </c>
      <c r="AH3657" s="2">
        <v>9</v>
      </c>
      <c r="AJ3657" s="2">
        <f t="shared" si="538"/>
        <v>0</v>
      </c>
      <c r="AK3657" s="2">
        <f t="shared" si="534"/>
        <v>5.2642000000000007</v>
      </c>
      <c r="AL3657" s="5">
        <f t="shared" si="535"/>
        <v>0.58491111111111116</v>
      </c>
    </row>
    <row r="3658" spans="1:38" x14ac:dyDescent="0.2">
      <c r="A3658" s="2">
        <v>2026</v>
      </c>
      <c r="B3658" s="2">
        <v>4</v>
      </c>
      <c r="D3658" s="2" t="s">
        <v>2838</v>
      </c>
      <c r="E3658" s="2" t="s">
        <v>38</v>
      </c>
      <c r="G3658" s="2">
        <v>184822033</v>
      </c>
      <c r="I3658" s="2" t="s">
        <v>2842</v>
      </c>
      <c r="L3658" s="2" t="s">
        <v>461</v>
      </c>
      <c r="M3658" s="2" t="s">
        <v>109</v>
      </c>
      <c r="O3658" s="2" t="s">
        <v>2840</v>
      </c>
      <c r="P3658" s="2" t="s">
        <v>43</v>
      </c>
      <c r="Q3658" s="2" t="s">
        <v>52</v>
      </c>
      <c r="R3658" s="2" t="s">
        <v>53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533"/>
        <v>0.50950925925925927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37"/>
        <v>0</v>
      </c>
      <c r="AG3658" s="2">
        <v>5.2972999999999999</v>
      </c>
      <c r="AH3658" s="2">
        <v>10.8</v>
      </c>
      <c r="AJ3658" s="2">
        <f t="shared" si="538"/>
        <v>0</v>
      </c>
      <c r="AK3658" s="2">
        <f t="shared" si="534"/>
        <v>5.5027000000000008</v>
      </c>
      <c r="AL3658" s="5">
        <f t="shared" si="535"/>
        <v>0.50950925925925927</v>
      </c>
    </row>
    <row r="3659" spans="1:38" x14ac:dyDescent="0.2">
      <c r="A3659" s="2">
        <v>2026</v>
      </c>
      <c r="B3659" s="2">
        <v>4</v>
      </c>
      <c r="D3659" s="2" t="s">
        <v>422</v>
      </c>
      <c r="E3659" s="2" t="s">
        <v>98</v>
      </c>
      <c r="F3659" s="2" t="s">
        <v>39</v>
      </c>
      <c r="G3659" s="2">
        <v>503523470</v>
      </c>
      <c r="H3659" s="2" t="s">
        <v>40</v>
      </c>
      <c r="I3659" s="2" t="s">
        <v>423</v>
      </c>
      <c r="J3659" s="2" t="s">
        <v>424</v>
      </c>
      <c r="L3659" s="2" t="s">
        <v>201</v>
      </c>
      <c r="M3659" s="2" t="s">
        <v>80</v>
      </c>
      <c r="O3659" s="2" t="s">
        <v>2841</v>
      </c>
      <c r="P3659" s="2" t="s">
        <v>43</v>
      </c>
      <c r="Q3659" s="2" t="s">
        <v>2850</v>
      </c>
      <c r="R3659" s="2" t="s">
        <v>2851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533"/>
        <v>0.57566666666666666</v>
      </c>
      <c r="Z3659" s="2" t="s">
        <v>3226</v>
      </c>
      <c r="AA3659" s="2" t="s">
        <v>46</v>
      </c>
      <c r="AB3659" s="2" t="s">
        <v>47</v>
      </c>
      <c r="AC3659" s="2" t="s">
        <v>57</v>
      </c>
      <c r="AF3659" s="2">
        <f t="shared" si="537"/>
        <v>0</v>
      </c>
      <c r="AG3659" s="2">
        <v>12.73</v>
      </c>
      <c r="AH3659" s="2">
        <v>30</v>
      </c>
      <c r="AJ3659" s="2">
        <f t="shared" si="538"/>
        <v>0</v>
      </c>
      <c r="AK3659" s="2">
        <f t="shared" si="534"/>
        <v>17.27</v>
      </c>
      <c r="AL3659" s="5">
        <f t="shared" si="535"/>
        <v>0.57566666666666666</v>
      </c>
    </row>
    <row r="3660" spans="1:38" x14ac:dyDescent="0.2">
      <c r="A3660" s="2">
        <v>2026</v>
      </c>
      <c r="B3660" s="2">
        <v>4</v>
      </c>
      <c r="C3660" s="2" t="s">
        <v>3443</v>
      </c>
      <c r="D3660" s="2" t="s">
        <v>1887</v>
      </c>
      <c r="E3660" s="2" t="s">
        <v>38</v>
      </c>
      <c r="F3660" s="2" t="s">
        <v>39</v>
      </c>
      <c r="L3660" s="2" t="s">
        <v>461</v>
      </c>
      <c r="M3660" s="2" t="s">
        <v>80</v>
      </c>
      <c r="P3660" s="2" t="s">
        <v>43</v>
      </c>
      <c r="Q3660" s="2" t="s">
        <v>214</v>
      </c>
      <c r="R3660" s="2" t="s">
        <v>215</v>
      </c>
      <c r="S3660" s="2">
        <v>2</v>
      </c>
      <c r="T3660" s="2">
        <v>30</v>
      </c>
      <c r="U3660" s="2">
        <v>6.9</v>
      </c>
      <c r="V3660" s="2">
        <v>36.9</v>
      </c>
      <c r="W3660" s="2">
        <f>7.915*S3660</f>
        <v>15.83</v>
      </c>
      <c r="X3660" s="5">
        <f t="shared" si="533"/>
        <v>0.47233333333333333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37"/>
        <v>0</v>
      </c>
      <c r="AJ3660" s="2">
        <f t="shared" si="538"/>
        <v>0</v>
      </c>
      <c r="AK3660" s="2">
        <f t="shared" si="534"/>
        <v>14.17</v>
      </c>
      <c r="AL3660" s="5">
        <f t="shared" si="535"/>
        <v>0.47233333333333333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216</v>
      </c>
      <c r="R3661" s="2" t="s">
        <v>217</v>
      </c>
      <c r="S3661" s="2">
        <v>1</v>
      </c>
      <c r="T3661" s="2">
        <v>19.2</v>
      </c>
      <c r="U3661" s="2">
        <v>4.4160000000000004</v>
      </c>
      <c r="V3661" s="2">
        <v>23.616</v>
      </c>
      <c r="W3661" s="2">
        <v>10.035</v>
      </c>
      <c r="X3661" s="5">
        <f t="shared" si="533"/>
        <v>0.47734374999999996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37"/>
        <v>0</v>
      </c>
      <c r="AJ3661" s="2">
        <f t="shared" si="538"/>
        <v>0</v>
      </c>
      <c r="AK3661" s="2">
        <f t="shared" si="534"/>
        <v>9.1649999999999991</v>
      </c>
      <c r="AL3661" s="5">
        <f t="shared" si="535"/>
        <v>0.47734374999999996</v>
      </c>
    </row>
    <row r="3662" spans="1:38" x14ac:dyDescent="0.2">
      <c r="A3662" s="2">
        <v>2026</v>
      </c>
      <c r="B3662" s="2">
        <v>4</v>
      </c>
      <c r="D3662" s="2" t="s">
        <v>2516</v>
      </c>
      <c r="E3662" s="2" t="s">
        <v>752</v>
      </c>
      <c r="F3662" s="2" t="s">
        <v>39</v>
      </c>
      <c r="G3662" s="2">
        <v>515570354</v>
      </c>
      <c r="H3662" s="2" t="s">
        <v>109</v>
      </c>
      <c r="I3662" s="2" t="s">
        <v>2517</v>
      </c>
      <c r="J3662" s="2" t="s">
        <v>2518</v>
      </c>
      <c r="K3662" s="2">
        <v>967032538</v>
      </c>
      <c r="L3662" s="2" t="s">
        <v>398</v>
      </c>
      <c r="M3662" s="2" t="s">
        <v>109</v>
      </c>
      <c r="P3662" s="2" t="s">
        <v>43</v>
      </c>
      <c r="Q3662" s="2" t="s">
        <v>218</v>
      </c>
      <c r="R3662" s="2" t="s">
        <v>219</v>
      </c>
      <c r="S3662" s="2">
        <v>1</v>
      </c>
      <c r="T3662" s="2">
        <v>23.4</v>
      </c>
      <c r="U3662" s="2">
        <v>5.3819999999999997</v>
      </c>
      <c r="V3662" s="2">
        <v>28.782</v>
      </c>
      <c r="W3662" s="2">
        <v>12.4434</v>
      </c>
      <c r="X3662" s="5">
        <f t="shared" si="533"/>
        <v>0.46823076923076917</v>
      </c>
      <c r="Z3662" s="2" t="s">
        <v>3226</v>
      </c>
      <c r="AA3662" s="2" t="s">
        <v>46</v>
      </c>
      <c r="AB3662" s="2" t="s">
        <v>56</v>
      </c>
      <c r="AC3662" s="2" t="s">
        <v>57</v>
      </c>
      <c r="AF3662" s="2">
        <f t="shared" si="537"/>
        <v>0</v>
      </c>
      <c r="AJ3662" s="2">
        <f t="shared" si="538"/>
        <v>0</v>
      </c>
      <c r="AK3662" s="2">
        <f t="shared" si="534"/>
        <v>10.956599999999998</v>
      </c>
      <c r="AL3662" s="5">
        <f t="shared" si="535"/>
        <v>0.46823076923076917</v>
      </c>
    </row>
    <row r="3663" spans="1:38" x14ac:dyDescent="0.2">
      <c r="A3663" s="2">
        <v>2026</v>
      </c>
      <c r="B3663" s="2">
        <v>3</v>
      </c>
      <c r="D3663" s="2" t="s">
        <v>2852</v>
      </c>
      <c r="M3663" s="2" t="s">
        <v>80</v>
      </c>
      <c r="P3663" s="2" t="s">
        <v>43</v>
      </c>
      <c r="Q3663" s="2" t="s">
        <v>48</v>
      </c>
      <c r="R3663" s="2" t="s">
        <v>49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533"/>
        <v>0.44777500000000003</v>
      </c>
      <c r="Z3663" s="2" t="s">
        <v>3226</v>
      </c>
      <c r="AA3663" s="2" t="s">
        <v>46</v>
      </c>
      <c r="AB3663" s="2" t="s">
        <v>47</v>
      </c>
      <c r="AC3663" s="2" t="s">
        <v>57</v>
      </c>
      <c r="AF3663" s="2">
        <f t="shared" si="537"/>
        <v>0</v>
      </c>
      <c r="AG3663" s="2">
        <v>6.6266999999999996</v>
      </c>
      <c r="AH3663" s="2">
        <v>12</v>
      </c>
      <c r="AJ3663" s="2">
        <f t="shared" si="538"/>
        <v>0</v>
      </c>
      <c r="AK3663" s="2">
        <f t="shared" si="534"/>
        <v>5.3733000000000004</v>
      </c>
      <c r="AL3663" s="5">
        <f t="shared" si="535"/>
        <v>0.44777500000000003</v>
      </c>
    </row>
    <row r="3664" spans="1:38" x14ac:dyDescent="0.2">
      <c r="A3664" s="2">
        <v>2026</v>
      </c>
      <c r="B3664" s="2">
        <v>4</v>
      </c>
      <c r="D3664" s="2" t="s">
        <v>422</v>
      </c>
      <c r="E3664" s="2" t="s">
        <v>98</v>
      </c>
      <c r="F3664" s="2" t="s">
        <v>39</v>
      </c>
      <c r="G3664" s="2">
        <v>503523470</v>
      </c>
      <c r="H3664" s="2" t="s">
        <v>40</v>
      </c>
      <c r="I3664" s="2" t="s">
        <v>423</v>
      </c>
      <c r="J3664" s="2" t="s">
        <v>424</v>
      </c>
      <c r="L3664" s="2" t="s">
        <v>201</v>
      </c>
      <c r="M3664" s="2" t="s">
        <v>80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33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37"/>
        <v>0</v>
      </c>
      <c r="AG3664" s="2">
        <v>7.2217000000000002</v>
      </c>
      <c r="AH3664" s="2">
        <v>14.4</v>
      </c>
      <c r="AJ3664" s="2">
        <f t="shared" si="538"/>
        <v>0</v>
      </c>
      <c r="AK3664" s="2">
        <f t="shared" si="534"/>
        <v>7.1783000000000001</v>
      </c>
      <c r="AL3664" s="5">
        <f t="shared" si="535"/>
        <v>0.49849305555555556</v>
      </c>
    </row>
    <row r="3665" spans="1:38" x14ac:dyDescent="0.2">
      <c r="A3665" s="2">
        <v>2026</v>
      </c>
      <c r="B3665" s="2">
        <v>4</v>
      </c>
      <c r="D3665" s="2" t="s">
        <v>898</v>
      </c>
      <c r="E3665" s="2" t="s">
        <v>108</v>
      </c>
      <c r="F3665" s="2" t="s">
        <v>39</v>
      </c>
      <c r="H3665" s="2" t="s">
        <v>40</v>
      </c>
      <c r="I3665" s="2" t="s">
        <v>156</v>
      </c>
      <c r="J3665" s="2" t="s">
        <v>899</v>
      </c>
      <c r="K3665" s="2">
        <v>912047019</v>
      </c>
      <c r="L3665" s="2" t="s">
        <v>99</v>
      </c>
      <c r="M3665" s="2" t="s">
        <v>80</v>
      </c>
      <c r="O3665" s="2" t="s">
        <v>2853</v>
      </c>
      <c r="P3665" s="2" t="s">
        <v>43</v>
      </c>
      <c r="Q3665" s="2" t="s">
        <v>234</v>
      </c>
      <c r="R3665" s="2" t="s">
        <v>235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533"/>
        <v>0.49849305555555556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37"/>
        <v>0</v>
      </c>
      <c r="AG3665" s="2">
        <v>7.2217000000000002</v>
      </c>
      <c r="AH3665" s="2">
        <v>14.4</v>
      </c>
      <c r="AJ3665" s="2">
        <f t="shared" si="538"/>
        <v>0</v>
      </c>
      <c r="AK3665" s="2">
        <f t="shared" si="534"/>
        <v>7.1783000000000001</v>
      </c>
      <c r="AL3665" s="5">
        <f t="shared" si="535"/>
        <v>0.49849305555555556</v>
      </c>
    </row>
    <row r="3666" spans="1:38" x14ac:dyDescent="0.2">
      <c r="A3666" s="2">
        <v>2026</v>
      </c>
      <c r="B3666" s="2">
        <v>4</v>
      </c>
      <c r="D3666" s="2" t="s">
        <v>422</v>
      </c>
      <c r="E3666" s="2" t="s">
        <v>98</v>
      </c>
      <c r="F3666" s="2" t="s">
        <v>39</v>
      </c>
      <c r="G3666" s="2">
        <v>503523470</v>
      </c>
      <c r="H3666" s="2" t="s">
        <v>40</v>
      </c>
      <c r="I3666" s="2" t="s">
        <v>423</v>
      </c>
      <c r="J3666" s="2" t="s">
        <v>424</v>
      </c>
      <c r="L3666" s="2" t="s">
        <v>201</v>
      </c>
      <c r="M3666" s="2" t="s">
        <v>80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33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37"/>
        <v>0</v>
      </c>
      <c r="AJ3666" s="2">
        <f t="shared" si="538"/>
        <v>0</v>
      </c>
      <c r="AK3666" s="2">
        <f t="shared" si="534"/>
        <v>8.3249999999999993</v>
      </c>
      <c r="AL3666" s="5">
        <f t="shared" si="535"/>
        <v>0.47844827586206895</v>
      </c>
    </row>
    <row r="3667" spans="1:38" x14ac:dyDescent="0.2">
      <c r="A3667" s="2">
        <v>2026</v>
      </c>
      <c r="B3667" s="2">
        <v>4</v>
      </c>
      <c r="D3667" s="2" t="s">
        <v>898</v>
      </c>
      <c r="E3667" s="2" t="s">
        <v>108</v>
      </c>
      <c r="F3667" s="2" t="s">
        <v>39</v>
      </c>
      <c r="H3667" s="2" t="s">
        <v>40</v>
      </c>
      <c r="I3667" s="2" t="s">
        <v>156</v>
      </c>
      <c r="J3667" s="2" t="s">
        <v>899</v>
      </c>
      <c r="K3667" s="2">
        <v>912047019</v>
      </c>
      <c r="L3667" s="2" t="s">
        <v>99</v>
      </c>
      <c r="M3667" s="2" t="s">
        <v>80</v>
      </c>
      <c r="O3667" s="2" t="s">
        <v>2853</v>
      </c>
      <c r="P3667" s="2" t="s">
        <v>43</v>
      </c>
      <c r="Q3667" s="2" t="s">
        <v>236</v>
      </c>
      <c r="R3667" s="2" t="s">
        <v>237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W3667" s="2">
        <f>9.075*S3667</f>
        <v>9.0749999999999993</v>
      </c>
      <c r="X3667" s="5">
        <f t="shared" si="533"/>
        <v>0.47844827586206895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37"/>
        <v>0</v>
      </c>
      <c r="AJ3667" s="2">
        <f t="shared" si="538"/>
        <v>0</v>
      </c>
      <c r="AK3667" s="2">
        <f t="shared" si="534"/>
        <v>8.3249999999999993</v>
      </c>
      <c r="AL3667" s="5">
        <f t="shared" si="535"/>
        <v>0.47844827586206895</v>
      </c>
    </row>
    <row r="3668" spans="1:38" x14ac:dyDescent="0.2">
      <c r="A3668" s="2">
        <v>2026</v>
      </c>
      <c r="B3668" s="2">
        <v>4</v>
      </c>
      <c r="D3668" s="2" t="s">
        <v>422</v>
      </c>
      <c r="E3668" s="2" t="s">
        <v>98</v>
      </c>
      <c r="F3668" s="2" t="s">
        <v>39</v>
      </c>
      <c r="G3668" s="2">
        <v>503523470</v>
      </c>
      <c r="H3668" s="2" t="s">
        <v>40</v>
      </c>
      <c r="I3668" s="2" t="s">
        <v>423</v>
      </c>
      <c r="J3668" s="2" t="s">
        <v>424</v>
      </c>
      <c r="L3668" s="2" t="s">
        <v>201</v>
      </c>
      <c r="M3668" s="2" t="s">
        <v>80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ref="W3668:W3669" si="539">11.045*S3668</f>
        <v>11.045</v>
      </c>
      <c r="X3668" s="5">
        <f t="shared" si="533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37"/>
        <v>0</v>
      </c>
      <c r="AJ3668" s="2">
        <f t="shared" si="538"/>
        <v>0</v>
      </c>
      <c r="AK3668" s="2">
        <f t="shared" si="534"/>
        <v>9.9550000000000001</v>
      </c>
      <c r="AL3668" s="5">
        <f t="shared" si="535"/>
        <v>0.47404761904761905</v>
      </c>
    </row>
    <row r="3669" spans="1:38" x14ac:dyDescent="0.2">
      <c r="A3669" s="2">
        <v>2026</v>
      </c>
      <c r="B3669" s="2">
        <v>4</v>
      </c>
      <c r="D3669" s="2" t="s">
        <v>898</v>
      </c>
      <c r="E3669" s="2" t="s">
        <v>108</v>
      </c>
      <c r="F3669" s="2" t="s">
        <v>39</v>
      </c>
      <c r="H3669" s="2" t="s">
        <v>40</v>
      </c>
      <c r="I3669" s="2" t="s">
        <v>156</v>
      </c>
      <c r="J3669" s="2" t="s">
        <v>899</v>
      </c>
      <c r="K3669" s="2">
        <v>912047019</v>
      </c>
      <c r="L3669" s="2" t="s">
        <v>99</v>
      </c>
      <c r="M3669" s="2" t="s">
        <v>80</v>
      </c>
      <c r="O3669" s="2" t="s">
        <v>2853</v>
      </c>
      <c r="P3669" s="2" t="s">
        <v>43</v>
      </c>
      <c r="Q3669" s="2" t="s">
        <v>238</v>
      </c>
      <c r="R3669" s="2" t="s">
        <v>239</v>
      </c>
      <c r="S3669" s="2">
        <v>1</v>
      </c>
      <c r="T3669" s="2">
        <v>21</v>
      </c>
      <c r="U3669" s="2">
        <v>4.83</v>
      </c>
      <c r="V3669" s="2">
        <v>25.83</v>
      </c>
      <c r="W3669" s="2">
        <f t="shared" si="539"/>
        <v>11.045</v>
      </c>
      <c r="X3669" s="5">
        <f t="shared" si="533"/>
        <v>0.47404761904761905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37"/>
        <v>0</v>
      </c>
      <c r="AJ3669" s="2">
        <f t="shared" si="538"/>
        <v>0</v>
      </c>
      <c r="AK3669" s="2">
        <f t="shared" si="534"/>
        <v>9.9550000000000001</v>
      </c>
      <c r="AL3669" s="5">
        <f t="shared" si="535"/>
        <v>0.47404761904761905</v>
      </c>
    </row>
    <row r="3670" spans="1:38" x14ac:dyDescent="0.2">
      <c r="A3670" s="2">
        <v>2026</v>
      </c>
      <c r="B3670" s="2">
        <v>4</v>
      </c>
      <c r="D3670" s="2" t="s">
        <v>1178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1179</v>
      </c>
      <c r="J3670" s="2" t="s">
        <v>1180</v>
      </c>
      <c r="L3670" s="2" t="s">
        <v>461</v>
      </c>
      <c r="M3670" s="2" t="s">
        <v>41</v>
      </c>
      <c r="O3670" s="2" t="s">
        <v>2854</v>
      </c>
      <c r="P3670" s="2" t="s">
        <v>43</v>
      </c>
      <c r="Q3670" s="2" t="s">
        <v>240</v>
      </c>
      <c r="R3670" s="2" t="s">
        <v>241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W3670" s="2">
        <f t="shared" ref="W3670:W3671" si="540">13.4067*S3670</f>
        <v>26.813400000000001</v>
      </c>
      <c r="X3670" s="5">
        <f t="shared" si="533"/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37"/>
        <v>0</v>
      </c>
      <c r="AJ3670" s="2">
        <f t="shared" si="538"/>
        <v>0</v>
      </c>
      <c r="AK3670" s="2">
        <f t="shared" si="534"/>
        <v>23.586599999999997</v>
      </c>
      <c r="AL3670" s="5">
        <f t="shared" si="535"/>
        <v>0.4679880952380952</v>
      </c>
    </row>
    <row r="3671" spans="1:38" x14ac:dyDescent="0.2">
      <c r="A3671" s="2">
        <v>2026</v>
      </c>
      <c r="B3671" s="2">
        <v>4</v>
      </c>
      <c r="D3671" s="2" t="s">
        <v>898</v>
      </c>
      <c r="E3671" s="2" t="s">
        <v>108</v>
      </c>
      <c r="F3671" s="2" t="s">
        <v>39</v>
      </c>
      <c r="H3671" s="2" t="s">
        <v>40</v>
      </c>
      <c r="I3671" s="2" t="s">
        <v>156</v>
      </c>
      <c r="J3671" s="2" t="s">
        <v>899</v>
      </c>
      <c r="K3671" s="2">
        <v>912047019</v>
      </c>
      <c r="L3671" s="2" t="s">
        <v>99</v>
      </c>
      <c r="M3671" s="2" t="s">
        <v>80</v>
      </c>
      <c r="O3671" s="2" t="s">
        <v>2853</v>
      </c>
      <c r="P3671" s="2" t="s">
        <v>43</v>
      </c>
      <c r="Q3671" s="2" t="s">
        <v>240</v>
      </c>
      <c r="R3671" s="2" t="s">
        <v>241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W3671" s="2">
        <f t="shared" si="540"/>
        <v>13.406700000000001</v>
      </c>
      <c r="X3671" s="5">
        <f t="shared" ref="X3671:X3699" si="541">(T3671-W3671)/T3671</f>
        <v>0.4679880952380952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37"/>
        <v>0</v>
      </c>
      <c r="AJ3671" s="2">
        <f t="shared" si="538"/>
        <v>0</v>
      </c>
      <c r="AK3671" s="2">
        <f t="shared" ref="AK3671:AK3699" si="542">T3671-W3671</f>
        <v>11.793299999999999</v>
      </c>
      <c r="AL3671" s="5">
        <f t="shared" ref="AL3671:AL3699" si="543">(T3671-W3671)/T3671</f>
        <v>0.4679880952380952</v>
      </c>
    </row>
    <row r="3672" spans="1:38" x14ac:dyDescent="0.2">
      <c r="A3672" s="2">
        <v>2026</v>
      </c>
      <c r="B3672" s="2">
        <v>4</v>
      </c>
      <c r="D3672" s="2" t="s">
        <v>1178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1179</v>
      </c>
      <c r="J3672" s="2" t="s">
        <v>1180</v>
      </c>
      <c r="L3672" s="2" t="s">
        <v>461</v>
      </c>
      <c r="M3672" s="2" t="s">
        <v>41</v>
      </c>
      <c r="O3672" s="2" t="s">
        <v>2854</v>
      </c>
      <c r="P3672" s="2" t="s">
        <v>43</v>
      </c>
      <c r="Q3672" s="2" t="s">
        <v>242</v>
      </c>
      <c r="R3672" s="2" t="s">
        <v>243</v>
      </c>
      <c r="S3672" s="2">
        <v>2</v>
      </c>
      <c r="T3672" s="2">
        <v>60</v>
      </c>
      <c r="U3672" s="2">
        <v>13.8</v>
      </c>
      <c r="V3672" s="2">
        <v>73.8</v>
      </c>
      <c r="W3672" s="2">
        <f t="shared" ref="W3672:W3673" si="544">16.2249*S3672</f>
        <v>32.449800000000003</v>
      </c>
      <c r="X3672" s="5">
        <f t="shared" si="541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37"/>
        <v>0</v>
      </c>
      <c r="AJ3672" s="2">
        <f t="shared" si="538"/>
        <v>0</v>
      </c>
      <c r="AK3672" s="2">
        <f t="shared" si="542"/>
        <v>27.550199999999997</v>
      </c>
      <c r="AL3672" s="5">
        <f t="shared" si="543"/>
        <v>0.45916999999999997</v>
      </c>
    </row>
    <row r="3673" spans="1:38" x14ac:dyDescent="0.2">
      <c r="A3673" s="2">
        <v>2026</v>
      </c>
      <c r="B3673" s="2">
        <v>4</v>
      </c>
      <c r="D3673" s="2" t="s">
        <v>898</v>
      </c>
      <c r="E3673" s="2" t="s">
        <v>108</v>
      </c>
      <c r="F3673" s="2" t="s">
        <v>39</v>
      </c>
      <c r="H3673" s="2" t="s">
        <v>40</v>
      </c>
      <c r="I3673" s="2" t="s">
        <v>156</v>
      </c>
      <c r="J3673" s="2" t="s">
        <v>899</v>
      </c>
      <c r="K3673" s="2">
        <v>912047019</v>
      </c>
      <c r="L3673" s="2" t="s">
        <v>99</v>
      </c>
      <c r="M3673" s="2" t="s">
        <v>80</v>
      </c>
      <c r="O3673" s="2" t="s">
        <v>2853</v>
      </c>
      <c r="P3673" s="2" t="s">
        <v>43</v>
      </c>
      <c r="Q3673" s="2" t="s">
        <v>242</v>
      </c>
      <c r="R3673" s="2" t="s">
        <v>243</v>
      </c>
      <c r="S3673" s="2">
        <v>1</v>
      </c>
      <c r="T3673" s="2">
        <v>30</v>
      </c>
      <c r="U3673" s="2">
        <v>6.9</v>
      </c>
      <c r="V3673" s="2">
        <v>36.9</v>
      </c>
      <c r="W3673" s="2">
        <f t="shared" si="544"/>
        <v>16.224900000000002</v>
      </c>
      <c r="X3673" s="5">
        <f t="shared" si="541"/>
        <v>0.45916999999999997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37"/>
        <v>0</v>
      </c>
      <c r="AJ3673" s="2">
        <f t="shared" si="538"/>
        <v>0</v>
      </c>
      <c r="AK3673" s="2">
        <f t="shared" si="542"/>
        <v>13.775099999999998</v>
      </c>
      <c r="AL3673" s="5">
        <f t="shared" si="543"/>
        <v>0.45916999999999997</v>
      </c>
    </row>
    <row r="3674" spans="1:38" x14ac:dyDescent="0.2">
      <c r="A3674" s="2">
        <v>2026</v>
      </c>
      <c r="B3674" s="2">
        <v>4</v>
      </c>
      <c r="D3674" s="2" t="s">
        <v>1178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1179</v>
      </c>
      <c r="J3674" s="2" t="s">
        <v>1180</v>
      </c>
      <c r="L3674" s="2" t="s">
        <v>461</v>
      </c>
      <c r="M3674" s="2" t="s">
        <v>41</v>
      </c>
      <c r="O3674" s="2" t="s">
        <v>2854</v>
      </c>
      <c r="P3674" s="2" t="s">
        <v>43</v>
      </c>
      <c r="Q3674" s="2" t="s">
        <v>244</v>
      </c>
      <c r="R3674" s="2" t="s">
        <v>245</v>
      </c>
      <c r="S3674" s="2">
        <v>2</v>
      </c>
      <c r="T3674" s="2">
        <v>36</v>
      </c>
      <c r="U3674" s="2">
        <v>8.2800000000000011</v>
      </c>
      <c r="V3674" s="2">
        <v>44.28</v>
      </c>
      <c r="W3674" s="2">
        <f t="shared" ref="W3674:W3675" si="545">9.2346*S3674</f>
        <v>18.469200000000001</v>
      </c>
      <c r="X3674" s="5">
        <f t="shared" si="541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37"/>
        <v>0</v>
      </c>
      <c r="AJ3674" s="2">
        <f t="shared" si="538"/>
        <v>0</v>
      </c>
      <c r="AK3674" s="2">
        <f t="shared" si="542"/>
        <v>17.530799999999999</v>
      </c>
      <c r="AL3674" s="5">
        <f t="shared" si="543"/>
        <v>0.48696666666666666</v>
      </c>
    </row>
    <row r="3675" spans="1:38" x14ac:dyDescent="0.2">
      <c r="A3675" s="2">
        <v>2026</v>
      </c>
      <c r="B3675" s="2">
        <v>4</v>
      </c>
      <c r="D3675" s="2" t="s">
        <v>898</v>
      </c>
      <c r="E3675" s="2" t="s">
        <v>108</v>
      </c>
      <c r="F3675" s="2" t="s">
        <v>39</v>
      </c>
      <c r="H3675" s="2" t="s">
        <v>40</v>
      </c>
      <c r="I3675" s="2" t="s">
        <v>156</v>
      </c>
      <c r="J3675" s="2" t="s">
        <v>899</v>
      </c>
      <c r="K3675" s="2">
        <v>912047019</v>
      </c>
      <c r="L3675" s="2" t="s">
        <v>99</v>
      </c>
      <c r="M3675" s="2" t="s">
        <v>80</v>
      </c>
      <c r="O3675" s="2" t="s">
        <v>2853</v>
      </c>
      <c r="P3675" s="2" t="s">
        <v>43</v>
      </c>
      <c r="Q3675" s="2" t="s">
        <v>244</v>
      </c>
      <c r="R3675" s="2" t="s">
        <v>245</v>
      </c>
      <c r="S3675" s="2">
        <v>1</v>
      </c>
      <c r="T3675" s="2">
        <v>18</v>
      </c>
      <c r="U3675" s="2">
        <v>4.1400000000000006</v>
      </c>
      <c r="V3675" s="2">
        <v>22.14</v>
      </c>
      <c r="W3675" s="2">
        <f t="shared" si="545"/>
        <v>9.2346000000000004</v>
      </c>
      <c r="X3675" s="5">
        <f t="shared" si="541"/>
        <v>0.48696666666666666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37"/>
        <v>0</v>
      </c>
      <c r="AJ3675" s="2">
        <f t="shared" si="538"/>
        <v>0</v>
      </c>
      <c r="AK3675" s="2">
        <f t="shared" si="542"/>
        <v>8.7653999999999996</v>
      </c>
      <c r="AL3675" s="5">
        <f t="shared" si="543"/>
        <v>0.48696666666666666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54</v>
      </c>
      <c r="R3676" s="2" t="s">
        <v>55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546">10.6*S3676</f>
        <v>31.799999999999997</v>
      </c>
      <c r="X3676" s="5">
        <f t="shared" si="541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37"/>
        <v>0</v>
      </c>
      <c r="AG3676" s="2">
        <v>10.6</v>
      </c>
      <c r="AH3676" s="2">
        <v>18</v>
      </c>
      <c r="AJ3676" s="2">
        <f t="shared" si="538"/>
        <v>0</v>
      </c>
      <c r="AK3676" s="2">
        <f t="shared" si="542"/>
        <v>22.200000000000003</v>
      </c>
      <c r="AL3676" s="5">
        <f t="shared" si="543"/>
        <v>0.41111111111111115</v>
      </c>
    </row>
    <row r="3677" spans="1:38" x14ac:dyDescent="0.2">
      <c r="A3677" s="2">
        <v>2026</v>
      </c>
      <c r="B3677" s="2">
        <v>4</v>
      </c>
      <c r="C3677" s="2" t="s">
        <v>3318</v>
      </c>
      <c r="D3677" s="2" t="s">
        <v>941</v>
      </c>
      <c r="E3677" s="2" t="s">
        <v>38</v>
      </c>
      <c r="F3677" s="2" t="s">
        <v>39</v>
      </c>
      <c r="L3677" s="2" t="s">
        <v>177</v>
      </c>
      <c r="M3677" s="2" t="s">
        <v>41</v>
      </c>
      <c r="P3677" s="2" t="s">
        <v>43</v>
      </c>
      <c r="Q3677" s="2" t="s">
        <v>54</v>
      </c>
      <c r="R3677" s="2" t="s">
        <v>55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546"/>
        <v>21.2</v>
      </c>
      <c r="X3677" s="5">
        <f t="shared" si="541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37"/>
        <v>0</v>
      </c>
      <c r="AG3677" s="2">
        <v>10.6</v>
      </c>
      <c r="AH3677" s="2">
        <v>18</v>
      </c>
      <c r="AJ3677" s="2">
        <f t="shared" si="538"/>
        <v>0</v>
      </c>
      <c r="AK3677" s="2">
        <f t="shared" si="542"/>
        <v>14.8</v>
      </c>
      <c r="AL3677" s="5">
        <f t="shared" si="543"/>
        <v>0.41111111111111115</v>
      </c>
    </row>
    <row r="3678" spans="1:38" x14ac:dyDescent="0.2">
      <c r="A3678" s="2">
        <v>2026</v>
      </c>
      <c r="B3678" s="2">
        <v>4</v>
      </c>
      <c r="D3678" s="2" t="s">
        <v>422</v>
      </c>
      <c r="E3678" s="2" t="s">
        <v>98</v>
      </c>
      <c r="F3678" s="2" t="s">
        <v>39</v>
      </c>
      <c r="G3678" s="2">
        <v>503523470</v>
      </c>
      <c r="H3678" s="2" t="s">
        <v>40</v>
      </c>
      <c r="I3678" s="2" t="s">
        <v>423</v>
      </c>
      <c r="J3678" s="2" t="s">
        <v>424</v>
      </c>
      <c r="L3678" s="2" t="s">
        <v>201</v>
      </c>
      <c r="M3678" s="2" t="s">
        <v>80</v>
      </c>
      <c r="P3678" s="2" t="s">
        <v>43</v>
      </c>
      <c r="Q3678" s="2" t="s">
        <v>54</v>
      </c>
      <c r="R3678" s="2" t="s">
        <v>55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546"/>
        <v>10.6</v>
      </c>
      <c r="X3678" s="5">
        <f t="shared" si="541"/>
        <v>0.41111111111111115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37"/>
        <v>0</v>
      </c>
      <c r="AG3678" s="2">
        <v>10.6</v>
      </c>
      <c r="AH3678" s="2">
        <v>18</v>
      </c>
      <c r="AJ3678" s="2">
        <f t="shared" si="538"/>
        <v>0</v>
      </c>
      <c r="AK3678" s="2">
        <f t="shared" si="542"/>
        <v>7.4</v>
      </c>
      <c r="AL3678" s="5">
        <f t="shared" si="543"/>
        <v>0.41111111111111115</v>
      </c>
    </row>
    <row r="3679" spans="1:38" x14ac:dyDescent="0.2">
      <c r="A3679" s="2">
        <v>2026</v>
      </c>
      <c r="B3679" s="2">
        <v>4</v>
      </c>
      <c r="D3679" s="2" t="s">
        <v>574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177</v>
      </c>
      <c r="J3679" s="2" t="s">
        <v>575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546"/>
        <v>106</v>
      </c>
      <c r="X3679" s="5">
        <f t="shared" si="541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37"/>
        <v>0</v>
      </c>
      <c r="AG3679" s="2">
        <v>10.6</v>
      </c>
      <c r="AH3679" s="2">
        <v>18</v>
      </c>
      <c r="AJ3679" s="2">
        <f t="shared" si="538"/>
        <v>0</v>
      </c>
      <c r="AK3679" s="2">
        <f t="shared" si="542"/>
        <v>44</v>
      </c>
      <c r="AL3679" s="5">
        <f t="shared" si="543"/>
        <v>0.29333333333333333</v>
      </c>
    </row>
    <row r="3680" spans="1:38" x14ac:dyDescent="0.2">
      <c r="A3680" s="2">
        <v>2026</v>
      </c>
      <c r="B3680" s="2">
        <v>4</v>
      </c>
      <c r="D3680" s="2" t="s">
        <v>588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177</v>
      </c>
      <c r="J3680" s="2" t="s">
        <v>589</v>
      </c>
      <c r="L3680" s="2" t="s">
        <v>177</v>
      </c>
      <c r="M3680" s="2" t="s">
        <v>41</v>
      </c>
      <c r="P3680" s="2" t="s">
        <v>43</v>
      </c>
      <c r="Q3680" s="2" t="s">
        <v>54</v>
      </c>
      <c r="R3680" s="2" t="s">
        <v>55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546"/>
        <v>106</v>
      </c>
      <c r="X3680" s="5">
        <f t="shared" si="541"/>
        <v>0.29333333333333333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37"/>
        <v>0</v>
      </c>
      <c r="AG3680" s="2">
        <v>10.6</v>
      </c>
      <c r="AH3680" s="2">
        <v>18</v>
      </c>
      <c r="AJ3680" s="2">
        <f t="shared" si="538"/>
        <v>0</v>
      </c>
      <c r="AK3680" s="2">
        <f t="shared" si="542"/>
        <v>44</v>
      </c>
      <c r="AL3680" s="5">
        <f t="shared" si="543"/>
        <v>0.29333333333333333</v>
      </c>
    </row>
    <row r="3681" spans="1:38" x14ac:dyDescent="0.2">
      <c r="A3681" s="2">
        <v>2026</v>
      </c>
      <c r="B3681" s="2">
        <v>4</v>
      </c>
      <c r="D3681" s="2" t="s">
        <v>1312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177</v>
      </c>
      <c r="J3681" s="2" t="s">
        <v>1313</v>
      </c>
      <c r="L3681" s="2" t="s">
        <v>177</v>
      </c>
      <c r="M3681" s="2" t="s">
        <v>41</v>
      </c>
      <c r="O3681" s="2" t="s">
        <v>2855</v>
      </c>
      <c r="P3681" s="2" t="s">
        <v>43</v>
      </c>
      <c r="Q3681" s="2" t="s">
        <v>54</v>
      </c>
      <c r="R3681" s="2" t="s">
        <v>55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546"/>
        <v>10.6</v>
      </c>
      <c r="X3681" s="5">
        <f t="shared" si="541"/>
        <v>0.41111111111111115</v>
      </c>
      <c r="Z3681" s="2" t="s">
        <v>3226</v>
      </c>
      <c r="AA3681" s="2" t="s">
        <v>46</v>
      </c>
      <c r="AB3681" s="2" t="s">
        <v>56</v>
      </c>
      <c r="AC3681" s="2" t="s">
        <v>57</v>
      </c>
      <c r="AF3681" s="2">
        <f t="shared" si="537"/>
        <v>0</v>
      </c>
      <c r="AG3681" s="2">
        <v>10.6</v>
      </c>
      <c r="AH3681" s="2">
        <v>18</v>
      </c>
      <c r="AJ3681" s="2">
        <f t="shared" si="538"/>
        <v>0</v>
      </c>
      <c r="AK3681" s="2">
        <f t="shared" si="542"/>
        <v>7.4</v>
      </c>
      <c r="AL3681" s="5">
        <f t="shared" si="543"/>
        <v>0.41111111111111115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2856</v>
      </c>
      <c r="P3682" s="2" t="s">
        <v>43</v>
      </c>
      <c r="Q3682" s="2" t="s">
        <v>2857</v>
      </c>
      <c r="R3682" s="2" t="s">
        <v>2858</v>
      </c>
      <c r="S3682" s="2">
        <v>4</v>
      </c>
      <c r="T3682" s="2">
        <v>9.6</v>
      </c>
      <c r="U3682" s="2">
        <v>2.2080000000000002</v>
      </c>
      <c r="V3682" s="2">
        <v>11.808</v>
      </c>
      <c r="W3682" s="2">
        <f>1.41*S3682</f>
        <v>5.64</v>
      </c>
      <c r="X3682" s="5">
        <f t="shared" si="541"/>
        <v>0.41250000000000003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37"/>
        <v>0</v>
      </c>
      <c r="AJ3682" s="2">
        <f t="shared" si="538"/>
        <v>0</v>
      </c>
      <c r="AK3682" s="2">
        <f t="shared" si="542"/>
        <v>3.96</v>
      </c>
      <c r="AL3682" s="5">
        <f t="shared" si="543"/>
        <v>0.41250000000000003</v>
      </c>
    </row>
    <row r="3683" spans="1:38" x14ac:dyDescent="0.2">
      <c r="A3683" s="2">
        <v>2026</v>
      </c>
      <c r="B3683" s="2">
        <v>4</v>
      </c>
      <c r="D3683" s="2" t="s">
        <v>898</v>
      </c>
      <c r="E3683" s="2" t="s">
        <v>108</v>
      </c>
      <c r="F3683" s="2" t="s">
        <v>39</v>
      </c>
      <c r="H3683" s="2" t="s">
        <v>40</v>
      </c>
      <c r="I3683" s="2" t="s">
        <v>156</v>
      </c>
      <c r="J3683" s="2" t="s">
        <v>899</v>
      </c>
      <c r="K3683" s="2">
        <v>912047019</v>
      </c>
      <c r="L3683" s="2" t="s">
        <v>99</v>
      </c>
      <c r="M3683" s="2" t="s">
        <v>40</v>
      </c>
      <c r="O3683" s="2" t="s">
        <v>2859</v>
      </c>
      <c r="P3683" s="2" t="s">
        <v>43</v>
      </c>
      <c r="Q3683" s="2" t="s">
        <v>250</v>
      </c>
      <c r="R3683" s="2" t="s">
        <v>251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541"/>
        <v>0.49808399999999997</v>
      </c>
      <c r="Z3683" s="2" t="s">
        <v>3226</v>
      </c>
      <c r="AA3683" s="2" t="s">
        <v>46</v>
      </c>
      <c r="AB3683" s="2" t="s">
        <v>90</v>
      </c>
      <c r="AC3683" s="2" t="s">
        <v>57</v>
      </c>
      <c r="AF3683" s="2">
        <f t="shared" si="537"/>
        <v>0</v>
      </c>
      <c r="AJ3683" s="2">
        <f t="shared" si="538"/>
        <v>0</v>
      </c>
      <c r="AK3683" s="2">
        <f t="shared" si="542"/>
        <v>49.808399999999999</v>
      </c>
      <c r="AL3683" s="5">
        <f t="shared" si="543"/>
        <v>0.49808399999999997</v>
      </c>
    </row>
    <row r="3684" spans="1:38" x14ac:dyDescent="0.2">
      <c r="A3684" s="2">
        <v>2026</v>
      </c>
      <c r="B3684" s="2">
        <v>4</v>
      </c>
      <c r="D3684" s="2" t="s">
        <v>980</v>
      </c>
      <c r="E3684" s="2" t="s">
        <v>38</v>
      </c>
      <c r="F3684" s="2" t="s">
        <v>39</v>
      </c>
      <c r="L3684" s="2" t="s">
        <v>418</v>
      </c>
      <c r="M3684" s="2" t="s">
        <v>41</v>
      </c>
      <c r="O3684" s="2" t="s">
        <v>2860</v>
      </c>
      <c r="P3684" s="2" t="s">
        <v>43</v>
      </c>
      <c r="Q3684" s="2" t="s">
        <v>58</v>
      </c>
      <c r="R3684" s="2" t="s">
        <v>59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541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37"/>
        <v>0</v>
      </c>
      <c r="AG3684" s="2">
        <v>9.14</v>
      </c>
      <c r="AH3684" s="2">
        <v>16</v>
      </c>
      <c r="AJ3684" s="2">
        <f t="shared" si="538"/>
        <v>0</v>
      </c>
      <c r="AK3684" s="2">
        <f t="shared" si="542"/>
        <v>3.8600000000000012</v>
      </c>
      <c r="AL3684" s="5">
        <f t="shared" si="543"/>
        <v>0.29692307692307701</v>
      </c>
    </row>
    <row r="3685" spans="1:38" x14ac:dyDescent="0.2">
      <c r="A3685" s="2">
        <v>2026</v>
      </c>
      <c r="B3685" s="2">
        <v>4</v>
      </c>
      <c r="D3685" s="2" t="s">
        <v>458</v>
      </c>
      <c r="E3685" s="2" t="s">
        <v>108</v>
      </c>
      <c r="F3685" s="2" t="s">
        <v>477</v>
      </c>
      <c r="G3685" s="2">
        <v>507016173</v>
      </c>
      <c r="H3685" s="2" t="s">
        <v>109</v>
      </c>
      <c r="I3685" s="2" t="s">
        <v>459</v>
      </c>
      <c r="J3685" s="2" t="s">
        <v>460</v>
      </c>
      <c r="L3685" s="2" t="s">
        <v>461</v>
      </c>
      <c r="M3685" s="2" t="s">
        <v>41</v>
      </c>
      <c r="O3685" s="2" t="s">
        <v>2861</v>
      </c>
      <c r="P3685" s="2" t="s">
        <v>43</v>
      </c>
      <c r="Q3685" s="2" t="s">
        <v>58</v>
      </c>
      <c r="R3685" s="2" t="s">
        <v>59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541"/>
        <v>0.29692307692307701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37"/>
        <v>0</v>
      </c>
      <c r="AG3685" s="2">
        <v>9.14</v>
      </c>
      <c r="AH3685" s="2">
        <v>16</v>
      </c>
      <c r="AJ3685" s="2">
        <f t="shared" si="538"/>
        <v>0</v>
      </c>
      <c r="AK3685" s="2">
        <f t="shared" si="542"/>
        <v>7.7200000000000024</v>
      </c>
      <c r="AL3685" s="5">
        <f t="shared" si="543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547">0.082*S3686</f>
        <v>82</v>
      </c>
      <c r="X3686" s="5">
        <f t="shared" si="541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37"/>
        <v>0</v>
      </c>
      <c r="AG3686" s="2">
        <v>8.1999999999999993</v>
      </c>
      <c r="AH3686" s="2">
        <v>13</v>
      </c>
      <c r="AJ3686" s="2">
        <f t="shared" si="538"/>
        <v>0</v>
      </c>
      <c r="AK3686" s="2">
        <f t="shared" si="542"/>
        <v>28</v>
      </c>
      <c r="AL3686" s="5">
        <f t="shared" si="543"/>
        <v>0.25454545454545452</v>
      </c>
    </row>
    <row r="3687" spans="1:38" x14ac:dyDescent="0.2">
      <c r="A3687" s="2">
        <v>2026</v>
      </c>
      <c r="B3687" s="2">
        <v>4</v>
      </c>
      <c r="C3687" s="2" t="s">
        <v>3468</v>
      </c>
      <c r="D3687" s="2" t="s">
        <v>297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298</v>
      </c>
      <c r="J3687" s="2" t="s">
        <v>299</v>
      </c>
      <c r="K3687" s="2">
        <v>962678129</v>
      </c>
      <c r="L3687" s="2" t="s">
        <v>177</v>
      </c>
      <c r="M3687" s="2" t="s">
        <v>41</v>
      </c>
      <c r="O3687" s="2" t="s">
        <v>2862</v>
      </c>
      <c r="P3687" s="2" t="s">
        <v>43</v>
      </c>
      <c r="Q3687" s="2" t="s">
        <v>61</v>
      </c>
      <c r="R3687" s="2" t="s">
        <v>62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547"/>
        <v>82</v>
      </c>
      <c r="X3687" s="5">
        <f t="shared" si="541"/>
        <v>0.25454545454545452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37"/>
        <v>0</v>
      </c>
      <c r="AG3687" s="2">
        <v>8.1999999999999993</v>
      </c>
      <c r="AH3687" s="2">
        <v>13</v>
      </c>
      <c r="AJ3687" s="2">
        <f t="shared" si="538"/>
        <v>0</v>
      </c>
      <c r="AK3687" s="2">
        <f t="shared" si="542"/>
        <v>28</v>
      </c>
      <c r="AL3687" s="5">
        <f t="shared" si="543"/>
        <v>0.25454545454545452</v>
      </c>
    </row>
    <row r="3688" spans="1:38" x14ac:dyDescent="0.2">
      <c r="A3688" s="2">
        <v>2026</v>
      </c>
      <c r="B3688" s="2">
        <v>4</v>
      </c>
      <c r="C3688" s="2" t="s">
        <v>3443</v>
      </c>
      <c r="D3688" s="2" t="s">
        <v>1887</v>
      </c>
      <c r="E3688" s="2" t="s">
        <v>38</v>
      </c>
      <c r="F3688" s="2" t="s">
        <v>39</v>
      </c>
      <c r="L3688" s="2" t="s">
        <v>461</v>
      </c>
      <c r="M3688" s="2" t="s">
        <v>80</v>
      </c>
      <c r="P3688" s="2" t="s">
        <v>43</v>
      </c>
      <c r="Q3688" s="2" t="s">
        <v>61</v>
      </c>
      <c r="R3688" s="2" t="s">
        <v>62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547"/>
        <v>41</v>
      </c>
      <c r="X3688" s="5">
        <f t="shared" si="541"/>
        <v>0.36923076923076925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37"/>
        <v>0</v>
      </c>
      <c r="AG3688" s="2">
        <v>8.1999999999999993</v>
      </c>
      <c r="AH3688" s="2">
        <v>13</v>
      </c>
      <c r="AJ3688" s="2">
        <f t="shared" si="538"/>
        <v>0</v>
      </c>
      <c r="AK3688" s="2">
        <f t="shared" si="542"/>
        <v>24</v>
      </c>
      <c r="AL3688" s="5">
        <f t="shared" si="543"/>
        <v>0.36923076923076925</v>
      </c>
    </row>
    <row r="3689" spans="1:38" x14ac:dyDescent="0.2">
      <c r="A3689" s="2">
        <v>2026</v>
      </c>
      <c r="B3689" s="2">
        <v>4</v>
      </c>
      <c r="D3689" s="2" t="s">
        <v>415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416</v>
      </c>
      <c r="J3689" s="2" t="s">
        <v>417</v>
      </c>
      <c r="L3689" s="2" t="s">
        <v>418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547"/>
        <v>32.800000000000004</v>
      </c>
      <c r="X3689" s="5">
        <f t="shared" si="541"/>
        <v>0.36923076923076914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37"/>
        <v>0</v>
      </c>
      <c r="AG3689" s="2">
        <v>8.1999999999999993</v>
      </c>
      <c r="AH3689" s="2">
        <v>13</v>
      </c>
      <c r="AJ3689" s="2">
        <f t="shared" si="538"/>
        <v>0</v>
      </c>
      <c r="AK3689" s="2">
        <f t="shared" si="542"/>
        <v>19.199999999999996</v>
      </c>
      <c r="AL3689" s="5">
        <f t="shared" si="543"/>
        <v>0.36923076923076914</v>
      </c>
    </row>
    <row r="3690" spans="1:38" x14ac:dyDescent="0.2">
      <c r="A3690" s="2">
        <v>2026</v>
      </c>
      <c r="B3690" s="2">
        <v>4</v>
      </c>
      <c r="D3690" s="2" t="s">
        <v>458</v>
      </c>
      <c r="E3690" s="2" t="s">
        <v>108</v>
      </c>
      <c r="F3690" s="2" t="s">
        <v>477</v>
      </c>
      <c r="G3690" s="2">
        <v>507016173</v>
      </c>
      <c r="H3690" s="2" t="s">
        <v>109</v>
      </c>
      <c r="I3690" s="2" t="s">
        <v>459</v>
      </c>
      <c r="J3690" s="2" t="s">
        <v>460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547"/>
        <v>82</v>
      </c>
      <c r="X3690" s="5">
        <f t="shared" si="541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37"/>
        <v>0</v>
      </c>
      <c r="AG3690" s="2">
        <v>8.1999999999999993</v>
      </c>
      <c r="AH3690" s="2">
        <v>13</v>
      </c>
      <c r="AJ3690" s="2">
        <f t="shared" si="538"/>
        <v>0</v>
      </c>
      <c r="AK3690" s="2">
        <f t="shared" si="542"/>
        <v>28</v>
      </c>
      <c r="AL3690" s="5">
        <f t="shared" si="543"/>
        <v>0.25454545454545452</v>
      </c>
    </row>
    <row r="3691" spans="1:38" x14ac:dyDescent="0.2">
      <c r="A3691" s="2">
        <v>2026</v>
      </c>
      <c r="B3691" s="2">
        <v>4</v>
      </c>
      <c r="D3691" s="2" t="s">
        <v>606</v>
      </c>
      <c r="E3691" s="2" t="s">
        <v>108</v>
      </c>
      <c r="F3691" s="2" t="s">
        <v>39</v>
      </c>
      <c r="G3691" s="2">
        <v>504822187</v>
      </c>
      <c r="H3691" s="2" t="s">
        <v>109</v>
      </c>
      <c r="I3691" s="2" t="s">
        <v>607</v>
      </c>
      <c r="J3691" s="2" t="s">
        <v>608</v>
      </c>
      <c r="K3691" s="2">
        <v>966216853</v>
      </c>
      <c r="L3691" s="2" t="s">
        <v>461</v>
      </c>
      <c r="P3691" s="2" t="s">
        <v>43</v>
      </c>
      <c r="Q3691" s="2" t="s">
        <v>61</v>
      </c>
      <c r="R3691" s="2" t="s">
        <v>62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547"/>
        <v>82</v>
      </c>
      <c r="X3691" s="5">
        <f t="shared" si="541"/>
        <v>0.25454545454545452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37"/>
        <v>0</v>
      </c>
      <c r="AG3691" s="2">
        <v>8.1999999999999993</v>
      </c>
      <c r="AH3691" s="2">
        <v>13</v>
      </c>
      <c r="AJ3691" s="2">
        <f t="shared" si="538"/>
        <v>0</v>
      </c>
      <c r="AK3691" s="2">
        <f t="shared" si="542"/>
        <v>28</v>
      </c>
      <c r="AL3691" s="5">
        <f t="shared" si="543"/>
        <v>0.25454545454545452</v>
      </c>
    </row>
    <row r="3692" spans="1:38" x14ac:dyDescent="0.2">
      <c r="A3692" s="2">
        <v>2026</v>
      </c>
      <c r="B3692" s="2">
        <v>4</v>
      </c>
      <c r="D3692" s="2" t="s">
        <v>1312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177</v>
      </c>
      <c r="J3692" s="2" t="s">
        <v>1313</v>
      </c>
      <c r="L3692" s="2" t="s">
        <v>177</v>
      </c>
      <c r="M3692" s="2" t="s">
        <v>41</v>
      </c>
      <c r="O3692" s="2" t="s">
        <v>2855</v>
      </c>
      <c r="P3692" s="2" t="s">
        <v>43</v>
      </c>
      <c r="Q3692" s="2" t="s">
        <v>61</v>
      </c>
      <c r="R3692" s="2" t="s">
        <v>62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547"/>
        <v>16.400000000000002</v>
      </c>
      <c r="X3692" s="5">
        <f t="shared" si="541"/>
        <v>0.36923076923076914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37"/>
        <v>0</v>
      </c>
      <c r="AG3692" s="2">
        <v>8.1999999999999993</v>
      </c>
      <c r="AH3692" s="2">
        <v>13</v>
      </c>
      <c r="AJ3692" s="2">
        <f t="shared" si="538"/>
        <v>0</v>
      </c>
      <c r="AK3692" s="2">
        <f t="shared" si="542"/>
        <v>9.5999999999999979</v>
      </c>
      <c r="AL3692" s="5">
        <f t="shared" si="543"/>
        <v>0.36923076923076914</v>
      </c>
    </row>
    <row r="3693" spans="1:38" x14ac:dyDescent="0.2">
      <c r="A3693" s="2">
        <v>2026</v>
      </c>
      <c r="B3693" s="2">
        <v>4</v>
      </c>
      <c r="C3693" s="2" t="s">
        <v>3445</v>
      </c>
      <c r="D3693" s="2" t="s">
        <v>297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298</v>
      </c>
      <c r="J3693" s="2" t="s">
        <v>299</v>
      </c>
      <c r="K3693" s="2">
        <v>962678129</v>
      </c>
      <c r="L3693" s="2" t="s">
        <v>177</v>
      </c>
      <c r="M3693" s="2" t="s">
        <v>41</v>
      </c>
      <c r="O3693" s="2" t="s">
        <v>2849</v>
      </c>
      <c r="P3693" s="2" t="s">
        <v>43</v>
      </c>
      <c r="Q3693" s="2" t="s">
        <v>254</v>
      </c>
      <c r="R3693" s="2" t="s">
        <v>255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>0.0914*S3693</f>
        <v>45.699999999999996</v>
      </c>
      <c r="X3693" s="5">
        <f t="shared" si="541"/>
        <v>0.3471428571428572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37"/>
        <v>0</v>
      </c>
      <c r="AJ3693" s="2">
        <f t="shared" si="538"/>
        <v>0</v>
      </c>
      <c r="AK3693" s="2">
        <f t="shared" si="542"/>
        <v>24.300000000000004</v>
      </c>
      <c r="AL3693" s="5">
        <f t="shared" si="543"/>
        <v>0.3471428571428572</v>
      </c>
    </row>
    <row r="3694" spans="1:38" x14ac:dyDescent="0.2">
      <c r="A3694" s="2">
        <v>2026</v>
      </c>
      <c r="B3694" s="2">
        <v>4</v>
      </c>
      <c r="D3694" s="2" t="s">
        <v>1021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1554</v>
      </c>
      <c r="J3694" s="2" t="s">
        <v>2525</v>
      </c>
      <c r="L3694" s="2" t="s">
        <v>177</v>
      </c>
      <c r="P3694" s="2" t="s">
        <v>43</v>
      </c>
      <c r="Q3694" s="2" t="s">
        <v>254</v>
      </c>
      <c r="R3694" s="2" t="s">
        <v>255</v>
      </c>
      <c r="S3694" s="2">
        <v>100</v>
      </c>
      <c r="T3694" s="2">
        <v>14</v>
      </c>
      <c r="U3694" s="2">
        <v>3.22</v>
      </c>
      <c r="V3694" s="2">
        <v>17.22</v>
      </c>
      <c r="W3694" s="2">
        <f>0.0914*S3694</f>
        <v>9.1399999999999988</v>
      </c>
      <c r="X3694" s="5">
        <f t="shared" si="541"/>
        <v>0.34714285714285725</v>
      </c>
      <c r="Z3694" s="2" t="s">
        <v>3226</v>
      </c>
      <c r="AA3694" s="2" t="s">
        <v>46</v>
      </c>
      <c r="AB3694" s="2" t="s">
        <v>60</v>
      </c>
      <c r="AC3694" s="2" t="s">
        <v>57</v>
      </c>
      <c r="AF3694" s="2">
        <f t="shared" si="537"/>
        <v>0</v>
      </c>
      <c r="AJ3694" s="2">
        <f t="shared" si="538"/>
        <v>0</v>
      </c>
      <c r="AK3694" s="2">
        <f t="shared" si="542"/>
        <v>4.8600000000000012</v>
      </c>
      <c r="AL3694" s="5">
        <f t="shared" si="543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256</v>
      </c>
      <c r="R3695" s="2" t="s">
        <v>257</v>
      </c>
      <c r="S3695" s="2">
        <v>6</v>
      </c>
      <c r="T3695" s="2">
        <v>18</v>
      </c>
      <c r="U3695" s="2">
        <v>4.1400000000000006</v>
      </c>
      <c r="V3695" s="2">
        <v>22.14</v>
      </c>
      <c r="W3695" s="2">
        <f>0.98*S3695</f>
        <v>5.88</v>
      </c>
      <c r="X3695" s="5">
        <f t="shared" si="541"/>
        <v>0.67333333333333334</v>
      </c>
      <c r="Z3695" s="2" t="s">
        <v>3226</v>
      </c>
      <c r="AA3695" s="2" t="s">
        <v>46</v>
      </c>
      <c r="AB3695" s="2" t="s">
        <v>90</v>
      </c>
      <c r="AC3695" s="2" t="s">
        <v>57</v>
      </c>
      <c r="AF3695" s="2">
        <f t="shared" si="537"/>
        <v>0</v>
      </c>
      <c r="AJ3695" s="2">
        <f t="shared" si="538"/>
        <v>0</v>
      </c>
      <c r="AK3695" s="2">
        <f t="shared" si="542"/>
        <v>12.120000000000001</v>
      </c>
      <c r="AL3695" s="5">
        <f t="shared" si="543"/>
        <v>0.67333333333333334</v>
      </c>
    </row>
    <row r="3696" spans="1:38" x14ac:dyDescent="0.2">
      <c r="A3696" s="2">
        <v>2026</v>
      </c>
      <c r="B3696" s="2">
        <v>4</v>
      </c>
      <c r="C3696" s="2" t="s">
        <v>3445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162</v>
      </c>
      <c r="R3696" s="2" t="s">
        <v>163</v>
      </c>
      <c r="S3696" s="2">
        <v>2</v>
      </c>
      <c r="T3696" s="2">
        <v>42</v>
      </c>
      <c r="U3696" s="2">
        <v>9.66</v>
      </c>
      <c r="V3696" s="2">
        <v>51.66</v>
      </c>
      <c r="W3696" s="2">
        <f>8*S3696</f>
        <v>16</v>
      </c>
      <c r="X3696" s="5">
        <f t="shared" si="541"/>
        <v>0.61904761904761907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37"/>
        <v>0</v>
      </c>
      <c r="AJ3696" s="2">
        <f t="shared" si="538"/>
        <v>0</v>
      </c>
      <c r="AK3696" s="2">
        <f t="shared" si="542"/>
        <v>26</v>
      </c>
      <c r="AL3696" s="5">
        <f t="shared" si="543"/>
        <v>0.61904761904761907</v>
      </c>
    </row>
    <row r="3697" spans="1:38" x14ac:dyDescent="0.2">
      <c r="A3697" s="2">
        <v>2026</v>
      </c>
      <c r="B3697" s="2">
        <v>4</v>
      </c>
      <c r="C3697" s="2" t="s">
        <v>3445</v>
      </c>
      <c r="D3697" s="2" t="s">
        <v>297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298</v>
      </c>
      <c r="J3697" s="2" t="s">
        <v>299</v>
      </c>
      <c r="K3697" s="2">
        <v>962678129</v>
      </c>
      <c r="L3697" s="2" t="s">
        <v>177</v>
      </c>
      <c r="M3697" s="2" t="s">
        <v>41</v>
      </c>
      <c r="O3697" s="2" t="s">
        <v>2849</v>
      </c>
      <c r="P3697" s="2" t="s">
        <v>43</v>
      </c>
      <c r="Q3697" s="2" t="s">
        <v>258</v>
      </c>
      <c r="R3697" s="2" t="s">
        <v>259</v>
      </c>
      <c r="S3697" s="2">
        <v>2</v>
      </c>
      <c r="T3697" s="2">
        <v>48</v>
      </c>
      <c r="U3697" s="2">
        <v>11.04</v>
      </c>
      <c r="V3697" s="2">
        <v>59.04</v>
      </c>
      <c r="W3697" s="2">
        <f>11*S3697</f>
        <v>22</v>
      </c>
      <c r="X3697" s="5">
        <f t="shared" si="541"/>
        <v>0.54166666666666663</v>
      </c>
      <c r="Z3697" s="2" t="s">
        <v>3226</v>
      </c>
      <c r="AA3697" s="2" t="s">
        <v>46</v>
      </c>
      <c r="AB3697" s="2" t="s">
        <v>47</v>
      </c>
      <c r="AC3697" s="2" t="s">
        <v>57</v>
      </c>
      <c r="AF3697" s="2">
        <f t="shared" si="537"/>
        <v>0</v>
      </c>
      <c r="AJ3697" s="2">
        <f t="shared" si="538"/>
        <v>0</v>
      </c>
      <c r="AK3697" s="2">
        <f t="shared" si="542"/>
        <v>26</v>
      </c>
      <c r="AL3697" s="5">
        <f t="shared" si="543"/>
        <v>0.54166666666666663</v>
      </c>
    </row>
    <row r="3698" spans="1:38" x14ac:dyDescent="0.2">
      <c r="A3698" s="2">
        <v>2026</v>
      </c>
      <c r="B3698" s="2">
        <v>4</v>
      </c>
      <c r="D3698" s="2" t="s">
        <v>1021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1554</v>
      </c>
      <c r="J3698" s="2" t="s">
        <v>2525</v>
      </c>
      <c r="L3698" s="2" t="s">
        <v>177</v>
      </c>
      <c r="P3698" s="2" t="s">
        <v>43</v>
      </c>
      <c r="Q3698" s="2" t="s">
        <v>334</v>
      </c>
      <c r="R3698" s="2" t="s">
        <v>335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541"/>
        <v>0.62926666666666664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37"/>
        <v>0</v>
      </c>
      <c r="AG3698" s="2">
        <v>1.1122000000000001</v>
      </c>
      <c r="AH3698" s="2">
        <v>3</v>
      </c>
      <c r="AJ3698" s="2">
        <f t="shared" si="538"/>
        <v>0</v>
      </c>
      <c r="AK3698" s="2">
        <f t="shared" si="542"/>
        <v>15.102399999999999</v>
      </c>
      <c r="AL3698" s="5">
        <f t="shared" si="543"/>
        <v>0.62926666666666664</v>
      </c>
    </row>
    <row r="3699" spans="1:38" x14ac:dyDescent="0.2">
      <c r="A3699" s="2">
        <v>2026</v>
      </c>
      <c r="B3699" s="2">
        <v>4</v>
      </c>
      <c r="D3699" s="2" t="s">
        <v>574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177</v>
      </c>
      <c r="J3699" s="2" t="s">
        <v>575</v>
      </c>
      <c r="L3699" s="2" t="s">
        <v>177</v>
      </c>
      <c r="M3699" s="2" t="s">
        <v>41</v>
      </c>
      <c r="P3699" s="2" t="s">
        <v>43</v>
      </c>
      <c r="Q3699" s="2" t="s">
        <v>579</v>
      </c>
      <c r="R3699" s="2" t="s">
        <v>580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541"/>
        <v>0.5295333333333333</v>
      </c>
      <c r="Z3699" s="2" t="s">
        <v>3226</v>
      </c>
      <c r="AA3699" s="2" t="s">
        <v>46</v>
      </c>
      <c r="AB3699" s="2" t="s">
        <v>60</v>
      </c>
      <c r="AC3699" s="2" t="s">
        <v>57</v>
      </c>
      <c r="AF3699" s="2">
        <f t="shared" si="537"/>
        <v>0</v>
      </c>
      <c r="AG3699" s="2">
        <v>1.4114</v>
      </c>
      <c r="AH3699" s="2">
        <v>3</v>
      </c>
      <c r="AJ3699" s="2">
        <f t="shared" si="538"/>
        <v>0</v>
      </c>
      <c r="AK3699" s="2">
        <f t="shared" si="542"/>
        <v>63.543999999999997</v>
      </c>
      <c r="AL3699" s="5">
        <f t="shared" si="543"/>
        <v>0.5295333333333333</v>
      </c>
    </row>
    <row r="3700" spans="1:38" x14ac:dyDescent="0.2">
      <c r="A3700" s="2">
        <v>2026</v>
      </c>
      <c r="B3700" s="2">
        <v>4</v>
      </c>
      <c r="D3700" s="2" t="s">
        <v>2521</v>
      </c>
      <c r="P3700" s="2" t="s">
        <v>43</v>
      </c>
      <c r="Q3700" s="2" t="s">
        <v>2378</v>
      </c>
      <c r="R3700" s="2" t="s">
        <v>2379</v>
      </c>
      <c r="S3700" s="2">
        <v>-1</v>
      </c>
      <c r="T3700" s="2">
        <v>-60</v>
      </c>
      <c r="U3700" s="2">
        <v>-13.8</v>
      </c>
      <c r="V3700" s="2">
        <v>-73.8</v>
      </c>
      <c r="W3700" s="2">
        <v>100</v>
      </c>
      <c r="X3700" s="18"/>
      <c r="Z3700" s="2" t="s">
        <v>3226</v>
      </c>
      <c r="AA3700" s="2" t="s">
        <v>46</v>
      </c>
      <c r="AB3700" s="2" t="s">
        <v>90</v>
      </c>
      <c r="AC3700" s="2" t="s">
        <v>57</v>
      </c>
      <c r="AF3700" s="2">
        <f t="shared" si="537"/>
        <v>0</v>
      </c>
      <c r="AJ3700" s="2">
        <f t="shared" si="538"/>
        <v>0</v>
      </c>
      <c r="AK3700" s="2">
        <f>T3700+(W3700)</f>
        <v>40</v>
      </c>
      <c r="AL3700" s="18"/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2863</v>
      </c>
      <c r="P3701" s="2" t="s">
        <v>43</v>
      </c>
      <c r="Q3701" s="2" t="s">
        <v>2864</v>
      </c>
      <c r="R3701" s="2" t="s">
        <v>2865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16" si="548">(T3701-W3701)/T3701</f>
        <v>0.25811111111111118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37"/>
        <v>0</v>
      </c>
      <c r="AG3701" s="2">
        <v>16.692499999999999</v>
      </c>
      <c r="AH3701" s="2">
        <v>27.6</v>
      </c>
      <c r="AJ3701" s="2">
        <f t="shared" si="538"/>
        <v>0</v>
      </c>
      <c r="AK3701" s="2">
        <f t="shared" ref="AK3701:AK3716" si="549">T3701-W3701</f>
        <v>11.615000000000002</v>
      </c>
      <c r="AL3701" s="5">
        <f t="shared" ref="AL3701:AL3716" si="550">(T3701-W3701)/T3701</f>
        <v>0.25811111111111118</v>
      </c>
    </row>
    <row r="3702" spans="1:38" x14ac:dyDescent="0.2">
      <c r="A3702" s="2">
        <v>2026</v>
      </c>
      <c r="B3702" s="2">
        <v>4</v>
      </c>
      <c r="C3702" s="2" t="s">
        <v>3445</v>
      </c>
      <c r="D3702" s="2" t="s">
        <v>297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298</v>
      </c>
      <c r="J3702" s="2" t="s">
        <v>299</v>
      </c>
      <c r="K3702" s="2">
        <v>962678129</v>
      </c>
      <c r="L3702" s="2" t="s">
        <v>177</v>
      </c>
      <c r="M3702" s="2" t="s">
        <v>41</v>
      </c>
      <c r="O3702" s="2" t="s">
        <v>2849</v>
      </c>
      <c r="P3702" s="2" t="s">
        <v>43</v>
      </c>
      <c r="Q3702" s="2" t="s">
        <v>2864</v>
      </c>
      <c r="R3702" s="2" t="s">
        <v>2865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548"/>
        <v>0.27423913043478265</v>
      </c>
      <c r="Z3702" s="2" t="s">
        <v>3226</v>
      </c>
      <c r="AA3702" s="2" t="s">
        <v>46</v>
      </c>
      <c r="AB3702" s="2" t="s">
        <v>67</v>
      </c>
      <c r="AC3702" s="2" t="s">
        <v>57</v>
      </c>
      <c r="AF3702" s="2">
        <f t="shared" si="537"/>
        <v>0</v>
      </c>
      <c r="AG3702" s="2">
        <v>16.692499999999999</v>
      </c>
      <c r="AH3702" s="2">
        <v>27.6</v>
      </c>
      <c r="AJ3702" s="2">
        <f t="shared" si="538"/>
        <v>0</v>
      </c>
      <c r="AK3702" s="2">
        <f t="shared" si="549"/>
        <v>6.307500000000001</v>
      </c>
      <c r="AL3702" s="5">
        <f t="shared" si="550"/>
        <v>0.27423913043478265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969</v>
      </c>
      <c r="R3703" s="2" t="s">
        <v>970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18.3719*S3703</f>
        <v>440.92560000000003</v>
      </c>
      <c r="X3703" s="5">
        <f t="shared" si="548"/>
        <v>0.20122173913043473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37"/>
        <v>0</v>
      </c>
      <c r="AJ3703" s="2">
        <f t="shared" si="538"/>
        <v>0</v>
      </c>
      <c r="AK3703" s="2">
        <f t="shared" si="549"/>
        <v>111.07439999999997</v>
      </c>
      <c r="AL3703" s="5">
        <f t="shared" si="550"/>
        <v>0.20122173913043473</v>
      </c>
    </row>
    <row r="3704" spans="1:38" x14ac:dyDescent="0.2">
      <c r="A3704" s="2">
        <v>2026</v>
      </c>
      <c r="B3704" s="2">
        <v>4</v>
      </c>
      <c r="D3704" s="2" t="s">
        <v>319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99</v>
      </c>
      <c r="J3704" s="2" t="s">
        <v>320</v>
      </c>
      <c r="L3704" s="2" t="s">
        <v>99</v>
      </c>
      <c r="M3704" s="2" t="s">
        <v>80</v>
      </c>
      <c r="O3704" s="2" t="s">
        <v>2866</v>
      </c>
      <c r="P3704" s="2" t="s">
        <v>43</v>
      </c>
      <c r="Q3704" s="2" t="s">
        <v>971</v>
      </c>
      <c r="R3704" s="2" t="s">
        <v>972</v>
      </c>
      <c r="S3704" s="2">
        <v>24</v>
      </c>
      <c r="T3704" s="2">
        <v>552</v>
      </c>
      <c r="U3704" s="2">
        <v>126.96</v>
      </c>
      <c r="V3704" s="2">
        <v>678.96</v>
      </c>
      <c r="W3704" s="2">
        <f>18.9342*S3704</f>
        <v>454.42079999999999</v>
      </c>
      <c r="X3704" s="5">
        <f t="shared" si="548"/>
        <v>0.17677391304347828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37"/>
        <v>0</v>
      </c>
      <c r="AJ3704" s="2">
        <f t="shared" si="538"/>
        <v>0</v>
      </c>
      <c r="AK3704" s="2">
        <f t="shared" si="549"/>
        <v>97.579200000000014</v>
      </c>
      <c r="AL3704" s="5">
        <f t="shared" si="550"/>
        <v>0.17677391304347828</v>
      </c>
    </row>
    <row r="3705" spans="1:38" x14ac:dyDescent="0.2">
      <c r="A3705" s="2">
        <v>2026</v>
      </c>
      <c r="B3705" s="2">
        <v>4</v>
      </c>
      <c r="D3705" s="2" t="s">
        <v>581</v>
      </c>
      <c r="E3705" s="2" t="s">
        <v>38</v>
      </c>
      <c r="F3705" s="2" t="s">
        <v>39</v>
      </c>
      <c r="G3705" s="2">
        <v>518281272</v>
      </c>
      <c r="H3705" s="2" t="s">
        <v>41</v>
      </c>
      <c r="I3705" s="2" t="s">
        <v>1101</v>
      </c>
      <c r="J3705" s="2" t="s">
        <v>1102</v>
      </c>
      <c r="L3705" s="2" t="s">
        <v>177</v>
      </c>
      <c r="M3705" s="2" t="s">
        <v>41</v>
      </c>
      <c r="P3705" s="2" t="s">
        <v>43</v>
      </c>
      <c r="Q3705" s="2" t="s">
        <v>503</v>
      </c>
      <c r="R3705" s="2" t="s">
        <v>504</v>
      </c>
      <c r="S3705" s="2">
        <v>16</v>
      </c>
      <c r="T3705" s="2">
        <v>14.4</v>
      </c>
      <c r="U3705" s="2">
        <v>3.3119999999999998</v>
      </c>
      <c r="V3705" s="2">
        <v>17.712</v>
      </c>
      <c r="W3705" s="2">
        <f>0.4795*S3705</f>
        <v>7.6719999999999997</v>
      </c>
      <c r="X3705" s="5">
        <f t="shared" si="548"/>
        <v>0.46722222222222226</v>
      </c>
      <c r="Z3705" s="2" t="s">
        <v>3226</v>
      </c>
      <c r="AA3705" s="2" t="s">
        <v>46</v>
      </c>
      <c r="AB3705" s="2" t="s">
        <v>60</v>
      </c>
      <c r="AC3705" s="2" t="s">
        <v>57</v>
      </c>
      <c r="AF3705" s="2">
        <f t="shared" si="537"/>
        <v>0</v>
      </c>
      <c r="AJ3705" s="2">
        <f t="shared" si="538"/>
        <v>0</v>
      </c>
      <c r="AK3705" s="2">
        <f t="shared" si="549"/>
        <v>6.7280000000000006</v>
      </c>
      <c r="AL3705" s="5">
        <f t="shared" si="550"/>
        <v>0.46722222222222226</v>
      </c>
    </row>
    <row r="3706" spans="1:38" x14ac:dyDescent="0.2">
      <c r="A3706" s="2">
        <v>2026</v>
      </c>
      <c r="B3706" s="2">
        <v>4</v>
      </c>
      <c r="C3706" s="2" t="s">
        <v>3443</v>
      </c>
      <c r="D3706" s="2" t="s">
        <v>1887</v>
      </c>
      <c r="E3706" s="2" t="s">
        <v>38</v>
      </c>
      <c r="F3706" s="2" t="s">
        <v>39</v>
      </c>
      <c r="L3706" s="2" t="s">
        <v>461</v>
      </c>
      <c r="M3706" s="2" t="s">
        <v>80</v>
      </c>
      <c r="P3706" s="2" t="s">
        <v>43</v>
      </c>
      <c r="Q3706" s="2" t="s">
        <v>164</v>
      </c>
      <c r="R3706" s="2" t="s">
        <v>165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548"/>
        <v>0.46925333333333336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37"/>
        <v>0</v>
      </c>
      <c r="AG3706" s="2">
        <v>7.9611999999999998</v>
      </c>
      <c r="AH3706" s="2">
        <v>14.4</v>
      </c>
      <c r="AJ3706" s="2">
        <f t="shared" si="538"/>
        <v>0</v>
      </c>
      <c r="AK3706" s="2">
        <f t="shared" si="549"/>
        <v>28.155200000000001</v>
      </c>
      <c r="AL3706" s="5">
        <f t="shared" si="550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65</v>
      </c>
      <c r="R3707" s="2" t="s">
        <v>66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551">15.0203*S3707</f>
        <v>15.020300000000001</v>
      </c>
      <c r="X3707" s="5">
        <f t="shared" si="548"/>
        <v>0.45578623188405798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37"/>
        <v>0</v>
      </c>
      <c r="AG3707" s="2">
        <v>15.020300000000001</v>
      </c>
      <c r="AH3707" s="2">
        <v>27.6</v>
      </c>
      <c r="AJ3707" s="2">
        <f t="shared" si="538"/>
        <v>0</v>
      </c>
      <c r="AK3707" s="2">
        <f t="shared" si="549"/>
        <v>12.579700000000001</v>
      </c>
      <c r="AL3707" s="5">
        <f t="shared" si="550"/>
        <v>0.45578623188405798</v>
      </c>
    </row>
    <row r="3708" spans="1:38" x14ac:dyDescent="0.2">
      <c r="A3708" s="2">
        <v>2026</v>
      </c>
      <c r="B3708" s="2">
        <v>4</v>
      </c>
      <c r="D3708" s="2" t="s">
        <v>332</v>
      </c>
      <c r="E3708" s="2" t="s">
        <v>108</v>
      </c>
      <c r="F3708" s="2" t="s">
        <v>39</v>
      </c>
      <c r="G3708" s="2">
        <v>513493557</v>
      </c>
      <c r="H3708" s="2" t="s">
        <v>41</v>
      </c>
      <c r="I3708" s="2" t="s">
        <v>279</v>
      </c>
      <c r="J3708" s="2" t="s">
        <v>333</v>
      </c>
      <c r="L3708" s="2" t="s">
        <v>177</v>
      </c>
      <c r="M3708" s="2" t="s">
        <v>41</v>
      </c>
      <c r="P3708" s="2" t="s">
        <v>43</v>
      </c>
      <c r="Q3708" s="2" t="s">
        <v>65</v>
      </c>
      <c r="R3708" s="2" t="s">
        <v>66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551"/>
        <v>45.060900000000004</v>
      </c>
      <c r="X3708" s="5">
        <f t="shared" si="548"/>
        <v>0.37415416666666662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37"/>
        <v>0</v>
      </c>
      <c r="AG3708" s="2">
        <v>15.020300000000001</v>
      </c>
      <c r="AH3708" s="2">
        <v>27.6</v>
      </c>
      <c r="AJ3708" s="2">
        <f t="shared" si="538"/>
        <v>0</v>
      </c>
      <c r="AK3708" s="2">
        <f t="shared" si="549"/>
        <v>26.939099999999996</v>
      </c>
      <c r="AL3708" s="5">
        <f t="shared" si="550"/>
        <v>0.37415416666666662</v>
      </c>
    </row>
    <row r="3709" spans="1:38" x14ac:dyDescent="0.2">
      <c r="A3709" s="2">
        <v>2026</v>
      </c>
      <c r="B3709" s="2">
        <v>4</v>
      </c>
      <c r="D3709" s="2" t="s">
        <v>781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782</v>
      </c>
      <c r="J3709" s="2" t="s">
        <v>783</v>
      </c>
      <c r="K3709" s="2">
        <v>917341136</v>
      </c>
      <c r="L3709" s="2" t="s">
        <v>99</v>
      </c>
      <c r="P3709" s="2" t="s">
        <v>43</v>
      </c>
      <c r="Q3709" s="2" t="s">
        <v>65</v>
      </c>
      <c r="R3709" s="2" t="s">
        <v>66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551"/>
        <v>15.020300000000001</v>
      </c>
      <c r="X3709" s="5">
        <f t="shared" si="548"/>
        <v>0.45578623188405798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37"/>
        <v>0</v>
      </c>
      <c r="AG3709" s="2">
        <v>15.020300000000001</v>
      </c>
      <c r="AH3709" s="2">
        <v>27.6</v>
      </c>
      <c r="AJ3709" s="2">
        <f t="shared" si="538"/>
        <v>0</v>
      </c>
      <c r="AK3709" s="2">
        <f t="shared" si="549"/>
        <v>12.579700000000001</v>
      </c>
      <c r="AL3709" s="5">
        <f t="shared" si="550"/>
        <v>0.45578623188405798</v>
      </c>
    </row>
    <row r="3710" spans="1:38" x14ac:dyDescent="0.2">
      <c r="A3710" s="2">
        <v>2026</v>
      </c>
      <c r="B3710" s="2">
        <v>4</v>
      </c>
      <c r="D3710" s="2" t="s">
        <v>1065</v>
      </c>
      <c r="E3710" s="2" t="s">
        <v>108</v>
      </c>
      <c r="F3710" s="2" t="s">
        <v>39</v>
      </c>
      <c r="L3710" s="2" t="s">
        <v>99</v>
      </c>
      <c r="M3710" s="2" t="s">
        <v>41</v>
      </c>
      <c r="P3710" s="2" t="s">
        <v>43</v>
      </c>
      <c r="Q3710" s="2" t="s">
        <v>65</v>
      </c>
      <c r="R3710" s="2" t="s">
        <v>66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551"/>
        <v>150.203</v>
      </c>
      <c r="X3710" s="5">
        <f t="shared" si="548"/>
        <v>0.30138139534883718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37"/>
        <v>0</v>
      </c>
      <c r="AG3710" s="2">
        <v>15.020300000000001</v>
      </c>
      <c r="AH3710" s="2">
        <v>27.6</v>
      </c>
      <c r="AJ3710" s="2">
        <f t="shared" si="538"/>
        <v>0</v>
      </c>
      <c r="AK3710" s="2">
        <f t="shared" si="549"/>
        <v>64.796999999999997</v>
      </c>
      <c r="AL3710" s="5">
        <f t="shared" si="550"/>
        <v>0.30138139534883718</v>
      </c>
    </row>
    <row r="3711" spans="1:38" x14ac:dyDescent="0.2">
      <c r="A3711" s="2">
        <v>2026</v>
      </c>
      <c r="B3711" s="2">
        <v>4</v>
      </c>
      <c r="D3711" s="2" t="s">
        <v>568</v>
      </c>
      <c r="E3711" s="2" t="s">
        <v>38</v>
      </c>
      <c r="F3711" s="2" t="s">
        <v>39</v>
      </c>
      <c r="G3711" s="2">
        <v>506267547</v>
      </c>
      <c r="H3711" s="2" t="s">
        <v>290</v>
      </c>
      <c r="I3711" s="2" t="s">
        <v>569</v>
      </c>
      <c r="J3711" s="2" t="s">
        <v>570</v>
      </c>
      <c r="K3711" s="2">
        <v>917821904</v>
      </c>
      <c r="L3711" s="2" t="s">
        <v>571</v>
      </c>
      <c r="M3711" s="2" t="s">
        <v>290</v>
      </c>
      <c r="O3711" s="2" t="s">
        <v>2867</v>
      </c>
      <c r="P3711" s="2" t="s">
        <v>43</v>
      </c>
      <c r="Q3711" s="2" t="s">
        <v>65</v>
      </c>
      <c r="R3711" s="2" t="s">
        <v>66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551"/>
        <v>15.020300000000001</v>
      </c>
      <c r="X3711" s="5">
        <f t="shared" si="548"/>
        <v>0.45578623188405798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37"/>
        <v>0</v>
      </c>
      <c r="AG3711" s="2">
        <v>15.020300000000001</v>
      </c>
      <c r="AH3711" s="2">
        <v>27.6</v>
      </c>
      <c r="AJ3711" s="2">
        <f t="shared" si="538"/>
        <v>0</v>
      </c>
      <c r="AK3711" s="2">
        <f t="shared" si="549"/>
        <v>12.579700000000001</v>
      </c>
      <c r="AL3711" s="5">
        <f t="shared" si="550"/>
        <v>0.45578623188405798</v>
      </c>
    </row>
    <row r="3712" spans="1:38" x14ac:dyDescent="0.2">
      <c r="A3712" s="2">
        <v>2026</v>
      </c>
      <c r="B3712" s="2">
        <v>4</v>
      </c>
      <c r="D3712" s="2" t="s">
        <v>582</v>
      </c>
      <c r="E3712" s="2" t="s">
        <v>108</v>
      </c>
      <c r="F3712" s="2" t="s">
        <v>39</v>
      </c>
      <c r="G3712" s="2">
        <v>503850276</v>
      </c>
      <c r="H3712" s="2" t="s">
        <v>40</v>
      </c>
      <c r="I3712" s="2" t="s">
        <v>583</v>
      </c>
      <c r="J3712" s="2" t="s">
        <v>584</v>
      </c>
      <c r="L3712" s="2" t="s">
        <v>201</v>
      </c>
      <c r="M3712" s="2" t="s">
        <v>80</v>
      </c>
      <c r="P3712" s="2" t="s">
        <v>43</v>
      </c>
      <c r="Q3712" s="2" t="s">
        <v>65</v>
      </c>
      <c r="R3712" s="2" t="s">
        <v>66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551"/>
        <v>600.81200000000001</v>
      </c>
      <c r="X3712" s="5">
        <f t="shared" si="548"/>
        <v>0.28474761904761903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37"/>
        <v>0</v>
      </c>
      <c r="AG3712" s="2">
        <v>15.020300000000001</v>
      </c>
      <c r="AH3712" s="2">
        <v>27.6</v>
      </c>
      <c r="AJ3712" s="2">
        <f t="shared" si="538"/>
        <v>0</v>
      </c>
      <c r="AK3712" s="2">
        <f t="shared" si="549"/>
        <v>239.18799999999999</v>
      </c>
      <c r="AL3712" s="5">
        <f t="shared" si="550"/>
        <v>0.28474761904761903</v>
      </c>
    </row>
    <row r="3713" spans="1:38" x14ac:dyDescent="0.2">
      <c r="A3713" s="2">
        <v>2026</v>
      </c>
      <c r="B3713" s="2">
        <v>4</v>
      </c>
      <c r="D3713" s="2" t="s">
        <v>332</v>
      </c>
      <c r="E3713" s="2" t="s">
        <v>108</v>
      </c>
      <c r="F3713" s="2" t="s">
        <v>39</v>
      </c>
      <c r="G3713" s="2">
        <v>513493557</v>
      </c>
      <c r="H3713" s="2" t="s">
        <v>41</v>
      </c>
      <c r="I3713" s="2" t="s">
        <v>279</v>
      </c>
      <c r="J3713" s="2" t="s">
        <v>333</v>
      </c>
      <c r="L3713" s="2" t="s">
        <v>177</v>
      </c>
      <c r="M3713" s="2" t="s">
        <v>41</v>
      </c>
      <c r="P3713" s="2" t="s">
        <v>43</v>
      </c>
      <c r="Q3713" s="2" t="s">
        <v>260</v>
      </c>
      <c r="R3713" s="2" t="s">
        <v>261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548"/>
        <v>0.40610714285714283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si="537"/>
        <v>0</v>
      </c>
      <c r="AG3713" s="2">
        <v>8.3145000000000007</v>
      </c>
      <c r="AH3713" s="2">
        <v>15</v>
      </c>
      <c r="AJ3713" s="2">
        <f t="shared" si="538"/>
        <v>0</v>
      </c>
      <c r="AK3713" s="2">
        <f t="shared" si="549"/>
        <v>11.370999999999999</v>
      </c>
      <c r="AL3713" s="5">
        <f t="shared" si="550"/>
        <v>0.40610714285714283</v>
      </c>
    </row>
    <row r="3714" spans="1:38" x14ac:dyDescent="0.2">
      <c r="A3714" s="2">
        <v>2026</v>
      </c>
      <c r="B3714" s="2">
        <v>4</v>
      </c>
      <c r="D3714" s="2" t="s">
        <v>2516</v>
      </c>
      <c r="E3714" s="2" t="s">
        <v>752</v>
      </c>
      <c r="F3714" s="2" t="s">
        <v>39</v>
      </c>
      <c r="G3714" s="2">
        <v>515570354</v>
      </c>
      <c r="H3714" s="2" t="s">
        <v>109</v>
      </c>
      <c r="I3714" s="2" t="s">
        <v>2517</v>
      </c>
      <c r="J3714" s="2" t="s">
        <v>2518</v>
      </c>
      <c r="K3714" s="2">
        <v>967032538</v>
      </c>
      <c r="L3714" s="2" t="s">
        <v>398</v>
      </c>
      <c r="M3714" s="2" t="s">
        <v>109</v>
      </c>
      <c r="P3714" s="2" t="s">
        <v>43</v>
      </c>
      <c r="Q3714" s="2" t="s">
        <v>260</v>
      </c>
      <c r="R3714" s="2" t="s">
        <v>261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548"/>
        <v>0.44569999999999993</v>
      </c>
      <c r="Z3714" s="2" t="s">
        <v>3226</v>
      </c>
      <c r="AA3714" s="2" t="s">
        <v>46</v>
      </c>
      <c r="AB3714" s="2" t="s">
        <v>67</v>
      </c>
      <c r="AC3714" s="2" t="s">
        <v>57</v>
      </c>
      <c r="AF3714" s="2">
        <f t="shared" ref="AF3714:AF3777" si="552">AJ3714</f>
        <v>0</v>
      </c>
      <c r="AG3714" s="2">
        <v>8.3145000000000007</v>
      </c>
      <c r="AH3714" s="2">
        <v>15</v>
      </c>
      <c r="AJ3714" s="2">
        <f t="shared" ref="AJ3714:AJ3777" si="553">AI3714*T3714</f>
        <v>0</v>
      </c>
      <c r="AK3714" s="2">
        <f t="shared" si="549"/>
        <v>6.6854999999999993</v>
      </c>
      <c r="AL3714" s="5">
        <f t="shared" si="550"/>
        <v>0.44569999999999993</v>
      </c>
    </row>
    <row r="3715" spans="1:38" x14ac:dyDescent="0.2">
      <c r="A3715" s="2">
        <v>2026</v>
      </c>
      <c r="B3715" s="2">
        <v>4</v>
      </c>
      <c r="C3715" s="2" t="s">
        <v>3443</v>
      </c>
      <c r="D3715" s="2" t="s">
        <v>1887</v>
      </c>
      <c r="E3715" s="2" t="s">
        <v>38</v>
      </c>
      <c r="F3715" s="2" t="s">
        <v>39</v>
      </c>
      <c r="L3715" s="2" t="s">
        <v>461</v>
      </c>
      <c r="M3715" s="2" t="s">
        <v>80</v>
      </c>
      <c r="O3715" s="2" t="s">
        <v>2868</v>
      </c>
      <c r="P3715" s="2" t="s">
        <v>43</v>
      </c>
      <c r="Q3715" s="2" t="s">
        <v>2869</v>
      </c>
      <c r="R3715" s="2" t="s">
        <v>2870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548"/>
        <v>0.40366666666666667</v>
      </c>
      <c r="Z3715" s="2" t="s">
        <v>3226</v>
      </c>
      <c r="AA3715" s="2" t="s">
        <v>46</v>
      </c>
      <c r="AB3715" s="2" t="s">
        <v>90</v>
      </c>
      <c r="AC3715" s="2" t="s">
        <v>57</v>
      </c>
      <c r="AF3715" s="2">
        <f t="shared" si="552"/>
        <v>0</v>
      </c>
      <c r="AG3715" s="2">
        <v>35.78</v>
      </c>
      <c r="AH3715" s="2">
        <v>63.6</v>
      </c>
      <c r="AJ3715" s="2">
        <f t="shared" si="553"/>
        <v>0</v>
      </c>
      <c r="AK3715" s="2">
        <f t="shared" si="549"/>
        <v>24.22</v>
      </c>
      <c r="AL3715" s="5">
        <f t="shared" si="550"/>
        <v>0.40366666666666667</v>
      </c>
    </row>
    <row r="3716" spans="1:38" x14ac:dyDescent="0.2">
      <c r="A3716" s="2">
        <v>2026</v>
      </c>
      <c r="B3716" s="2">
        <v>4</v>
      </c>
      <c r="C3716" s="2" t="s">
        <v>3318</v>
      </c>
      <c r="D3716" s="2" t="s">
        <v>1162</v>
      </c>
      <c r="E3716" s="2" t="s">
        <v>752</v>
      </c>
      <c r="F3716" s="2" t="s">
        <v>1217</v>
      </c>
      <c r="G3716" s="2">
        <v>508199280</v>
      </c>
      <c r="H3716" s="2" t="s">
        <v>40</v>
      </c>
      <c r="I3716" s="2" t="s">
        <v>1163</v>
      </c>
      <c r="L3716" s="2" t="s">
        <v>293</v>
      </c>
      <c r="M3716" s="2" t="s">
        <v>40</v>
      </c>
      <c r="P3716" s="2" t="s">
        <v>3229</v>
      </c>
      <c r="Q3716" s="2" t="s">
        <v>2871</v>
      </c>
      <c r="R3716" s="2" t="s">
        <v>2872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548"/>
        <v>0.58993994995829857</v>
      </c>
      <c r="Z3716" s="2" t="s">
        <v>104</v>
      </c>
      <c r="AA3716" s="2" t="s">
        <v>264</v>
      </c>
      <c r="AB3716" s="2" t="s">
        <v>265</v>
      </c>
      <c r="AC3716" s="2" t="s">
        <v>3229</v>
      </c>
      <c r="AF3716" s="2">
        <f t="shared" si="552"/>
        <v>0</v>
      </c>
      <c r="AJ3716" s="2">
        <f t="shared" si="553"/>
        <v>0</v>
      </c>
      <c r="AK3716" s="2">
        <f t="shared" si="549"/>
        <v>7073.38</v>
      </c>
      <c r="AL3716" s="5">
        <f t="shared" si="550"/>
        <v>0.58993994995829857</v>
      </c>
    </row>
    <row r="3717" spans="1:38" x14ac:dyDescent="0.2">
      <c r="A3717" s="2">
        <v>2026</v>
      </c>
      <c r="B3717" s="2">
        <v>4</v>
      </c>
      <c r="D3717" s="2" t="s">
        <v>428</v>
      </c>
      <c r="E3717" s="2" t="s">
        <v>38</v>
      </c>
      <c r="G3717" s="2">
        <v>500820384</v>
      </c>
      <c r="H3717" s="2" t="s">
        <v>40</v>
      </c>
      <c r="I3717" s="2" t="s">
        <v>429</v>
      </c>
      <c r="J3717" s="2" t="s">
        <v>430</v>
      </c>
      <c r="L3717" s="2" t="s">
        <v>99</v>
      </c>
      <c r="M3717" s="2" t="s">
        <v>80</v>
      </c>
      <c r="O3717" s="2" t="s">
        <v>2873</v>
      </c>
      <c r="P3717" s="2" t="s">
        <v>40</v>
      </c>
      <c r="Q3717" s="2" t="s">
        <v>546</v>
      </c>
      <c r="R3717" s="2" t="s">
        <v>547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3226</v>
      </c>
      <c r="AA3717" s="2" t="s">
        <v>75</v>
      </c>
      <c r="AB3717" s="2" t="s">
        <v>76</v>
      </c>
      <c r="AC3717" s="2" t="s">
        <v>40</v>
      </c>
      <c r="AF3717" s="2">
        <f t="shared" si="552"/>
        <v>0</v>
      </c>
      <c r="AJ3717" s="2">
        <f t="shared" si="553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960</v>
      </c>
      <c r="E3718" s="2" t="s">
        <v>38</v>
      </c>
      <c r="G3718" s="2">
        <v>502714913</v>
      </c>
      <c r="H3718" s="2" t="s">
        <v>40</v>
      </c>
      <c r="I3718" s="2" t="s">
        <v>327</v>
      </c>
      <c r="J3718" s="2" t="s">
        <v>1987</v>
      </c>
      <c r="L3718" s="2" t="s">
        <v>177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ref="X3718:X3742" si="554">(T3718-W3718)/T3718</f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552"/>
        <v>0</v>
      </c>
      <c r="AG3718" s="2">
        <v>125.51600000000001</v>
      </c>
      <c r="AH3718" s="2">
        <v>220</v>
      </c>
      <c r="AJ3718" s="2">
        <f t="shared" si="553"/>
        <v>0</v>
      </c>
      <c r="AK3718" s="2">
        <f t="shared" ref="AK3718:AK3742" si="555">T3718-W3718</f>
        <v>94.483999999999995</v>
      </c>
      <c r="AL3718" s="5">
        <f t="shared" ref="AL3718:AL3742" si="556">(T3718-W3718)/T3718</f>
        <v>0.42947272727272723</v>
      </c>
    </row>
    <row r="3719" spans="1:38" x14ac:dyDescent="0.2">
      <c r="A3719" s="2">
        <v>2026</v>
      </c>
      <c r="B3719" s="2">
        <v>4</v>
      </c>
      <c r="D3719" s="2" t="s">
        <v>731</v>
      </c>
      <c r="E3719" s="2" t="s">
        <v>108</v>
      </c>
      <c r="G3719" s="2">
        <v>502757396</v>
      </c>
      <c r="H3719" s="2" t="s">
        <v>40</v>
      </c>
      <c r="I3719" s="2" t="s">
        <v>99</v>
      </c>
      <c r="J3719" s="2" t="s">
        <v>732</v>
      </c>
      <c r="L3719" s="2" t="s">
        <v>99</v>
      </c>
      <c r="M3719" s="2" t="s">
        <v>80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554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552"/>
        <v>0</v>
      </c>
      <c r="AG3719" s="2">
        <v>125.51600000000001</v>
      </c>
      <c r="AH3719" s="2">
        <v>220</v>
      </c>
      <c r="AJ3719" s="2">
        <f t="shared" si="553"/>
        <v>0</v>
      </c>
      <c r="AK3719" s="2">
        <f t="shared" si="555"/>
        <v>94.483999999999995</v>
      </c>
      <c r="AL3719" s="5">
        <f t="shared" si="556"/>
        <v>0.42947272727272723</v>
      </c>
    </row>
    <row r="3720" spans="1:38" x14ac:dyDescent="0.2">
      <c r="A3720" s="2">
        <v>2026</v>
      </c>
      <c r="B3720" s="2">
        <v>4</v>
      </c>
      <c r="C3720" s="2" t="s">
        <v>3445</v>
      </c>
      <c r="D3720" s="2" t="s">
        <v>476</v>
      </c>
      <c r="E3720" s="2" t="s">
        <v>108</v>
      </c>
      <c r="F3720" s="2" t="s">
        <v>477</v>
      </c>
      <c r="G3720" s="2">
        <v>500864365</v>
      </c>
      <c r="H3720" s="2" t="s">
        <v>41</v>
      </c>
      <c r="I3720" s="2" t="s">
        <v>478</v>
      </c>
      <c r="J3720" s="2" t="s">
        <v>479</v>
      </c>
      <c r="L3720" s="2" t="s">
        <v>480</v>
      </c>
      <c r="M3720" s="2" t="s">
        <v>41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554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552"/>
        <v>0</v>
      </c>
      <c r="AG3720" s="2">
        <v>125.51600000000001</v>
      </c>
      <c r="AH3720" s="2">
        <v>220</v>
      </c>
      <c r="AJ3720" s="2">
        <f t="shared" si="553"/>
        <v>0</v>
      </c>
      <c r="AK3720" s="2">
        <f t="shared" si="555"/>
        <v>94.483999999999995</v>
      </c>
      <c r="AL3720" s="5">
        <f t="shared" si="556"/>
        <v>0.42947272727272723</v>
      </c>
    </row>
    <row r="3721" spans="1:38" x14ac:dyDescent="0.2">
      <c r="A3721" s="2">
        <v>2026</v>
      </c>
      <c r="B3721" s="2">
        <v>4</v>
      </c>
      <c r="D3721" s="2" t="s">
        <v>1256</v>
      </c>
      <c r="P3721" s="2" t="s">
        <v>72</v>
      </c>
      <c r="Q3721" s="2" t="s">
        <v>73</v>
      </c>
      <c r="R3721" s="2" t="s">
        <v>74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554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552"/>
        <v>0</v>
      </c>
      <c r="AG3721" s="2">
        <v>125.51600000000001</v>
      </c>
      <c r="AH3721" s="2">
        <v>220</v>
      </c>
      <c r="AJ3721" s="2">
        <f t="shared" si="553"/>
        <v>0</v>
      </c>
      <c r="AK3721" s="2">
        <f t="shared" si="555"/>
        <v>94.483999999999995</v>
      </c>
      <c r="AL3721" s="5">
        <f t="shared" si="556"/>
        <v>0.42947272727272723</v>
      </c>
    </row>
    <row r="3722" spans="1:38" x14ac:dyDescent="0.2">
      <c r="A3722" s="2">
        <v>2026</v>
      </c>
      <c r="B3722" s="2">
        <v>4</v>
      </c>
      <c r="D3722" s="2" t="s">
        <v>549</v>
      </c>
      <c r="E3722" s="2" t="s">
        <v>108</v>
      </c>
      <c r="F3722" s="2" t="s">
        <v>395</v>
      </c>
      <c r="G3722" s="2">
        <v>503641790</v>
      </c>
      <c r="H3722" s="2" t="s">
        <v>40</v>
      </c>
      <c r="I3722" s="2" t="s">
        <v>550</v>
      </c>
      <c r="J3722" s="2" t="s">
        <v>551</v>
      </c>
      <c r="K3722" s="2">
        <v>917753665</v>
      </c>
      <c r="L3722" s="2" t="s">
        <v>99</v>
      </c>
      <c r="M3722" s="2" t="s">
        <v>80</v>
      </c>
      <c r="O3722" s="2" t="s">
        <v>2874</v>
      </c>
      <c r="P3722" s="2" t="s">
        <v>72</v>
      </c>
      <c r="Q3722" s="2" t="s">
        <v>73</v>
      </c>
      <c r="R3722" s="2" t="s">
        <v>74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554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552"/>
        <v>0</v>
      </c>
      <c r="AG3722" s="2">
        <v>125.51600000000001</v>
      </c>
      <c r="AH3722" s="2">
        <v>220</v>
      </c>
      <c r="AJ3722" s="2">
        <f t="shared" si="553"/>
        <v>0</v>
      </c>
      <c r="AK3722" s="2">
        <f t="shared" si="555"/>
        <v>188.96799999999999</v>
      </c>
      <c r="AL3722" s="5">
        <f t="shared" si="556"/>
        <v>0.42947272727272723</v>
      </c>
    </row>
    <row r="3723" spans="1:38" x14ac:dyDescent="0.2">
      <c r="A3723" s="2">
        <v>2026</v>
      </c>
      <c r="B3723" s="2">
        <v>4</v>
      </c>
      <c r="D3723" s="2" t="s">
        <v>894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554"/>
        <v>0.42947272727272723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552"/>
        <v>0</v>
      </c>
      <c r="AG3723" s="2">
        <v>125.51600000000001</v>
      </c>
      <c r="AH3723" s="2">
        <v>220</v>
      </c>
      <c r="AJ3723" s="2">
        <f t="shared" si="553"/>
        <v>0</v>
      </c>
      <c r="AK3723" s="2">
        <f t="shared" si="555"/>
        <v>94.483999999999995</v>
      </c>
      <c r="AL3723" s="5">
        <f t="shared" si="556"/>
        <v>0.42947272727272723</v>
      </c>
    </row>
    <row r="3724" spans="1:38" x14ac:dyDescent="0.2">
      <c r="A3724" s="2">
        <v>2026</v>
      </c>
      <c r="B3724" s="2">
        <v>4</v>
      </c>
      <c r="D3724" s="2" t="s">
        <v>1295</v>
      </c>
      <c r="E3724" s="2" t="s">
        <v>183</v>
      </c>
      <c r="F3724" s="2" t="s">
        <v>366</v>
      </c>
      <c r="G3724" s="2">
        <v>500625654</v>
      </c>
      <c r="H3724" s="2" t="s">
        <v>290</v>
      </c>
      <c r="I3724" s="2" t="s">
        <v>339</v>
      </c>
      <c r="J3724" s="2" t="s">
        <v>1296</v>
      </c>
      <c r="L3724" s="2" t="s">
        <v>339</v>
      </c>
      <c r="M3724" s="2" t="s">
        <v>80</v>
      </c>
      <c r="O3724" s="2" t="s">
        <v>2875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554"/>
        <v>0.41182755388940956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552"/>
        <v>0</v>
      </c>
      <c r="AG3724" s="2">
        <v>125.51600000000001</v>
      </c>
      <c r="AH3724" s="2">
        <v>220</v>
      </c>
      <c r="AJ3724" s="2">
        <f t="shared" si="553"/>
        <v>0</v>
      </c>
      <c r="AK3724" s="2">
        <f t="shared" si="555"/>
        <v>87.884</v>
      </c>
      <c r="AL3724" s="5">
        <f t="shared" si="556"/>
        <v>0.41182755388940956</v>
      </c>
    </row>
    <row r="3725" spans="1:38" x14ac:dyDescent="0.2">
      <c r="A3725" s="2">
        <v>2026</v>
      </c>
      <c r="B3725" s="2">
        <v>4</v>
      </c>
      <c r="D3725" s="2" t="s">
        <v>1955</v>
      </c>
      <c r="P3725" s="2" t="s">
        <v>72</v>
      </c>
      <c r="Q3725" s="2" t="s">
        <v>73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554"/>
        <v>0.42947272727272723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552"/>
        <v>0</v>
      </c>
      <c r="AG3725" s="2">
        <v>125.51600000000001</v>
      </c>
      <c r="AH3725" s="2">
        <v>220</v>
      </c>
      <c r="AJ3725" s="2">
        <f t="shared" si="553"/>
        <v>0</v>
      </c>
      <c r="AK3725" s="2">
        <f t="shared" si="555"/>
        <v>94.483999999999995</v>
      </c>
      <c r="AL3725" s="5">
        <f t="shared" si="556"/>
        <v>0.42947272727272723</v>
      </c>
    </row>
    <row r="3726" spans="1:38" x14ac:dyDescent="0.2">
      <c r="A3726" s="2">
        <v>2026</v>
      </c>
      <c r="B3726" s="2">
        <v>4</v>
      </c>
      <c r="D3726" s="2" t="s">
        <v>549</v>
      </c>
      <c r="E3726" s="2" t="s">
        <v>108</v>
      </c>
      <c r="F3726" s="2" t="s">
        <v>395</v>
      </c>
      <c r="G3726" s="2">
        <v>503641790</v>
      </c>
      <c r="H3726" s="2" t="s">
        <v>40</v>
      </c>
      <c r="I3726" s="2" t="s">
        <v>550</v>
      </c>
      <c r="J3726" s="2" t="s">
        <v>551</v>
      </c>
      <c r="K3726" s="2">
        <v>917753665</v>
      </c>
      <c r="L3726" s="2" t="s">
        <v>99</v>
      </c>
      <c r="M3726" s="2" t="s">
        <v>80</v>
      </c>
      <c r="O3726" s="2" t="s">
        <v>2876</v>
      </c>
      <c r="P3726" s="2" t="s">
        <v>72</v>
      </c>
      <c r="Q3726" s="2" t="s">
        <v>681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554"/>
        <v>0.52504545454545459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552"/>
        <v>0</v>
      </c>
      <c r="AG3726" s="2">
        <v>104.49</v>
      </c>
      <c r="AH3726" s="2">
        <v>220</v>
      </c>
      <c r="AJ3726" s="2">
        <f t="shared" si="553"/>
        <v>0</v>
      </c>
      <c r="AK3726" s="2">
        <f t="shared" si="555"/>
        <v>115.51</v>
      </c>
      <c r="AL3726" s="5">
        <f t="shared" si="556"/>
        <v>0.52504545454545459</v>
      </c>
    </row>
    <row r="3727" spans="1:38" x14ac:dyDescent="0.2">
      <c r="A3727" s="2">
        <v>2026</v>
      </c>
      <c r="B3727" s="2">
        <v>4</v>
      </c>
      <c r="D3727" s="2" t="s">
        <v>2877</v>
      </c>
      <c r="M3727" s="2" t="s">
        <v>41</v>
      </c>
      <c r="P3727" s="2" t="s">
        <v>72</v>
      </c>
      <c r="Q3727" s="2" t="s">
        <v>2878</v>
      </c>
      <c r="R3727" s="2" t="s">
        <v>74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554"/>
        <v>0.47704545454545455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552"/>
        <v>0</v>
      </c>
      <c r="AG3727" s="2">
        <v>115.05</v>
      </c>
      <c r="AJ3727" s="2">
        <f t="shared" si="553"/>
        <v>0</v>
      </c>
      <c r="AK3727" s="2">
        <f t="shared" si="555"/>
        <v>104.95</v>
      </c>
      <c r="AL3727" s="5">
        <f t="shared" si="556"/>
        <v>0.47704545454545455</v>
      </c>
    </row>
    <row r="3728" spans="1:38" x14ac:dyDescent="0.2">
      <c r="A3728" s="2">
        <v>2026</v>
      </c>
      <c r="B3728" s="2">
        <v>4</v>
      </c>
      <c r="D3728" s="2" t="s">
        <v>1419</v>
      </c>
      <c r="E3728" s="2" t="s">
        <v>108</v>
      </c>
      <c r="F3728" s="2" t="s">
        <v>39</v>
      </c>
      <c r="G3728" s="2">
        <v>513795855</v>
      </c>
      <c r="H3728" s="2" t="s">
        <v>41</v>
      </c>
      <c r="I3728" s="2" t="s">
        <v>1272</v>
      </c>
      <c r="J3728" s="2" t="s">
        <v>2394</v>
      </c>
      <c r="L3728" s="2" t="s">
        <v>177</v>
      </c>
      <c r="M3728" s="2" t="s">
        <v>41</v>
      </c>
      <c r="O3728" s="2" t="s">
        <v>2879</v>
      </c>
      <c r="P3728" s="2" t="s">
        <v>72</v>
      </c>
      <c r="Q3728" s="2" t="s">
        <v>556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554"/>
        <v>0.37426086956521742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552"/>
        <v>0</v>
      </c>
      <c r="AG3728" s="2">
        <v>143.91999999999999</v>
      </c>
      <c r="AJ3728" s="2">
        <f t="shared" si="553"/>
        <v>0</v>
      </c>
      <c r="AK3728" s="2">
        <f t="shared" si="555"/>
        <v>86.080000000000013</v>
      </c>
      <c r="AL3728" s="5">
        <f t="shared" si="556"/>
        <v>0.37426086956521742</v>
      </c>
    </row>
    <row r="3729" spans="1:38" x14ac:dyDescent="0.2">
      <c r="A3729" s="2">
        <v>2026</v>
      </c>
      <c r="B3729" s="2">
        <v>4</v>
      </c>
      <c r="D3729" s="2" t="s">
        <v>2880</v>
      </c>
      <c r="P3729" s="2" t="s">
        <v>72</v>
      </c>
      <c r="Q3729" s="2" t="s">
        <v>380</v>
      </c>
      <c r="R3729" s="2" t="s">
        <v>381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554"/>
        <v>0.39365217391304347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552"/>
        <v>0</v>
      </c>
      <c r="AJ3729" s="2">
        <f t="shared" si="553"/>
        <v>0</v>
      </c>
      <c r="AK3729" s="2">
        <f t="shared" si="555"/>
        <v>90.539999999999992</v>
      </c>
      <c r="AL3729" s="5">
        <f t="shared" si="556"/>
        <v>0.39365217391304347</v>
      </c>
    </row>
    <row r="3730" spans="1:38" x14ac:dyDescent="0.2">
      <c r="A3730" s="2">
        <v>2026</v>
      </c>
      <c r="B3730" s="2">
        <v>4</v>
      </c>
      <c r="C3730" s="2" t="s">
        <v>3468</v>
      </c>
      <c r="D3730" s="2" t="s">
        <v>198</v>
      </c>
      <c r="E3730" s="2" t="s">
        <v>108</v>
      </c>
      <c r="F3730" s="2" t="s">
        <v>39</v>
      </c>
      <c r="G3730" s="2">
        <v>507541120</v>
      </c>
      <c r="H3730" s="2" t="s">
        <v>40</v>
      </c>
      <c r="I3730" s="2" t="s">
        <v>199</v>
      </c>
      <c r="J3730" s="2" t="s">
        <v>200</v>
      </c>
      <c r="L3730" s="2" t="s">
        <v>201</v>
      </c>
      <c r="M3730" s="2" t="s">
        <v>41</v>
      </c>
      <c r="P3730" s="2" t="s">
        <v>72</v>
      </c>
      <c r="Q3730" s="2" t="s">
        <v>1022</v>
      </c>
      <c r="R3730" s="2" t="s">
        <v>74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554"/>
        <v>0.41681818181818175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552"/>
        <v>0</v>
      </c>
      <c r="AJ3730" s="2">
        <f t="shared" si="553"/>
        <v>0</v>
      </c>
      <c r="AK3730" s="2">
        <f t="shared" si="555"/>
        <v>91.699999999999989</v>
      </c>
      <c r="AL3730" s="5">
        <f t="shared" si="556"/>
        <v>0.41681818181818175</v>
      </c>
    </row>
    <row r="3731" spans="1:38" x14ac:dyDescent="0.2">
      <c r="A3731" s="2">
        <v>2026</v>
      </c>
      <c r="B3731" s="2">
        <v>4</v>
      </c>
      <c r="D3731" s="2" t="s">
        <v>1295</v>
      </c>
      <c r="E3731" s="2" t="s">
        <v>183</v>
      </c>
      <c r="F3731" s="2" t="s">
        <v>366</v>
      </c>
      <c r="G3731" s="2">
        <v>500625654</v>
      </c>
      <c r="H3731" s="2" t="s">
        <v>290</v>
      </c>
      <c r="I3731" s="2" t="s">
        <v>339</v>
      </c>
      <c r="J3731" s="2" t="s">
        <v>1296</v>
      </c>
      <c r="L3731" s="2" t="s">
        <v>339</v>
      </c>
      <c r="M3731" s="2" t="s">
        <v>80</v>
      </c>
      <c r="O3731" s="2" t="s">
        <v>2881</v>
      </c>
      <c r="P3731" s="2" t="s">
        <v>72</v>
      </c>
      <c r="Q3731" s="2" t="s">
        <v>664</v>
      </c>
      <c r="R3731" s="2" t="s">
        <v>79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554"/>
        <v>0.38559155621011287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552"/>
        <v>0</v>
      </c>
      <c r="AG3731" s="2">
        <v>105.59</v>
      </c>
      <c r="AJ3731" s="2">
        <f t="shared" si="553"/>
        <v>0</v>
      </c>
      <c r="AK3731" s="2">
        <f t="shared" si="555"/>
        <v>78.544999999999987</v>
      </c>
      <c r="AL3731" s="5">
        <f t="shared" si="556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80</v>
      </c>
      <c r="O3732" s="2" t="s">
        <v>2882</v>
      </c>
      <c r="P3732" s="2" t="s">
        <v>72</v>
      </c>
      <c r="Q3732" s="2" t="s">
        <v>306</v>
      </c>
      <c r="R3732" s="2" t="s">
        <v>307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554"/>
        <v>0.4575909090909091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552"/>
        <v>0</v>
      </c>
      <c r="AG3732" s="2">
        <v>119.33</v>
      </c>
      <c r="AH3732" s="2">
        <v>220</v>
      </c>
      <c r="AJ3732" s="2">
        <f t="shared" si="553"/>
        <v>0</v>
      </c>
      <c r="AK3732" s="2">
        <f t="shared" si="555"/>
        <v>100.67</v>
      </c>
      <c r="AL3732" s="5">
        <f t="shared" si="556"/>
        <v>0.4575909090909091</v>
      </c>
    </row>
    <row r="3733" spans="1:38" x14ac:dyDescent="0.2">
      <c r="A3733" s="2">
        <v>2026</v>
      </c>
      <c r="B3733" s="2">
        <v>4</v>
      </c>
      <c r="D3733" s="2" t="s">
        <v>936</v>
      </c>
      <c r="E3733" s="2" t="s">
        <v>38</v>
      </c>
      <c r="F3733" s="2" t="s">
        <v>39</v>
      </c>
      <c r="G3733" s="2">
        <v>508868726</v>
      </c>
      <c r="H3733" s="2" t="s">
        <v>290</v>
      </c>
      <c r="I3733" s="2" t="s">
        <v>937</v>
      </c>
      <c r="J3733" s="2" t="s">
        <v>938</v>
      </c>
      <c r="K3733" s="2">
        <v>964771057</v>
      </c>
      <c r="L3733" s="2" t="s">
        <v>339</v>
      </c>
      <c r="M3733" s="2" t="s">
        <v>80</v>
      </c>
      <c r="O3733" s="2" t="s">
        <v>2883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554"/>
        <v>0.48486363636363639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552"/>
        <v>0</v>
      </c>
      <c r="AG3733" s="2">
        <v>113.33</v>
      </c>
      <c r="AH3733" s="2">
        <v>220</v>
      </c>
      <c r="AJ3733" s="2">
        <f t="shared" si="553"/>
        <v>0</v>
      </c>
      <c r="AK3733" s="2">
        <f t="shared" si="555"/>
        <v>106.67</v>
      </c>
      <c r="AL3733" s="5">
        <f t="shared" si="556"/>
        <v>0.48486363636363639</v>
      </c>
    </row>
    <row r="3734" spans="1:38" x14ac:dyDescent="0.2">
      <c r="A3734" s="2">
        <v>2026</v>
      </c>
      <c r="B3734" s="2">
        <v>4</v>
      </c>
      <c r="D3734" s="2" t="s">
        <v>436</v>
      </c>
      <c r="E3734" s="2" t="s">
        <v>108</v>
      </c>
      <c r="F3734" s="2" t="s">
        <v>376</v>
      </c>
      <c r="G3734" s="2">
        <v>509350631</v>
      </c>
      <c r="H3734" s="2" t="s">
        <v>290</v>
      </c>
      <c r="I3734" s="2" t="s">
        <v>437</v>
      </c>
      <c r="J3734" s="2" t="s">
        <v>438</v>
      </c>
      <c r="L3734" s="2" t="s">
        <v>339</v>
      </c>
      <c r="M3734" s="2" t="s">
        <v>80</v>
      </c>
      <c r="P3734" s="2" t="s">
        <v>72</v>
      </c>
      <c r="Q3734" s="2" t="s">
        <v>1035</v>
      </c>
      <c r="R3734" s="2" t="s">
        <v>79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554"/>
        <v>0.44006916996047435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552"/>
        <v>0</v>
      </c>
      <c r="AG3734" s="2">
        <v>113.33</v>
      </c>
      <c r="AH3734" s="2">
        <v>220</v>
      </c>
      <c r="AJ3734" s="2">
        <f t="shared" si="553"/>
        <v>0</v>
      </c>
      <c r="AK3734" s="2">
        <f t="shared" si="555"/>
        <v>89.070000000000007</v>
      </c>
      <c r="AL3734" s="5">
        <f t="shared" si="556"/>
        <v>0.44006916996047435</v>
      </c>
    </row>
    <row r="3735" spans="1:38" x14ac:dyDescent="0.2">
      <c r="A3735" s="2">
        <v>2026</v>
      </c>
      <c r="B3735" s="2">
        <v>4</v>
      </c>
      <c r="D3735" s="2" t="s">
        <v>542</v>
      </c>
      <c r="E3735" s="2" t="s">
        <v>108</v>
      </c>
      <c r="F3735" s="2" t="s">
        <v>39</v>
      </c>
      <c r="G3735" s="2">
        <v>506411206</v>
      </c>
      <c r="H3735" s="2" t="s">
        <v>41</v>
      </c>
      <c r="I3735" s="2" t="s">
        <v>543</v>
      </c>
      <c r="J3735" s="2" t="s">
        <v>544</v>
      </c>
      <c r="L3735" s="2" t="s">
        <v>201</v>
      </c>
      <c r="M3735" s="2" t="s">
        <v>41</v>
      </c>
      <c r="O3735" s="2" t="s">
        <v>2884</v>
      </c>
      <c r="P3735" s="2" t="s">
        <v>72</v>
      </c>
      <c r="Q3735" s="2" t="s">
        <v>78</v>
      </c>
      <c r="R3735" s="2" t="s">
        <v>79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554"/>
        <v>0.49099999999999999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552"/>
        <v>0</v>
      </c>
      <c r="AG3735" s="2">
        <v>111.98</v>
      </c>
      <c r="AH3735" s="2">
        <v>210</v>
      </c>
      <c r="AJ3735" s="2">
        <f t="shared" si="553"/>
        <v>0</v>
      </c>
      <c r="AK3735" s="2">
        <f t="shared" si="555"/>
        <v>108.02</v>
      </c>
      <c r="AL3735" s="5">
        <f t="shared" si="556"/>
        <v>0.49099999999999999</v>
      </c>
    </row>
    <row r="3736" spans="1:38" x14ac:dyDescent="0.2">
      <c r="A3736" s="2">
        <v>2026</v>
      </c>
      <c r="B3736" s="2">
        <v>4</v>
      </c>
      <c r="D3736" s="2" t="s">
        <v>2559</v>
      </c>
      <c r="M3736" s="2" t="s">
        <v>80</v>
      </c>
      <c r="P3736" s="2" t="s">
        <v>72</v>
      </c>
      <c r="Q3736" s="2" t="s">
        <v>196</v>
      </c>
      <c r="R3736" s="2" t="s">
        <v>197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554"/>
        <v>0.37336666666666662</v>
      </c>
      <c r="Z3736" s="2" t="s">
        <v>3226</v>
      </c>
      <c r="AA3736" s="2" t="s">
        <v>75</v>
      </c>
      <c r="AB3736" s="2" t="s">
        <v>76</v>
      </c>
      <c r="AC3736" s="2" t="s">
        <v>77</v>
      </c>
      <c r="AF3736" s="2">
        <f t="shared" si="552"/>
        <v>0</v>
      </c>
      <c r="AG3736" s="2">
        <v>187.99</v>
      </c>
      <c r="AJ3736" s="2">
        <f t="shared" si="553"/>
        <v>0</v>
      </c>
      <c r="AK3736" s="2">
        <f t="shared" si="555"/>
        <v>112.00999999999999</v>
      </c>
      <c r="AL3736" s="5">
        <f t="shared" si="556"/>
        <v>0.37336666666666662</v>
      </c>
    </row>
    <row r="3737" spans="1:38" x14ac:dyDescent="0.2">
      <c r="A3737" s="2">
        <v>2026</v>
      </c>
      <c r="B3737" s="2">
        <v>4</v>
      </c>
      <c r="D3737" s="2" t="s">
        <v>319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99</v>
      </c>
      <c r="J3737" s="2" t="s">
        <v>320</v>
      </c>
      <c r="L3737" s="2" t="s">
        <v>99</v>
      </c>
      <c r="M3737" s="2" t="s">
        <v>80</v>
      </c>
      <c r="O3737" s="2" t="s">
        <v>2885</v>
      </c>
      <c r="P3737" s="2" t="s">
        <v>1038</v>
      </c>
      <c r="Q3737" s="2" t="s">
        <v>2886</v>
      </c>
      <c r="R3737" s="2" t="s">
        <v>2887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554"/>
        <v>0.49359999999999998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552"/>
        <v>0</v>
      </c>
      <c r="AJ3737" s="2">
        <f t="shared" si="553"/>
        <v>0</v>
      </c>
      <c r="AK3737" s="2">
        <f t="shared" si="555"/>
        <v>172.76</v>
      </c>
      <c r="AL3737" s="5">
        <f t="shared" si="556"/>
        <v>0.49359999999999998</v>
      </c>
    </row>
    <row r="3738" spans="1:38" x14ac:dyDescent="0.2">
      <c r="A3738" s="2">
        <v>2026</v>
      </c>
      <c r="B3738" s="2">
        <v>4</v>
      </c>
      <c r="D3738" s="2" t="s">
        <v>1295</v>
      </c>
      <c r="E3738" s="2" t="s">
        <v>183</v>
      </c>
      <c r="F3738" s="2" t="s">
        <v>366</v>
      </c>
      <c r="G3738" s="2">
        <v>500625654</v>
      </c>
      <c r="H3738" s="2" t="s">
        <v>290</v>
      </c>
      <c r="I3738" s="2" t="s">
        <v>339</v>
      </c>
      <c r="J3738" s="2" t="s">
        <v>1296</v>
      </c>
      <c r="L3738" s="2" t="s">
        <v>339</v>
      </c>
      <c r="M3738" s="2" t="s">
        <v>80</v>
      </c>
      <c r="O3738" s="2" t="s">
        <v>2888</v>
      </c>
      <c r="P3738" s="2" t="s">
        <v>1038</v>
      </c>
      <c r="Q3738" s="2" t="s">
        <v>2889</v>
      </c>
      <c r="R3738" s="2" t="s">
        <v>2890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554"/>
        <v>0.33851921274601693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552"/>
        <v>0</v>
      </c>
      <c r="AG3738" s="2">
        <v>141.16</v>
      </c>
      <c r="AJ3738" s="2">
        <f t="shared" si="553"/>
        <v>0</v>
      </c>
      <c r="AK3738" s="2">
        <f t="shared" si="555"/>
        <v>72.240000000000009</v>
      </c>
      <c r="AL3738" s="5">
        <f t="shared" si="556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3156</v>
      </c>
      <c r="L3739" s="2" t="s">
        <v>112</v>
      </c>
      <c r="M3739" s="2" t="s">
        <v>80</v>
      </c>
      <c r="O3739" s="2" t="s">
        <v>3158</v>
      </c>
      <c r="P3739" s="2" t="s">
        <v>1038</v>
      </c>
      <c r="Q3739" s="2" t="s">
        <v>2891</v>
      </c>
      <c r="R3739" s="2" t="s">
        <v>2892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554"/>
        <v>0.45652173913043476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552"/>
        <v>0</v>
      </c>
      <c r="AG3739" s="2">
        <v>115</v>
      </c>
      <c r="AJ3739" s="2">
        <f t="shared" si="553"/>
        <v>0</v>
      </c>
      <c r="AK3739" s="2">
        <f t="shared" si="555"/>
        <v>483</v>
      </c>
      <c r="AL3739" s="5">
        <f t="shared" si="556"/>
        <v>0.45652173913043476</v>
      </c>
    </row>
    <row r="3740" spans="1:38" x14ac:dyDescent="0.2">
      <c r="A3740" s="2">
        <v>2026</v>
      </c>
      <c r="B3740" s="2">
        <v>4</v>
      </c>
      <c r="D3740" s="2" t="s">
        <v>2526</v>
      </c>
      <c r="G3740" s="2">
        <v>503687014</v>
      </c>
      <c r="L3740" s="2" t="s">
        <v>133</v>
      </c>
      <c r="M3740" s="2" t="s">
        <v>109</v>
      </c>
      <c r="O3740" s="2" t="s">
        <v>3157</v>
      </c>
      <c r="P3740" s="2" t="s">
        <v>1038</v>
      </c>
      <c r="Q3740" s="2" t="s">
        <v>2891</v>
      </c>
      <c r="R3740" s="2" t="s">
        <v>2892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554"/>
        <v>0.47727272727272729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552"/>
        <v>0</v>
      </c>
      <c r="AG3740" s="2">
        <v>115</v>
      </c>
      <c r="AJ3740" s="2">
        <f t="shared" si="553"/>
        <v>0</v>
      </c>
      <c r="AK3740" s="2">
        <f t="shared" si="555"/>
        <v>105</v>
      </c>
      <c r="AL3740" s="5">
        <f t="shared" si="556"/>
        <v>0.47727272727272729</v>
      </c>
    </row>
    <row r="3741" spans="1:38" x14ac:dyDescent="0.2">
      <c r="A3741" s="2">
        <v>2026</v>
      </c>
      <c r="B3741" s="2">
        <v>4</v>
      </c>
      <c r="D3741" s="2" t="s">
        <v>2559</v>
      </c>
      <c r="M3741" s="2" t="s">
        <v>80</v>
      </c>
      <c r="O3741" s="2" t="s">
        <v>3162</v>
      </c>
      <c r="P3741" s="2" t="s">
        <v>1038</v>
      </c>
      <c r="Q3741" s="2" t="s">
        <v>2893</v>
      </c>
      <c r="R3741" s="2" t="s">
        <v>2894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554"/>
        <v>0.45994871794871794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552"/>
        <v>0</v>
      </c>
      <c r="AJ3741" s="2">
        <f t="shared" si="553"/>
        <v>0</v>
      </c>
      <c r="AK3741" s="2">
        <f t="shared" si="555"/>
        <v>179.38</v>
      </c>
      <c r="AL3741" s="5">
        <f t="shared" si="556"/>
        <v>0.45994871794871794</v>
      </c>
    </row>
    <row r="3742" spans="1:38" x14ac:dyDescent="0.2">
      <c r="A3742" s="2">
        <v>2026</v>
      </c>
      <c r="B3742" s="2">
        <v>4</v>
      </c>
      <c r="D3742" s="2" t="s">
        <v>769</v>
      </c>
      <c r="E3742" s="2" t="s">
        <v>108</v>
      </c>
      <c r="F3742" s="2" t="s">
        <v>376</v>
      </c>
      <c r="G3742" s="2">
        <v>505926768</v>
      </c>
      <c r="H3742" s="2" t="s">
        <v>290</v>
      </c>
      <c r="I3742" s="2" t="s">
        <v>770</v>
      </c>
      <c r="J3742" s="2" t="s">
        <v>771</v>
      </c>
      <c r="L3742" s="2" t="s">
        <v>339</v>
      </c>
      <c r="M3742" s="2" t="s">
        <v>80</v>
      </c>
      <c r="O3742" s="2" t="s">
        <v>2895</v>
      </c>
      <c r="P3742" s="2" t="s">
        <v>1038</v>
      </c>
      <c r="Q3742" s="2" t="s">
        <v>2739</v>
      </c>
      <c r="R3742" s="2" t="s">
        <v>2740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554"/>
        <v>0.44215657741559949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552"/>
        <v>0</v>
      </c>
      <c r="AG3742" s="2">
        <v>153.34</v>
      </c>
      <c r="AJ3742" s="2">
        <f t="shared" si="553"/>
        <v>0</v>
      </c>
      <c r="AK3742" s="2">
        <f t="shared" si="555"/>
        <v>121.53999999999999</v>
      </c>
      <c r="AL3742" s="5">
        <f t="shared" si="556"/>
        <v>0.44215657741559949</v>
      </c>
    </row>
    <row r="3743" spans="1:38" x14ac:dyDescent="0.2">
      <c r="A3743" s="2">
        <v>2026</v>
      </c>
      <c r="B3743" s="2">
        <v>4</v>
      </c>
      <c r="D3743" s="2" t="s">
        <v>1553</v>
      </c>
      <c r="E3743" s="2" t="s">
        <v>108</v>
      </c>
      <c r="F3743" s="2" t="s">
        <v>717</v>
      </c>
      <c r="G3743" s="2">
        <v>500975914</v>
      </c>
      <c r="H3743" s="2" t="s">
        <v>41</v>
      </c>
      <c r="I3743" s="2" t="s">
        <v>1554</v>
      </c>
      <c r="J3743" s="2" t="s">
        <v>1555</v>
      </c>
      <c r="L3743" s="2" t="s">
        <v>177</v>
      </c>
      <c r="M3743" s="2" t="s">
        <v>41</v>
      </c>
      <c r="P3743" s="2" t="s">
        <v>1038</v>
      </c>
      <c r="Q3743" s="2" t="s">
        <v>2739</v>
      </c>
      <c r="R3743" s="2" t="s">
        <v>2740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3226</v>
      </c>
      <c r="AA3743" s="2" t="s">
        <v>75</v>
      </c>
      <c r="AB3743" s="2" t="s">
        <v>76</v>
      </c>
      <c r="AC3743" s="2" t="s">
        <v>1038</v>
      </c>
      <c r="AF3743" s="2">
        <f t="shared" si="552"/>
        <v>0</v>
      </c>
      <c r="AJ3743" s="2">
        <f t="shared" si="553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84</v>
      </c>
      <c r="Q3744" s="2" t="s">
        <v>1971</v>
      </c>
      <c r="R3744" s="2" t="s">
        <v>1972</v>
      </c>
      <c r="S3744" s="2">
        <v>1</v>
      </c>
      <c r="T3744" s="2">
        <v>14</v>
      </c>
      <c r="U3744" s="2">
        <v>3.22</v>
      </c>
      <c r="V3744" s="2">
        <v>17.22</v>
      </c>
      <c r="W3744" s="2">
        <f>6.895*S3744</f>
        <v>6.8949999999999996</v>
      </c>
      <c r="X3744" s="5">
        <f t="shared" ref="X3744:X3766" si="557">(T3744-W3744)/T3744</f>
        <v>0.50750000000000006</v>
      </c>
      <c r="Z3744" s="2" t="s">
        <v>3226</v>
      </c>
      <c r="AA3744" s="2" t="s">
        <v>87</v>
      </c>
      <c r="AB3744" s="2" t="s">
        <v>90</v>
      </c>
      <c r="AC3744" s="2" t="s">
        <v>84</v>
      </c>
      <c r="AF3744" s="2">
        <f t="shared" si="552"/>
        <v>0</v>
      </c>
      <c r="AJ3744" s="2">
        <f t="shared" si="553"/>
        <v>0</v>
      </c>
      <c r="AK3744" s="2">
        <f t="shared" ref="AK3744:AK3775" si="558">T3744-W3744</f>
        <v>7.1050000000000004</v>
      </c>
      <c r="AL3744" s="5">
        <f t="shared" ref="AL3744:AL3766" si="559">(T3744-W3744)/T3744</f>
        <v>0.50750000000000006</v>
      </c>
    </row>
    <row r="3745" spans="1:38" x14ac:dyDescent="0.2">
      <c r="A3745" s="2">
        <v>2026</v>
      </c>
      <c r="B3745" s="2">
        <v>3</v>
      </c>
      <c r="D3745" s="2" t="s">
        <v>2852</v>
      </c>
      <c r="M3745" s="2" t="s">
        <v>80</v>
      </c>
      <c r="P3745" s="2" t="s">
        <v>43</v>
      </c>
      <c r="Q3745" s="2" t="s">
        <v>54</v>
      </c>
      <c r="R3745" s="2" t="s">
        <v>55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557"/>
        <v>0.41111111111111115</v>
      </c>
      <c r="Z3745" s="2" t="s">
        <v>3226</v>
      </c>
      <c r="AA3745" s="2" t="s">
        <v>46</v>
      </c>
      <c r="AB3745" s="2" t="s">
        <v>56</v>
      </c>
      <c r="AC3745" s="2" t="s">
        <v>57</v>
      </c>
      <c r="AF3745" s="2">
        <f t="shared" si="552"/>
        <v>0</v>
      </c>
      <c r="AG3745" s="2">
        <v>10.6</v>
      </c>
      <c r="AH3745" s="2">
        <v>18</v>
      </c>
      <c r="AJ3745" s="2">
        <f t="shared" si="553"/>
        <v>0</v>
      </c>
      <c r="AK3745" s="2">
        <f t="shared" si="558"/>
        <v>7.4</v>
      </c>
      <c r="AL3745" s="5">
        <f t="shared" si="559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557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552"/>
        <v>0</v>
      </c>
      <c r="AJ3746" s="2">
        <f t="shared" si="553"/>
        <v>0</v>
      </c>
      <c r="AK3746" s="2">
        <f t="shared" si="558"/>
        <v>5.14</v>
      </c>
      <c r="AL3746" s="5">
        <f t="shared" si="559"/>
        <v>0.42833333333333329</v>
      </c>
    </row>
    <row r="3747" spans="1:38" x14ac:dyDescent="0.2">
      <c r="A3747" s="2">
        <v>2026</v>
      </c>
      <c r="B3747" s="2">
        <v>4</v>
      </c>
      <c r="D3747" s="2" t="s">
        <v>980</v>
      </c>
      <c r="M3747" s="2" t="s">
        <v>41</v>
      </c>
      <c r="P3747" s="2" t="s">
        <v>84</v>
      </c>
      <c r="Q3747" s="2" t="s">
        <v>270</v>
      </c>
      <c r="R3747" s="2" t="s">
        <v>271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557"/>
        <v>0.42833333333333329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552"/>
        <v>0</v>
      </c>
      <c r="AJ3747" s="2">
        <f t="shared" si="553"/>
        <v>0</v>
      </c>
      <c r="AK3747" s="2">
        <f t="shared" si="558"/>
        <v>5.14</v>
      </c>
      <c r="AL3747" s="5">
        <f t="shared" si="559"/>
        <v>0.42833333333333329</v>
      </c>
    </row>
    <row r="3748" spans="1:38" x14ac:dyDescent="0.2">
      <c r="A3748" s="2">
        <v>2026</v>
      </c>
      <c r="B3748" s="2">
        <v>4</v>
      </c>
      <c r="D3748" s="2" t="s">
        <v>1015</v>
      </c>
      <c r="E3748" s="2" t="s">
        <v>108</v>
      </c>
      <c r="F3748" s="2" t="s">
        <v>477</v>
      </c>
      <c r="G3748" s="2">
        <v>503815284</v>
      </c>
      <c r="H3748" s="2" t="s">
        <v>40</v>
      </c>
      <c r="I3748" s="2" t="s">
        <v>156</v>
      </c>
      <c r="J3748" s="2" t="s">
        <v>2538</v>
      </c>
      <c r="L3748" s="2" t="s">
        <v>99</v>
      </c>
      <c r="M3748" s="2" t="s">
        <v>80</v>
      </c>
      <c r="O3748" s="2" t="s">
        <v>2845</v>
      </c>
      <c r="P3748" s="2" t="s">
        <v>84</v>
      </c>
      <c r="Q3748" s="2" t="s">
        <v>274</v>
      </c>
      <c r="R3748" s="2" t="s">
        <v>275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557"/>
        <v>0.51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552"/>
        <v>0</v>
      </c>
      <c r="AG3748" s="2">
        <v>2.94</v>
      </c>
      <c r="AJ3748" s="2">
        <f t="shared" si="553"/>
        <v>0</v>
      </c>
      <c r="AK3748" s="2">
        <f t="shared" si="558"/>
        <v>6.12</v>
      </c>
      <c r="AL3748" s="5">
        <f t="shared" si="559"/>
        <v>0.51</v>
      </c>
    </row>
    <row r="3749" spans="1:38" x14ac:dyDescent="0.2">
      <c r="A3749" s="2">
        <v>2026</v>
      </c>
      <c r="B3749" s="2">
        <v>4</v>
      </c>
      <c r="D3749" s="2" t="s">
        <v>2846</v>
      </c>
      <c r="L3749" s="2" t="s">
        <v>99</v>
      </c>
      <c r="M3749" s="2" t="s">
        <v>80</v>
      </c>
      <c r="P3749" s="2" t="s">
        <v>84</v>
      </c>
      <c r="Q3749" s="2" t="s">
        <v>274</v>
      </c>
      <c r="R3749" s="2" t="s">
        <v>275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557"/>
        <v>0.76666666666666672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552"/>
        <v>0</v>
      </c>
      <c r="AJ3749" s="2">
        <f t="shared" si="553"/>
        <v>0</v>
      </c>
      <c r="AK3749" s="2">
        <f t="shared" si="558"/>
        <v>9.66</v>
      </c>
      <c r="AL3749" s="5">
        <f t="shared" si="559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84</v>
      </c>
      <c r="Q3750" s="2" t="s">
        <v>91</v>
      </c>
      <c r="R3750" s="2" t="s">
        <v>92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W3750" s="2">
        <f>2.475*S3750</f>
        <v>4.95</v>
      </c>
      <c r="X3750" s="5">
        <f t="shared" si="557"/>
        <v>0.4107142857142857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552"/>
        <v>0</v>
      </c>
      <c r="AJ3750" s="2">
        <f t="shared" si="553"/>
        <v>0</v>
      </c>
      <c r="AK3750" s="2">
        <f t="shared" si="558"/>
        <v>3.45</v>
      </c>
      <c r="AL3750" s="5">
        <f t="shared" si="559"/>
        <v>0.4107142857142857</v>
      </c>
    </row>
    <row r="3751" spans="1:38" x14ac:dyDescent="0.2">
      <c r="A3751" s="2">
        <v>2026</v>
      </c>
      <c r="B3751" s="2">
        <v>4</v>
      </c>
      <c r="D3751" s="2" t="s">
        <v>1015</v>
      </c>
      <c r="E3751" s="2" t="s">
        <v>108</v>
      </c>
      <c r="F3751" s="2" t="s">
        <v>477</v>
      </c>
      <c r="G3751" s="2">
        <v>503815284</v>
      </c>
      <c r="H3751" s="2" t="s">
        <v>40</v>
      </c>
      <c r="I3751" s="2" t="s">
        <v>156</v>
      </c>
      <c r="J3751" s="2" t="s">
        <v>2538</v>
      </c>
      <c r="L3751" s="2" t="s">
        <v>99</v>
      </c>
      <c r="M3751" s="2" t="s">
        <v>80</v>
      </c>
      <c r="O3751" s="2" t="s">
        <v>2845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557"/>
        <v>0.65206944444444448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552"/>
        <v>0</v>
      </c>
      <c r="AG3751" s="2">
        <v>2.5051000000000001</v>
      </c>
      <c r="AJ3751" s="2">
        <f t="shared" si="553"/>
        <v>0</v>
      </c>
      <c r="AK3751" s="2">
        <f t="shared" si="558"/>
        <v>4.6949000000000005</v>
      </c>
      <c r="AL3751" s="5">
        <f t="shared" si="559"/>
        <v>0.65206944444444448</v>
      </c>
    </row>
    <row r="3752" spans="1:38" x14ac:dyDescent="0.2">
      <c r="A3752" s="2">
        <v>2026</v>
      </c>
      <c r="B3752" s="2">
        <v>4</v>
      </c>
      <c r="D3752" s="2" t="s">
        <v>2846</v>
      </c>
      <c r="M3752" s="2" t="s">
        <v>80</v>
      </c>
      <c r="P3752" s="2" t="s">
        <v>84</v>
      </c>
      <c r="Q3752" s="2" t="s">
        <v>276</v>
      </c>
      <c r="R3752" s="2" t="s">
        <v>277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W3752" s="2">
        <v>2.5051000000000001</v>
      </c>
      <c r="X3752" s="5">
        <f t="shared" si="557"/>
        <v>0.80118253968253961</v>
      </c>
      <c r="Z3752" s="2" t="s">
        <v>3226</v>
      </c>
      <c r="AA3752" s="2" t="s">
        <v>87</v>
      </c>
      <c r="AB3752" s="2" t="s">
        <v>90</v>
      </c>
      <c r="AC3752" s="2" t="s">
        <v>84</v>
      </c>
      <c r="AF3752" s="2">
        <f t="shared" si="552"/>
        <v>0</v>
      </c>
      <c r="AJ3752" s="2">
        <f t="shared" si="553"/>
        <v>0</v>
      </c>
      <c r="AK3752" s="2">
        <f t="shared" si="558"/>
        <v>10.094899999999999</v>
      </c>
      <c r="AL3752" s="5">
        <f t="shared" si="559"/>
        <v>0.80118253968253961</v>
      </c>
    </row>
    <row r="3753" spans="1:38" x14ac:dyDescent="0.2">
      <c r="A3753" s="2">
        <v>2026</v>
      </c>
      <c r="B3753" s="2">
        <v>4</v>
      </c>
      <c r="D3753" s="2" t="s">
        <v>563</v>
      </c>
      <c r="E3753" s="2" t="s">
        <v>108</v>
      </c>
      <c r="F3753" s="2" t="s">
        <v>39</v>
      </c>
      <c r="G3753" s="2">
        <v>510917011</v>
      </c>
      <c r="H3753" s="2" t="s">
        <v>41</v>
      </c>
      <c r="I3753" s="2" t="s">
        <v>564</v>
      </c>
      <c r="J3753" s="2" t="s">
        <v>565</v>
      </c>
      <c r="L3753" s="2" t="s">
        <v>418</v>
      </c>
      <c r="M3753" s="2" t="s">
        <v>41</v>
      </c>
      <c r="O3753" s="2" t="s">
        <v>2896</v>
      </c>
      <c r="P3753" s="2" t="s">
        <v>2897</v>
      </c>
      <c r="Q3753" s="2" t="s">
        <v>2898</v>
      </c>
      <c r="R3753" s="2" t="s">
        <v>2899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557"/>
        <v>0.25</v>
      </c>
      <c r="Z3753" s="2" t="s">
        <v>3226</v>
      </c>
      <c r="AA3753" s="2" t="s">
        <v>71</v>
      </c>
      <c r="AB3753" s="2" t="s">
        <v>2897</v>
      </c>
      <c r="AC3753" s="2" t="s">
        <v>2897</v>
      </c>
      <c r="AF3753" s="2">
        <f t="shared" si="552"/>
        <v>0</v>
      </c>
      <c r="AG3753" s="2">
        <v>149.25</v>
      </c>
      <c r="AJ3753" s="2">
        <f t="shared" si="553"/>
        <v>0</v>
      </c>
      <c r="AK3753" s="2">
        <f t="shared" si="558"/>
        <v>49.75</v>
      </c>
      <c r="AL3753" s="5">
        <f t="shared" si="559"/>
        <v>0.25</v>
      </c>
    </row>
    <row r="3754" spans="1:38" x14ac:dyDescent="0.2">
      <c r="A3754" s="2">
        <v>2026</v>
      </c>
      <c r="B3754" s="2">
        <v>4</v>
      </c>
      <c r="D3754" s="2" t="s">
        <v>2900</v>
      </c>
      <c r="E3754" s="2" t="s">
        <v>38</v>
      </c>
      <c r="F3754" s="2" t="s">
        <v>39</v>
      </c>
      <c r="L3754" s="2" t="s">
        <v>201</v>
      </c>
      <c r="M3754" s="2" t="s">
        <v>40</v>
      </c>
      <c r="P3754" s="2" t="s">
        <v>40</v>
      </c>
      <c r="Q3754" s="2" t="s">
        <v>2901</v>
      </c>
      <c r="R3754" s="2" t="s">
        <v>2902</v>
      </c>
      <c r="S3754" s="2">
        <v>1</v>
      </c>
      <c r="T3754" s="2">
        <v>1219.51</v>
      </c>
      <c r="U3754" s="2">
        <v>280.4873</v>
      </c>
      <c r="V3754" s="2">
        <v>1499.9973</v>
      </c>
      <c r="W3754" s="2">
        <f>T3754*75%</f>
        <v>914.63249999999994</v>
      </c>
      <c r="X3754" s="5">
        <f t="shared" si="557"/>
        <v>0.25000000000000006</v>
      </c>
      <c r="Z3754" s="2" t="s">
        <v>104</v>
      </c>
      <c r="AA3754" s="2" t="s">
        <v>414</v>
      </c>
      <c r="AB3754" s="2" t="s">
        <v>475</v>
      </c>
      <c r="AC3754" s="2" t="s">
        <v>114</v>
      </c>
      <c r="AF3754" s="2">
        <f t="shared" si="552"/>
        <v>0</v>
      </c>
      <c r="AJ3754" s="2">
        <f t="shared" si="553"/>
        <v>0</v>
      </c>
      <c r="AK3754" s="2">
        <f t="shared" si="558"/>
        <v>304.87750000000005</v>
      </c>
      <c r="AL3754" s="5">
        <f t="shared" si="559"/>
        <v>0.25000000000000006</v>
      </c>
    </row>
    <row r="3755" spans="1:38" x14ac:dyDescent="0.2">
      <c r="A3755" s="2">
        <v>2026</v>
      </c>
      <c r="B3755" s="2">
        <v>4</v>
      </c>
      <c r="D3755" s="2" t="s">
        <v>549</v>
      </c>
      <c r="E3755" s="2" t="s">
        <v>108</v>
      </c>
      <c r="F3755" s="2" t="s">
        <v>395</v>
      </c>
      <c r="G3755" s="2">
        <v>503641790</v>
      </c>
      <c r="H3755" s="2" t="s">
        <v>40</v>
      </c>
      <c r="I3755" s="2" t="s">
        <v>550</v>
      </c>
      <c r="J3755" s="2" t="s">
        <v>551</v>
      </c>
      <c r="K3755" s="2">
        <v>917753665</v>
      </c>
      <c r="L3755" s="2" t="s">
        <v>99</v>
      </c>
      <c r="M3755" s="2" t="s">
        <v>40</v>
      </c>
      <c r="O3755" s="2" t="s">
        <v>2903</v>
      </c>
      <c r="P3755" s="2" t="s">
        <v>187</v>
      </c>
      <c r="Q3755" s="2" t="s">
        <v>317</v>
      </c>
      <c r="R3755" s="2" t="s">
        <v>318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557"/>
        <v>1</v>
      </c>
      <c r="Z3755" s="2" t="s">
        <v>117</v>
      </c>
      <c r="AA3755" s="2" t="s">
        <v>317</v>
      </c>
      <c r="AF3755" s="2">
        <f t="shared" si="552"/>
        <v>0</v>
      </c>
      <c r="AJ3755" s="2">
        <f t="shared" si="553"/>
        <v>0</v>
      </c>
      <c r="AK3755" s="2">
        <f t="shared" si="558"/>
        <v>1099</v>
      </c>
      <c r="AL3755" s="5">
        <f t="shared" si="559"/>
        <v>1</v>
      </c>
    </row>
    <row r="3756" spans="1:38" x14ac:dyDescent="0.2">
      <c r="A3756" s="2">
        <v>2026</v>
      </c>
      <c r="B3756" s="2">
        <v>4</v>
      </c>
      <c r="D3756" s="2" t="s">
        <v>2795</v>
      </c>
      <c r="M3756" s="2" t="s">
        <v>40</v>
      </c>
      <c r="P3756" s="2" t="s">
        <v>187</v>
      </c>
      <c r="Q3756" s="2" t="s">
        <v>191</v>
      </c>
      <c r="R3756" s="2" t="s">
        <v>190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557"/>
        <v>0.5</v>
      </c>
      <c r="Z3756" s="2" t="s">
        <v>117</v>
      </c>
      <c r="AA3756" s="2" t="s">
        <v>190</v>
      </c>
      <c r="AB3756" s="2" t="s">
        <v>190</v>
      </c>
      <c r="AC3756" s="2" t="s">
        <v>40</v>
      </c>
      <c r="AF3756" s="2">
        <f t="shared" si="552"/>
        <v>0</v>
      </c>
      <c r="AG3756" s="2">
        <f>W3756</f>
        <v>27.5</v>
      </c>
      <c r="AJ3756" s="2">
        <f t="shared" si="553"/>
        <v>0</v>
      </c>
      <c r="AK3756" s="2">
        <f t="shared" si="558"/>
        <v>27.5</v>
      </c>
      <c r="AL3756" s="5">
        <f t="shared" si="559"/>
        <v>0.5</v>
      </c>
    </row>
    <row r="3757" spans="1:38" x14ac:dyDescent="0.2">
      <c r="A3757" s="2">
        <v>2026</v>
      </c>
      <c r="B3757" s="2">
        <v>3</v>
      </c>
      <c r="D3757" s="2" t="s">
        <v>1071</v>
      </c>
      <c r="E3757" s="2" t="s">
        <v>38</v>
      </c>
      <c r="F3757" s="2" t="s">
        <v>39</v>
      </c>
      <c r="G3757" s="2">
        <v>503843091</v>
      </c>
      <c r="H3757" s="2" t="s">
        <v>41</v>
      </c>
      <c r="I3757" s="2" t="s">
        <v>1554</v>
      </c>
      <c r="J3757" s="2" t="s">
        <v>1824</v>
      </c>
      <c r="L3757" s="2" t="s">
        <v>177</v>
      </c>
      <c r="M3757" s="2" t="s">
        <v>40</v>
      </c>
      <c r="P3757" s="2" t="s">
        <v>187</v>
      </c>
      <c r="Q3757" s="2" t="s">
        <v>188</v>
      </c>
      <c r="R3757" s="2" t="s">
        <v>189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557"/>
        <v>0.6</v>
      </c>
      <c r="Z3757" s="2" t="s">
        <v>117</v>
      </c>
      <c r="AA3757" s="2" t="s">
        <v>190</v>
      </c>
      <c r="AB3757" s="2" t="s">
        <v>189</v>
      </c>
      <c r="AC3757" s="2" t="s">
        <v>40</v>
      </c>
      <c r="AF3757" s="2">
        <f t="shared" si="552"/>
        <v>0</v>
      </c>
      <c r="AG3757" s="2">
        <f>W3757</f>
        <v>25.200000000000003</v>
      </c>
      <c r="AJ3757" s="2">
        <f t="shared" si="553"/>
        <v>0</v>
      </c>
      <c r="AK3757" s="2">
        <f t="shared" si="558"/>
        <v>37.799999999999997</v>
      </c>
      <c r="AL3757" s="5">
        <f t="shared" si="559"/>
        <v>0.6</v>
      </c>
    </row>
    <row r="3758" spans="1:38" x14ac:dyDescent="0.2">
      <c r="A3758" s="2">
        <v>2026</v>
      </c>
      <c r="B3758" s="2">
        <v>3</v>
      </c>
      <c r="D3758" s="2" t="s">
        <v>2852</v>
      </c>
      <c r="M3758" s="2" t="s">
        <v>80</v>
      </c>
      <c r="P3758" s="2" t="s">
        <v>43</v>
      </c>
      <c r="Q3758" s="2" t="s">
        <v>61</v>
      </c>
      <c r="R3758" s="2" t="s">
        <v>62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557"/>
        <v>0.36923076923076914</v>
      </c>
      <c r="Z3758" s="2" t="s">
        <v>3226</v>
      </c>
      <c r="AA3758" s="2" t="s">
        <v>46</v>
      </c>
      <c r="AB3758" s="2" t="s">
        <v>60</v>
      </c>
      <c r="AC3758" s="2" t="s">
        <v>57</v>
      </c>
      <c r="AF3758" s="2">
        <f t="shared" si="552"/>
        <v>0</v>
      </c>
      <c r="AG3758" s="2">
        <v>8.1999999999999993</v>
      </c>
      <c r="AH3758" s="2">
        <v>13</v>
      </c>
      <c r="AJ3758" s="2">
        <f t="shared" si="553"/>
        <v>0</v>
      </c>
      <c r="AK3758" s="2">
        <f t="shared" si="558"/>
        <v>9.5999999999999979</v>
      </c>
      <c r="AL3758" s="5">
        <f t="shared" si="559"/>
        <v>0.36923076923076914</v>
      </c>
    </row>
    <row r="3759" spans="1:38" x14ac:dyDescent="0.2">
      <c r="A3759" s="2">
        <v>2026</v>
      </c>
      <c r="B3759" s="2">
        <v>3</v>
      </c>
      <c r="D3759" s="2" t="s">
        <v>1071</v>
      </c>
      <c r="E3759" s="2" t="s">
        <v>38</v>
      </c>
      <c r="F3759" s="2" t="s">
        <v>39</v>
      </c>
      <c r="G3759" s="2">
        <v>503843091</v>
      </c>
      <c r="H3759" s="2" t="s">
        <v>41</v>
      </c>
      <c r="I3759" s="2" t="s">
        <v>1554</v>
      </c>
      <c r="J3759" s="2" t="s">
        <v>1824</v>
      </c>
      <c r="L3759" s="2" t="s">
        <v>177</v>
      </c>
      <c r="M3759" s="2" t="s">
        <v>40</v>
      </c>
      <c r="P3759" s="2" t="s">
        <v>187</v>
      </c>
      <c r="Q3759" s="2" t="s">
        <v>191</v>
      </c>
      <c r="R3759" s="2" t="s">
        <v>190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557"/>
        <v>0.5</v>
      </c>
      <c r="Z3759" s="2" t="s">
        <v>117</v>
      </c>
      <c r="AA3759" s="2" t="s">
        <v>190</v>
      </c>
      <c r="AB3759" s="2" t="s">
        <v>190</v>
      </c>
      <c r="AC3759" s="2" t="s">
        <v>40</v>
      </c>
      <c r="AF3759" s="2">
        <f t="shared" si="552"/>
        <v>0</v>
      </c>
      <c r="AG3759" s="2">
        <f t="shared" ref="AG3759:AG3783" si="560">W3759</f>
        <v>34.375</v>
      </c>
      <c r="AJ3759" s="2">
        <f t="shared" si="553"/>
        <v>0</v>
      </c>
      <c r="AK3759" s="2">
        <f t="shared" si="558"/>
        <v>34.375</v>
      </c>
      <c r="AL3759" s="5">
        <f t="shared" si="559"/>
        <v>0.5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188</v>
      </c>
      <c r="R3760" s="2" t="s">
        <v>189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557"/>
        <v>0.6</v>
      </c>
      <c r="Z3760" s="2" t="s">
        <v>117</v>
      </c>
      <c r="AA3760" s="2" t="s">
        <v>190</v>
      </c>
      <c r="AB3760" s="2" t="s">
        <v>189</v>
      </c>
      <c r="AC3760" s="2" t="s">
        <v>40</v>
      </c>
      <c r="AF3760" s="2">
        <f t="shared" si="552"/>
        <v>0</v>
      </c>
      <c r="AG3760" s="2">
        <f t="shared" si="560"/>
        <v>20</v>
      </c>
      <c r="AJ3760" s="2">
        <f t="shared" si="553"/>
        <v>0</v>
      </c>
      <c r="AK3760" s="2">
        <f t="shared" si="558"/>
        <v>30</v>
      </c>
      <c r="AL3760" s="5">
        <f t="shared" si="559"/>
        <v>0.6</v>
      </c>
    </row>
    <row r="3761" spans="1:38" x14ac:dyDescent="0.2">
      <c r="A3761" s="2">
        <v>2026</v>
      </c>
      <c r="B3761" s="2">
        <v>4</v>
      </c>
      <c r="D3761" s="2" t="s">
        <v>1599</v>
      </c>
      <c r="M3761" s="2" t="s">
        <v>40</v>
      </c>
      <c r="P3761" s="2" t="s">
        <v>187</v>
      </c>
      <c r="Q3761" s="2" t="s">
        <v>191</v>
      </c>
      <c r="R3761" s="2" t="s">
        <v>190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557"/>
        <v>0.5</v>
      </c>
      <c r="Z3761" s="2" t="s">
        <v>117</v>
      </c>
      <c r="AA3761" s="2" t="s">
        <v>190</v>
      </c>
      <c r="AB3761" s="2" t="s">
        <v>190</v>
      </c>
      <c r="AC3761" s="2" t="s">
        <v>40</v>
      </c>
      <c r="AF3761" s="2">
        <f t="shared" si="552"/>
        <v>0</v>
      </c>
      <c r="AG3761" s="2">
        <f t="shared" si="560"/>
        <v>25</v>
      </c>
      <c r="AJ3761" s="2">
        <f t="shared" si="553"/>
        <v>0</v>
      </c>
      <c r="AK3761" s="2">
        <f t="shared" si="558"/>
        <v>25</v>
      </c>
      <c r="AL3761" s="5">
        <f t="shared" si="559"/>
        <v>0.5</v>
      </c>
    </row>
    <row r="3762" spans="1:38" x14ac:dyDescent="0.2">
      <c r="A3762" s="2">
        <v>2026</v>
      </c>
      <c r="B3762" s="2">
        <v>3</v>
      </c>
      <c r="C3762" s="2" t="s">
        <v>3506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188</v>
      </c>
      <c r="R3762" s="2" t="s">
        <v>189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557"/>
        <v>0.60000000000000009</v>
      </c>
      <c r="Z3762" s="2" t="s">
        <v>117</v>
      </c>
      <c r="AA3762" s="2" t="s">
        <v>190</v>
      </c>
      <c r="AB3762" s="2" t="s">
        <v>189</v>
      </c>
      <c r="AC3762" s="2" t="s">
        <v>40</v>
      </c>
      <c r="AF3762" s="2">
        <f t="shared" si="552"/>
        <v>0</v>
      </c>
      <c r="AG3762" s="2">
        <f t="shared" si="560"/>
        <v>45.6</v>
      </c>
      <c r="AJ3762" s="2">
        <f t="shared" si="553"/>
        <v>0</v>
      </c>
      <c r="AK3762" s="2">
        <f t="shared" si="558"/>
        <v>68.400000000000006</v>
      </c>
      <c r="AL3762" s="5">
        <f t="shared" si="559"/>
        <v>0.60000000000000009</v>
      </c>
    </row>
    <row r="3763" spans="1:38" x14ac:dyDescent="0.2">
      <c r="A3763" s="2">
        <v>2026</v>
      </c>
      <c r="B3763" s="2">
        <v>3</v>
      </c>
      <c r="C3763" s="2" t="s">
        <v>3506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191</v>
      </c>
      <c r="R3763" s="2" t="s">
        <v>190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557"/>
        <v>0.5</v>
      </c>
      <c r="Z3763" s="2" t="s">
        <v>117</v>
      </c>
      <c r="AA3763" s="2" t="s">
        <v>190</v>
      </c>
      <c r="AB3763" s="2" t="s">
        <v>190</v>
      </c>
      <c r="AC3763" s="2" t="s">
        <v>40</v>
      </c>
      <c r="AF3763" s="2">
        <f t="shared" si="552"/>
        <v>0</v>
      </c>
      <c r="AG3763" s="2">
        <f t="shared" si="560"/>
        <v>100</v>
      </c>
      <c r="AJ3763" s="2">
        <f t="shared" si="553"/>
        <v>0</v>
      </c>
      <c r="AK3763" s="2">
        <f t="shared" si="558"/>
        <v>100</v>
      </c>
      <c r="AL3763" s="5">
        <f t="shared" si="559"/>
        <v>0.5</v>
      </c>
    </row>
    <row r="3764" spans="1:38" x14ac:dyDescent="0.2">
      <c r="A3764" s="2">
        <v>2026</v>
      </c>
      <c r="B3764" s="2">
        <v>4</v>
      </c>
      <c r="C3764" s="2" t="s">
        <v>3450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188</v>
      </c>
      <c r="R3764" s="2" t="s">
        <v>189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557"/>
        <v>0.6</v>
      </c>
      <c r="Z3764" s="2" t="s">
        <v>117</v>
      </c>
      <c r="AA3764" s="2" t="s">
        <v>190</v>
      </c>
      <c r="AB3764" s="2" t="s">
        <v>189</v>
      </c>
      <c r="AC3764" s="2" t="s">
        <v>40</v>
      </c>
      <c r="AF3764" s="2">
        <f t="shared" si="552"/>
        <v>0</v>
      </c>
      <c r="AG3764" s="2">
        <f t="shared" si="560"/>
        <v>58.800000000000004</v>
      </c>
      <c r="AJ3764" s="2">
        <f t="shared" si="553"/>
        <v>0</v>
      </c>
      <c r="AK3764" s="2">
        <f t="shared" si="558"/>
        <v>88.199999999999989</v>
      </c>
      <c r="AL3764" s="5">
        <f t="shared" si="559"/>
        <v>0.6</v>
      </c>
    </row>
    <row r="3765" spans="1:38" x14ac:dyDescent="0.2">
      <c r="A3765" s="2">
        <v>2026</v>
      </c>
      <c r="B3765" s="2">
        <v>4</v>
      </c>
      <c r="C3765" s="2" t="s">
        <v>3450</v>
      </c>
      <c r="D3765" s="2" t="s">
        <v>2049</v>
      </c>
      <c r="E3765" s="2" t="s">
        <v>108</v>
      </c>
      <c r="F3765" s="2" t="s">
        <v>39</v>
      </c>
      <c r="G3765" s="2">
        <v>514960337</v>
      </c>
      <c r="H3765" s="2" t="s">
        <v>290</v>
      </c>
      <c r="I3765" s="2" t="s">
        <v>2779</v>
      </c>
      <c r="J3765" s="2" t="s">
        <v>2820</v>
      </c>
      <c r="K3765" s="2">
        <v>914732950</v>
      </c>
      <c r="L3765" s="2" t="s">
        <v>480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>T3765*50%</f>
        <v>34.375</v>
      </c>
      <c r="X3765" s="5">
        <f t="shared" si="557"/>
        <v>0.5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552"/>
        <v>0</v>
      </c>
      <c r="AG3765" s="2">
        <f t="shared" si="560"/>
        <v>34.375</v>
      </c>
      <c r="AJ3765" s="2">
        <f t="shared" si="553"/>
        <v>0</v>
      </c>
      <c r="AK3765" s="2">
        <f t="shared" si="558"/>
        <v>34.375</v>
      </c>
      <c r="AL3765" s="5">
        <f t="shared" si="559"/>
        <v>0.5</v>
      </c>
    </row>
    <row r="3766" spans="1:38" x14ac:dyDescent="0.2">
      <c r="A3766" s="2">
        <v>2026</v>
      </c>
      <c r="B3766" s="2">
        <v>4</v>
      </c>
      <c r="C3766" s="2" t="s">
        <v>3445</v>
      </c>
      <c r="D3766" s="2" t="s">
        <v>2904</v>
      </c>
      <c r="F3766" s="2" t="s">
        <v>3444</v>
      </c>
      <c r="L3766" s="2" t="s">
        <v>99</v>
      </c>
      <c r="M3766" s="2" t="s">
        <v>40</v>
      </c>
      <c r="P3766" s="2" t="s">
        <v>187</v>
      </c>
      <c r="Q3766" s="2" t="s">
        <v>191</v>
      </c>
      <c r="R3766" s="2" t="s">
        <v>190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>T3766*50%</f>
        <v>31.45</v>
      </c>
      <c r="X3766" s="5">
        <f t="shared" si="557"/>
        <v>0.5</v>
      </c>
      <c r="Z3766" s="2" t="s">
        <v>117</v>
      </c>
      <c r="AA3766" s="2" t="s">
        <v>190</v>
      </c>
      <c r="AB3766" s="2" t="s">
        <v>190</v>
      </c>
      <c r="AC3766" s="2" t="s">
        <v>40</v>
      </c>
      <c r="AF3766" s="2">
        <f t="shared" si="552"/>
        <v>0</v>
      </c>
      <c r="AG3766" s="2">
        <f t="shared" si="560"/>
        <v>31.45</v>
      </c>
      <c r="AJ3766" s="2">
        <f t="shared" si="553"/>
        <v>0</v>
      </c>
      <c r="AK3766" s="2">
        <f t="shared" si="558"/>
        <v>31.45</v>
      </c>
      <c r="AL3766" s="5">
        <f t="shared" si="559"/>
        <v>0.5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188</v>
      </c>
      <c r="R3767" s="2" t="s">
        <v>189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117</v>
      </c>
      <c r="AA3767" s="2" t="s">
        <v>190</v>
      </c>
      <c r="AB3767" s="2" t="s">
        <v>189</v>
      </c>
      <c r="AC3767" s="2" t="s">
        <v>40</v>
      </c>
      <c r="AF3767" s="2">
        <f t="shared" si="552"/>
        <v>0</v>
      </c>
      <c r="AG3767" s="2">
        <f t="shared" si="560"/>
        <v>0</v>
      </c>
      <c r="AJ3767" s="2">
        <f t="shared" si="553"/>
        <v>0</v>
      </c>
      <c r="AK3767" s="2">
        <f t="shared" si="558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2905</v>
      </c>
      <c r="E3768" s="2" t="s">
        <v>38</v>
      </c>
      <c r="G3768" s="2">
        <v>506272524</v>
      </c>
      <c r="H3768" s="2" t="s">
        <v>40</v>
      </c>
      <c r="I3768" s="2" t="s">
        <v>2906</v>
      </c>
      <c r="J3768" s="2" t="s">
        <v>2907</v>
      </c>
      <c r="L3768" s="2" t="s">
        <v>99</v>
      </c>
      <c r="M3768" s="2" t="s">
        <v>40</v>
      </c>
      <c r="P3768" s="2" t="s">
        <v>187</v>
      </c>
      <c r="Q3768" s="2" t="s">
        <v>191</v>
      </c>
      <c r="R3768" s="2" t="s">
        <v>190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117</v>
      </c>
      <c r="AA3768" s="2" t="s">
        <v>190</v>
      </c>
      <c r="AB3768" s="2" t="s">
        <v>190</v>
      </c>
      <c r="AC3768" s="2" t="s">
        <v>40</v>
      </c>
      <c r="AF3768" s="2">
        <f t="shared" si="552"/>
        <v>0</v>
      </c>
      <c r="AG3768" s="2">
        <f t="shared" si="560"/>
        <v>27.5</v>
      </c>
      <c r="AJ3768" s="2">
        <f t="shared" si="553"/>
        <v>0</v>
      </c>
      <c r="AK3768" s="2">
        <f t="shared" si="558"/>
        <v>27.5</v>
      </c>
      <c r="AL3768" s="5">
        <f>(T3768-W3768)/T3768</f>
        <v>0.5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188</v>
      </c>
      <c r="R3769" s="2" t="s">
        <v>189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117</v>
      </c>
      <c r="AA3769" s="2" t="s">
        <v>190</v>
      </c>
      <c r="AB3769" s="2" t="s">
        <v>189</v>
      </c>
      <c r="AC3769" s="2" t="s">
        <v>40</v>
      </c>
      <c r="AF3769" s="2">
        <f t="shared" si="552"/>
        <v>0</v>
      </c>
      <c r="AG3769" s="2">
        <f t="shared" si="560"/>
        <v>65.600000000000009</v>
      </c>
      <c r="AJ3769" s="2">
        <f t="shared" si="553"/>
        <v>0</v>
      </c>
      <c r="AK3769" s="2">
        <f t="shared" si="558"/>
        <v>98.399999999999991</v>
      </c>
      <c r="AL3769" s="5">
        <f>(T3769-W3769)/T3769</f>
        <v>0.6</v>
      </c>
    </row>
    <row r="3770" spans="1:38" x14ac:dyDescent="0.2">
      <c r="A3770" s="2">
        <v>2026</v>
      </c>
      <c r="B3770" s="2">
        <v>2</v>
      </c>
      <c r="D3770" s="2" t="s">
        <v>1088</v>
      </c>
      <c r="E3770" s="2" t="s">
        <v>108</v>
      </c>
      <c r="F3770" s="2" t="s">
        <v>39</v>
      </c>
      <c r="G3770" s="2">
        <v>505194147</v>
      </c>
      <c r="H3770" s="2" t="s">
        <v>109</v>
      </c>
      <c r="I3770" s="2" t="s">
        <v>1089</v>
      </c>
      <c r="J3770" s="2" t="s">
        <v>1090</v>
      </c>
      <c r="K3770" s="2">
        <v>917523997</v>
      </c>
      <c r="L3770" s="2" t="s">
        <v>112</v>
      </c>
      <c r="M3770" s="2" t="s">
        <v>40</v>
      </c>
      <c r="O3770" s="2" t="s">
        <v>2615</v>
      </c>
      <c r="P3770" s="2" t="s">
        <v>187</v>
      </c>
      <c r="Q3770" s="2" t="s">
        <v>191</v>
      </c>
      <c r="R3770" s="2" t="s">
        <v>190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117</v>
      </c>
      <c r="AA3770" s="2" t="s">
        <v>190</v>
      </c>
      <c r="AB3770" s="2" t="s">
        <v>190</v>
      </c>
      <c r="AC3770" s="2" t="s">
        <v>40</v>
      </c>
      <c r="AF3770" s="2">
        <f t="shared" si="552"/>
        <v>0</v>
      </c>
      <c r="AG3770" s="2">
        <f t="shared" si="560"/>
        <v>41.25</v>
      </c>
      <c r="AJ3770" s="2">
        <f t="shared" si="553"/>
        <v>0</v>
      </c>
      <c r="AK3770" s="2">
        <f t="shared" si="558"/>
        <v>41.25</v>
      </c>
      <c r="AL3770" s="5">
        <f>(T3770-W3770)/T3770</f>
        <v>0.5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188</v>
      </c>
      <c r="R3771" s="2" t="s">
        <v>189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-1</v>
      </c>
      <c r="Z3771" s="2" t="s">
        <v>117</v>
      </c>
      <c r="AA3771" s="2" t="s">
        <v>190</v>
      </c>
      <c r="AB3771" s="2" t="s">
        <v>189</v>
      </c>
      <c r="AC3771" s="2" t="s">
        <v>40</v>
      </c>
      <c r="AF3771" s="2">
        <f t="shared" si="552"/>
        <v>0</v>
      </c>
      <c r="AG3771" s="2">
        <f t="shared" si="560"/>
        <v>0</v>
      </c>
      <c r="AJ3771" s="2">
        <f t="shared" si="553"/>
        <v>0</v>
      </c>
      <c r="AK3771" s="2">
        <f t="shared" si="558"/>
        <v>0</v>
      </c>
      <c r="AL3771" s="5">
        <v>-1</v>
      </c>
    </row>
    <row r="3772" spans="1:38" x14ac:dyDescent="0.2">
      <c r="A3772" s="2">
        <v>2026</v>
      </c>
      <c r="B3772" s="2">
        <v>1</v>
      </c>
      <c r="D3772" s="2" t="s">
        <v>1622</v>
      </c>
      <c r="E3772" s="2" t="s">
        <v>108</v>
      </c>
      <c r="F3772" s="2" t="s">
        <v>477</v>
      </c>
      <c r="G3772" s="2">
        <v>504161342</v>
      </c>
      <c r="H3772" s="2" t="s">
        <v>290</v>
      </c>
      <c r="I3772" s="2" t="s">
        <v>1623</v>
      </c>
      <c r="J3772" s="2" t="s">
        <v>1624</v>
      </c>
      <c r="L3772" s="2" t="s">
        <v>293</v>
      </c>
      <c r="M3772" s="2" t="s">
        <v>40</v>
      </c>
      <c r="O3772" s="2" t="s">
        <v>2337</v>
      </c>
      <c r="P3772" s="2" t="s">
        <v>187</v>
      </c>
      <c r="Q3772" s="2" t="s">
        <v>191</v>
      </c>
      <c r="R3772" s="2" t="s">
        <v>190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-1</v>
      </c>
      <c r="Z3772" s="2" t="s">
        <v>117</v>
      </c>
      <c r="AA3772" s="2" t="s">
        <v>190</v>
      </c>
      <c r="AB3772" s="2" t="s">
        <v>190</v>
      </c>
      <c r="AC3772" s="2" t="s">
        <v>40</v>
      </c>
      <c r="AF3772" s="2">
        <f t="shared" si="552"/>
        <v>0</v>
      </c>
      <c r="AG3772" s="2">
        <f t="shared" si="560"/>
        <v>0</v>
      </c>
      <c r="AJ3772" s="2">
        <f t="shared" si="553"/>
        <v>0</v>
      </c>
      <c r="AK3772" s="2">
        <f t="shared" si="558"/>
        <v>0</v>
      </c>
      <c r="AL3772" s="5">
        <v>-1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188</v>
      </c>
      <c r="R3773" s="2" t="s">
        <v>189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561">(T3773-W3773)/T3773</f>
        <v>0.6</v>
      </c>
      <c r="Z3773" s="2" t="s">
        <v>117</v>
      </c>
      <c r="AA3773" s="2" t="s">
        <v>190</v>
      </c>
      <c r="AB3773" s="2" t="s">
        <v>189</v>
      </c>
      <c r="AC3773" s="2" t="s">
        <v>40</v>
      </c>
      <c r="AF3773" s="2">
        <f t="shared" si="552"/>
        <v>0</v>
      </c>
      <c r="AG3773" s="2">
        <f t="shared" si="560"/>
        <v>60.400000000000006</v>
      </c>
      <c r="AJ3773" s="2">
        <f t="shared" si="553"/>
        <v>0</v>
      </c>
      <c r="AK3773" s="2">
        <f t="shared" si="558"/>
        <v>90.6</v>
      </c>
      <c r="AL3773" s="5">
        <f t="shared" ref="AL3773:AL3778" si="562">(T3773-W3773)/T3773</f>
        <v>0.6</v>
      </c>
    </row>
    <row r="3774" spans="1:38" x14ac:dyDescent="0.2">
      <c r="A3774" s="2">
        <v>2026</v>
      </c>
      <c r="B3774" s="2">
        <v>4</v>
      </c>
      <c r="D3774" s="2" t="s">
        <v>2908</v>
      </c>
      <c r="M3774" s="2" t="s">
        <v>40</v>
      </c>
      <c r="P3774" s="2" t="s">
        <v>187</v>
      </c>
      <c r="Q3774" s="2" t="s">
        <v>191</v>
      </c>
      <c r="R3774" s="2" t="s">
        <v>190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561"/>
        <v>0.5</v>
      </c>
      <c r="Z3774" s="2" t="s">
        <v>117</v>
      </c>
      <c r="AA3774" s="2" t="s">
        <v>190</v>
      </c>
      <c r="AB3774" s="2" t="s">
        <v>190</v>
      </c>
      <c r="AC3774" s="2" t="s">
        <v>40</v>
      </c>
      <c r="AF3774" s="2">
        <f t="shared" si="552"/>
        <v>0</v>
      </c>
      <c r="AG3774" s="2">
        <f t="shared" si="560"/>
        <v>82.5</v>
      </c>
      <c r="AJ3774" s="2">
        <f t="shared" si="553"/>
        <v>0</v>
      </c>
      <c r="AK3774" s="2">
        <f t="shared" si="558"/>
        <v>82.5</v>
      </c>
      <c r="AL3774" s="5">
        <f t="shared" si="562"/>
        <v>0.5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188</v>
      </c>
      <c r="R3775" s="2" t="s">
        <v>189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561"/>
        <v>0.6</v>
      </c>
      <c r="Z3775" s="2" t="s">
        <v>117</v>
      </c>
      <c r="AA3775" s="2" t="s">
        <v>190</v>
      </c>
      <c r="AB3775" s="2" t="s">
        <v>189</v>
      </c>
      <c r="AC3775" s="2" t="s">
        <v>40</v>
      </c>
      <c r="AF3775" s="2">
        <f t="shared" si="552"/>
        <v>0</v>
      </c>
      <c r="AG3775" s="2">
        <f t="shared" si="560"/>
        <v>20</v>
      </c>
      <c r="AJ3775" s="2">
        <f t="shared" si="553"/>
        <v>0</v>
      </c>
      <c r="AK3775" s="2">
        <f t="shared" si="558"/>
        <v>30</v>
      </c>
      <c r="AL3775" s="5">
        <f t="shared" si="562"/>
        <v>0.6</v>
      </c>
    </row>
    <row r="3776" spans="1:38" x14ac:dyDescent="0.2">
      <c r="A3776" s="2">
        <v>2026</v>
      </c>
      <c r="B3776" s="2">
        <v>1</v>
      </c>
      <c r="D3776" s="2" t="s">
        <v>1092</v>
      </c>
      <c r="E3776" s="2" t="s">
        <v>108</v>
      </c>
      <c r="F3776" s="2" t="s">
        <v>39</v>
      </c>
      <c r="G3776" s="2">
        <v>513356932</v>
      </c>
      <c r="H3776" s="2" t="s">
        <v>41</v>
      </c>
      <c r="I3776" s="2" t="s">
        <v>2672</v>
      </c>
      <c r="J3776" s="2" t="s">
        <v>2673</v>
      </c>
      <c r="K3776" s="2">
        <v>962939747</v>
      </c>
      <c r="L3776" s="2" t="s">
        <v>99</v>
      </c>
      <c r="M3776" s="2" t="s">
        <v>40</v>
      </c>
      <c r="O3776" s="2" t="s">
        <v>2909</v>
      </c>
      <c r="P3776" s="2" t="s">
        <v>187</v>
      </c>
      <c r="Q3776" s="2" t="s">
        <v>191</v>
      </c>
      <c r="R3776" s="2" t="s">
        <v>190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561"/>
        <v>0.5</v>
      </c>
      <c r="Z3776" s="2" t="s">
        <v>117</v>
      </c>
      <c r="AA3776" s="2" t="s">
        <v>190</v>
      </c>
      <c r="AB3776" s="2" t="s">
        <v>190</v>
      </c>
      <c r="AC3776" s="2" t="s">
        <v>40</v>
      </c>
      <c r="AF3776" s="2">
        <f t="shared" si="552"/>
        <v>0</v>
      </c>
      <c r="AG3776" s="2">
        <f t="shared" si="560"/>
        <v>25</v>
      </c>
      <c r="AJ3776" s="2">
        <f t="shared" si="553"/>
        <v>0</v>
      </c>
      <c r="AK3776" s="2">
        <f t="shared" ref="AK3776:AK3807" si="563">T3776-W3776</f>
        <v>25</v>
      </c>
      <c r="AL3776" s="5">
        <f t="shared" si="562"/>
        <v>0.5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188</v>
      </c>
      <c r="R3777" s="2" t="s">
        <v>189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561"/>
        <v>0.6</v>
      </c>
      <c r="Z3777" s="2" t="s">
        <v>117</v>
      </c>
      <c r="AA3777" s="2" t="s">
        <v>190</v>
      </c>
      <c r="AB3777" s="2" t="s">
        <v>189</v>
      </c>
      <c r="AC3777" s="2" t="s">
        <v>40</v>
      </c>
      <c r="AF3777" s="2">
        <f t="shared" si="552"/>
        <v>0</v>
      </c>
      <c r="AG3777" s="2">
        <f t="shared" si="560"/>
        <v>22</v>
      </c>
      <c r="AJ3777" s="2">
        <f t="shared" si="553"/>
        <v>0</v>
      </c>
      <c r="AK3777" s="2">
        <f t="shared" si="563"/>
        <v>33</v>
      </c>
      <c r="AL3777" s="5">
        <f t="shared" si="562"/>
        <v>0.6</v>
      </c>
    </row>
    <row r="3778" spans="1:38" x14ac:dyDescent="0.2">
      <c r="A3778" s="2">
        <v>2026</v>
      </c>
      <c r="B3778" s="2">
        <v>1</v>
      </c>
      <c r="D3778" s="2" t="s">
        <v>2334</v>
      </c>
      <c r="M3778" s="2" t="s">
        <v>40</v>
      </c>
      <c r="P3778" s="2" t="s">
        <v>187</v>
      </c>
      <c r="Q3778" s="2" t="s">
        <v>191</v>
      </c>
      <c r="R3778" s="2" t="s">
        <v>190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561"/>
        <v>0.5</v>
      </c>
      <c r="Z3778" s="2" t="s">
        <v>117</v>
      </c>
      <c r="AA3778" s="2" t="s">
        <v>190</v>
      </c>
      <c r="AB3778" s="2" t="s">
        <v>190</v>
      </c>
      <c r="AC3778" s="2" t="s">
        <v>40</v>
      </c>
      <c r="AF3778" s="2">
        <f t="shared" ref="AF3778:AF3841" si="564">AJ3778</f>
        <v>0</v>
      </c>
      <c r="AG3778" s="2">
        <f t="shared" si="560"/>
        <v>50</v>
      </c>
      <c r="AJ3778" s="2">
        <f t="shared" ref="AJ3778:AJ3841" si="565">AI3778*T3778</f>
        <v>0</v>
      </c>
      <c r="AK3778" s="2">
        <f t="shared" si="563"/>
        <v>50</v>
      </c>
      <c r="AL3778" s="5">
        <f t="shared" si="562"/>
        <v>0.5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188</v>
      </c>
      <c r="R3779" s="2" t="s">
        <v>189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117</v>
      </c>
      <c r="AA3779" s="2" t="s">
        <v>190</v>
      </c>
      <c r="AB3779" s="2" t="s">
        <v>189</v>
      </c>
      <c r="AC3779" s="2" t="s">
        <v>40</v>
      </c>
      <c r="AF3779" s="2">
        <f t="shared" si="564"/>
        <v>0</v>
      </c>
      <c r="AG3779" s="2">
        <f t="shared" si="560"/>
        <v>0</v>
      </c>
      <c r="AJ3779" s="2">
        <f t="shared" si="565"/>
        <v>0</v>
      </c>
      <c r="AK3779" s="2">
        <f t="shared" si="563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574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177</v>
      </c>
      <c r="J3780" s="2" t="s">
        <v>575</v>
      </c>
      <c r="L3780" s="2" t="s">
        <v>177</v>
      </c>
      <c r="M3780" s="2" t="s">
        <v>40</v>
      </c>
      <c r="P3780" s="2" t="s">
        <v>187</v>
      </c>
      <c r="Q3780" s="2" t="s">
        <v>191</v>
      </c>
      <c r="R3780" s="2" t="s">
        <v>190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117</v>
      </c>
      <c r="AA3780" s="2" t="s">
        <v>190</v>
      </c>
      <c r="AB3780" s="2" t="s">
        <v>190</v>
      </c>
      <c r="AC3780" s="2" t="s">
        <v>40</v>
      </c>
      <c r="AF3780" s="2">
        <f t="shared" si="564"/>
        <v>0</v>
      </c>
      <c r="AG3780" s="2">
        <f t="shared" si="560"/>
        <v>0</v>
      </c>
      <c r="AJ3780" s="2">
        <f t="shared" si="565"/>
        <v>0</v>
      </c>
      <c r="AK3780" s="2">
        <f t="shared" si="563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188</v>
      </c>
      <c r="R3781" s="2" t="s">
        <v>189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>(T3781-W3781)/T3781</f>
        <v>0.6</v>
      </c>
      <c r="Z3781" s="2" t="s">
        <v>117</v>
      </c>
      <c r="AA3781" s="2" t="s">
        <v>190</v>
      </c>
      <c r="AB3781" s="2" t="s">
        <v>189</v>
      </c>
      <c r="AC3781" s="2" t="s">
        <v>40</v>
      </c>
      <c r="AF3781" s="2">
        <f t="shared" si="564"/>
        <v>0</v>
      </c>
      <c r="AG3781" s="2">
        <f t="shared" si="560"/>
        <v>20</v>
      </c>
      <c r="AJ3781" s="2">
        <f t="shared" si="565"/>
        <v>0</v>
      </c>
      <c r="AK3781" s="2">
        <f t="shared" si="563"/>
        <v>30</v>
      </c>
      <c r="AL3781" s="5">
        <f>(T3781-W3781)/T3781</f>
        <v>0.6</v>
      </c>
    </row>
    <row r="3782" spans="1:38" x14ac:dyDescent="0.2">
      <c r="A3782" s="2">
        <v>2026</v>
      </c>
      <c r="B3782" s="2">
        <v>1</v>
      </c>
      <c r="D3782" s="2" t="s">
        <v>2327</v>
      </c>
      <c r="M3782" s="2" t="s">
        <v>40</v>
      </c>
      <c r="P3782" s="2" t="s">
        <v>187</v>
      </c>
      <c r="Q3782" s="2" t="s">
        <v>191</v>
      </c>
      <c r="R3782" s="2" t="s">
        <v>190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>(T3782-W3782)/T3782</f>
        <v>0.5</v>
      </c>
      <c r="Z3782" s="2" t="s">
        <v>117</v>
      </c>
      <c r="AA3782" s="2" t="s">
        <v>190</v>
      </c>
      <c r="AB3782" s="2" t="s">
        <v>190</v>
      </c>
      <c r="AC3782" s="2" t="s">
        <v>40</v>
      </c>
      <c r="AF3782" s="2">
        <f t="shared" si="564"/>
        <v>0</v>
      </c>
      <c r="AG3782" s="2">
        <f t="shared" si="560"/>
        <v>25</v>
      </c>
      <c r="AJ3782" s="2">
        <f t="shared" si="565"/>
        <v>0</v>
      </c>
      <c r="AK3782" s="2">
        <f t="shared" si="563"/>
        <v>25</v>
      </c>
      <c r="AL3782" s="5">
        <f>(T3782-W3782)/T3782</f>
        <v>0.5</v>
      </c>
    </row>
    <row r="3783" spans="1:38" x14ac:dyDescent="0.2">
      <c r="A3783" s="2">
        <v>2026</v>
      </c>
      <c r="B3783" s="2">
        <v>2</v>
      </c>
      <c r="D3783" s="2" t="s">
        <v>2327</v>
      </c>
      <c r="M3783" s="2" t="s">
        <v>40</v>
      </c>
      <c r="P3783" s="2" t="s">
        <v>187</v>
      </c>
      <c r="Q3783" s="2" t="s">
        <v>188</v>
      </c>
      <c r="R3783" s="2" t="s">
        <v>189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117</v>
      </c>
      <c r="AA3783" s="2" t="s">
        <v>190</v>
      </c>
      <c r="AB3783" s="2" t="s">
        <v>189</v>
      </c>
      <c r="AC3783" s="2" t="s">
        <v>40</v>
      </c>
      <c r="AF3783" s="2">
        <f t="shared" si="564"/>
        <v>0</v>
      </c>
      <c r="AG3783" s="2">
        <f t="shared" si="560"/>
        <v>-20</v>
      </c>
      <c r="AJ3783" s="2">
        <f t="shared" si="565"/>
        <v>0</v>
      </c>
      <c r="AK3783" s="2">
        <f t="shared" si="563"/>
        <v>-30</v>
      </c>
    </row>
    <row r="3784" spans="1:38" x14ac:dyDescent="0.2">
      <c r="A3784" s="2">
        <v>2026</v>
      </c>
      <c r="B3784" s="2">
        <v>3</v>
      </c>
      <c r="D3784" s="2" t="s">
        <v>2852</v>
      </c>
      <c r="M3784" s="2" t="s">
        <v>80</v>
      </c>
      <c r="P3784" s="2" t="s">
        <v>169</v>
      </c>
      <c r="Q3784" s="2" t="s">
        <v>170</v>
      </c>
      <c r="R3784" s="2" t="s">
        <v>170</v>
      </c>
      <c r="S3784" s="2">
        <v>1</v>
      </c>
      <c r="T3784" s="2">
        <v>8</v>
      </c>
      <c r="U3784" s="2">
        <v>1.84</v>
      </c>
      <c r="V3784" s="2">
        <v>9.84</v>
      </c>
      <c r="W3784" s="2">
        <v>6</v>
      </c>
      <c r="X3784" s="5">
        <f>(T3784-W3784)/T3784</f>
        <v>0.25</v>
      </c>
      <c r="Z3784" s="2" t="s">
        <v>169</v>
      </c>
      <c r="AA3784" s="2" t="s">
        <v>169</v>
      </c>
      <c r="AF3784" s="2">
        <f t="shared" si="564"/>
        <v>0</v>
      </c>
      <c r="AJ3784" s="2">
        <f t="shared" si="565"/>
        <v>0</v>
      </c>
      <c r="AK3784" s="2">
        <f t="shared" si="563"/>
        <v>2</v>
      </c>
      <c r="AL3784" s="5">
        <f t="shared" ref="AL3784:AL3792" si="566">(T3784-W3784)/T3784</f>
        <v>0.25</v>
      </c>
    </row>
    <row r="3785" spans="1:38" x14ac:dyDescent="0.2">
      <c r="A3785" s="2">
        <v>2026</v>
      </c>
      <c r="B3785" s="2">
        <v>2</v>
      </c>
      <c r="D3785" s="2" t="s">
        <v>2327</v>
      </c>
      <c r="M3785" s="2" t="s">
        <v>40</v>
      </c>
      <c r="P3785" s="2" t="s">
        <v>187</v>
      </c>
      <c r="Q3785" s="2" t="s">
        <v>191</v>
      </c>
      <c r="R3785" s="2" t="s">
        <v>190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117</v>
      </c>
      <c r="AA3785" s="2" t="s">
        <v>190</v>
      </c>
      <c r="AB3785" s="2" t="s">
        <v>190</v>
      </c>
      <c r="AC3785" s="2" t="s">
        <v>40</v>
      </c>
      <c r="AF3785" s="2">
        <f t="shared" si="564"/>
        <v>0</v>
      </c>
      <c r="AG3785" s="2">
        <f t="shared" ref="AG3785:AG3809" si="567">W3785</f>
        <v>0</v>
      </c>
      <c r="AJ3785" s="2">
        <f t="shared" si="565"/>
        <v>0</v>
      </c>
      <c r="AK3785" s="2">
        <f t="shared" si="563"/>
        <v>-50</v>
      </c>
      <c r="AL3785" s="5">
        <f t="shared" si="566"/>
        <v>1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188</v>
      </c>
      <c r="R3786" s="2" t="s">
        <v>189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ref="X3786:X3792" si="568">(T3786-W3786)/T3786</f>
        <v>0.6</v>
      </c>
      <c r="Z3786" s="2" t="s">
        <v>117</v>
      </c>
      <c r="AA3786" s="2" t="s">
        <v>190</v>
      </c>
      <c r="AB3786" s="2" t="s">
        <v>189</v>
      </c>
      <c r="AC3786" s="2" t="s">
        <v>40</v>
      </c>
      <c r="AF3786" s="2">
        <f t="shared" si="564"/>
        <v>0</v>
      </c>
      <c r="AG3786" s="2">
        <f t="shared" si="567"/>
        <v>20</v>
      </c>
      <c r="AJ3786" s="2">
        <f t="shared" si="565"/>
        <v>0</v>
      </c>
      <c r="AK3786" s="2">
        <f t="shared" si="563"/>
        <v>30</v>
      </c>
      <c r="AL3786" s="5">
        <f t="shared" si="566"/>
        <v>0.6</v>
      </c>
    </row>
    <row r="3787" spans="1:38" x14ac:dyDescent="0.2">
      <c r="A3787" s="2">
        <v>2026</v>
      </c>
      <c r="B3787" s="2">
        <v>2</v>
      </c>
      <c r="D3787" s="2" t="s">
        <v>2482</v>
      </c>
      <c r="M3787" s="2" t="s">
        <v>40</v>
      </c>
      <c r="P3787" s="2" t="s">
        <v>187</v>
      </c>
      <c r="Q3787" s="2" t="s">
        <v>191</v>
      </c>
      <c r="R3787" s="2" t="s">
        <v>190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568"/>
        <v>0.5</v>
      </c>
      <c r="Z3787" s="2" t="s">
        <v>117</v>
      </c>
      <c r="AA3787" s="2" t="s">
        <v>190</v>
      </c>
      <c r="AB3787" s="2" t="s">
        <v>190</v>
      </c>
      <c r="AC3787" s="2" t="s">
        <v>40</v>
      </c>
      <c r="AF3787" s="2">
        <f t="shared" si="564"/>
        <v>0</v>
      </c>
      <c r="AG3787" s="2">
        <f t="shared" si="567"/>
        <v>25</v>
      </c>
      <c r="AJ3787" s="2">
        <f t="shared" si="565"/>
        <v>0</v>
      </c>
      <c r="AK3787" s="2">
        <f t="shared" si="563"/>
        <v>25</v>
      </c>
      <c r="AL3787" s="5">
        <f t="shared" si="566"/>
        <v>0.5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188</v>
      </c>
      <c r="R3788" s="2" t="s">
        <v>189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568"/>
        <v>0.6</v>
      </c>
      <c r="Z3788" s="2" t="s">
        <v>117</v>
      </c>
      <c r="AA3788" s="2" t="s">
        <v>190</v>
      </c>
      <c r="AB3788" s="2" t="s">
        <v>189</v>
      </c>
      <c r="AC3788" s="2" t="s">
        <v>40</v>
      </c>
      <c r="AF3788" s="2">
        <f t="shared" si="564"/>
        <v>0</v>
      </c>
      <c r="AG3788" s="2">
        <f t="shared" si="567"/>
        <v>22</v>
      </c>
      <c r="AJ3788" s="2">
        <f t="shared" si="565"/>
        <v>0</v>
      </c>
      <c r="AK3788" s="2">
        <f t="shared" si="563"/>
        <v>33</v>
      </c>
      <c r="AL3788" s="5">
        <f t="shared" si="566"/>
        <v>0.6</v>
      </c>
    </row>
    <row r="3789" spans="1:38" x14ac:dyDescent="0.2">
      <c r="A3789" s="2">
        <v>2026</v>
      </c>
      <c r="B3789" s="2">
        <v>4</v>
      </c>
      <c r="D3789" s="2" t="s">
        <v>2781</v>
      </c>
      <c r="M3789" s="2" t="s">
        <v>40</v>
      </c>
      <c r="P3789" s="2" t="s">
        <v>187</v>
      </c>
      <c r="Q3789" s="2" t="s">
        <v>191</v>
      </c>
      <c r="R3789" s="2" t="s">
        <v>190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568"/>
        <v>0.5</v>
      </c>
      <c r="Z3789" s="2" t="s">
        <v>117</v>
      </c>
      <c r="AA3789" s="2" t="s">
        <v>190</v>
      </c>
      <c r="AB3789" s="2" t="s">
        <v>190</v>
      </c>
      <c r="AC3789" s="2" t="s">
        <v>40</v>
      </c>
      <c r="AF3789" s="2">
        <f t="shared" si="564"/>
        <v>0</v>
      </c>
      <c r="AG3789" s="2">
        <f t="shared" si="567"/>
        <v>27.5</v>
      </c>
      <c r="AJ3789" s="2">
        <f t="shared" si="565"/>
        <v>0</v>
      </c>
      <c r="AK3789" s="2">
        <f t="shared" si="563"/>
        <v>27.5</v>
      </c>
      <c r="AL3789" s="5">
        <f t="shared" si="566"/>
        <v>0.5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188</v>
      </c>
      <c r="R3790" s="2" t="s">
        <v>189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568"/>
        <v>0.6</v>
      </c>
      <c r="Z3790" s="2" t="s">
        <v>117</v>
      </c>
      <c r="AA3790" s="2" t="s">
        <v>190</v>
      </c>
      <c r="AB3790" s="2" t="s">
        <v>189</v>
      </c>
      <c r="AC3790" s="2" t="s">
        <v>40</v>
      </c>
      <c r="AF3790" s="2">
        <f t="shared" si="564"/>
        <v>0</v>
      </c>
      <c r="AG3790" s="2">
        <f t="shared" si="567"/>
        <v>33.200000000000003</v>
      </c>
      <c r="AJ3790" s="2">
        <f t="shared" si="565"/>
        <v>0</v>
      </c>
      <c r="AK3790" s="2">
        <f t="shared" si="563"/>
        <v>49.8</v>
      </c>
      <c r="AL3790" s="5">
        <f t="shared" si="566"/>
        <v>0.6</v>
      </c>
    </row>
    <row r="3791" spans="1:38" x14ac:dyDescent="0.2">
      <c r="A3791" s="2">
        <v>2026</v>
      </c>
      <c r="B3791" s="2">
        <v>4</v>
      </c>
      <c r="D3791" s="2" t="s">
        <v>2283</v>
      </c>
      <c r="M3791" s="2" t="s">
        <v>40</v>
      </c>
      <c r="P3791" s="2" t="s">
        <v>187</v>
      </c>
      <c r="Q3791" s="2" t="s">
        <v>191</v>
      </c>
      <c r="R3791" s="2" t="s">
        <v>190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568"/>
        <v>0.5</v>
      </c>
      <c r="Z3791" s="2" t="s">
        <v>117</v>
      </c>
      <c r="AA3791" s="2" t="s">
        <v>190</v>
      </c>
      <c r="AB3791" s="2" t="s">
        <v>190</v>
      </c>
      <c r="AC3791" s="2" t="s">
        <v>40</v>
      </c>
      <c r="AF3791" s="2">
        <f t="shared" si="564"/>
        <v>0</v>
      </c>
      <c r="AG3791" s="2">
        <f t="shared" si="567"/>
        <v>20.625</v>
      </c>
      <c r="AJ3791" s="2">
        <f t="shared" si="565"/>
        <v>0</v>
      </c>
      <c r="AK3791" s="2">
        <f t="shared" si="563"/>
        <v>20.625</v>
      </c>
      <c r="AL3791" s="5">
        <f t="shared" si="566"/>
        <v>0.5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188</v>
      </c>
      <c r="R3792" s="2" t="s">
        <v>189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568"/>
        <v>0.6</v>
      </c>
      <c r="Z3792" s="2" t="s">
        <v>117</v>
      </c>
      <c r="AA3792" s="2" t="s">
        <v>190</v>
      </c>
      <c r="AB3792" s="2" t="s">
        <v>189</v>
      </c>
      <c r="AC3792" s="2" t="s">
        <v>40</v>
      </c>
      <c r="AF3792" s="2">
        <f t="shared" si="564"/>
        <v>0</v>
      </c>
      <c r="AG3792" s="2">
        <f t="shared" si="567"/>
        <v>25.200000000000003</v>
      </c>
      <c r="AJ3792" s="2">
        <f t="shared" si="565"/>
        <v>0</v>
      </c>
      <c r="AK3792" s="2">
        <f t="shared" si="563"/>
        <v>37.799999999999997</v>
      </c>
      <c r="AL3792" s="5">
        <f t="shared" si="566"/>
        <v>0.6</v>
      </c>
    </row>
    <row r="3793" spans="1:38" x14ac:dyDescent="0.2">
      <c r="A3793" s="2">
        <v>2026</v>
      </c>
      <c r="B3793" s="2">
        <v>3</v>
      </c>
      <c r="D3793" s="2" t="s">
        <v>906</v>
      </c>
      <c r="M3793" s="2" t="s">
        <v>40</v>
      </c>
      <c r="P3793" s="2" t="s">
        <v>187</v>
      </c>
      <c r="Q3793" s="2" t="s">
        <v>191</v>
      </c>
      <c r="R3793" s="2" t="s">
        <v>190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117</v>
      </c>
      <c r="AA3793" s="2" t="s">
        <v>190</v>
      </c>
      <c r="AB3793" s="2" t="s">
        <v>190</v>
      </c>
      <c r="AC3793" s="2" t="s">
        <v>40</v>
      </c>
      <c r="AF3793" s="2">
        <f t="shared" si="564"/>
        <v>0</v>
      </c>
      <c r="AG3793" s="2">
        <f t="shared" si="567"/>
        <v>0</v>
      </c>
      <c r="AJ3793" s="2">
        <f t="shared" si="565"/>
        <v>0</v>
      </c>
      <c r="AK3793" s="2">
        <f t="shared" si="563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188</v>
      </c>
      <c r="R3794" s="2" t="s">
        <v>189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>(T3794-W3794)/T3794</f>
        <v>0.6</v>
      </c>
      <c r="Z3794" s="2" t="s">
        <v>117</v>
      </c>
      <c r="AA3794" s="2" t="s">
        <v>190</v>
      </c>
      <c r="AB3794" s="2" t="s">
        <v>189</v>
      </c>
      <c r="AC3794" s="2" t="s">
        <v>40</v>
      </c>
      <c r="AF3794" s="2">
        <f t="shared" si="564"/>
        <v>0</v>
      </c>
      <c r="AG3794" s="2">
        <f t="shared" si="567"/>
        <v>228.8</v>
      </c>
      <c r="AJ3794" s="2">
        <f t="shared" si="565"/>
        <v>0</v>
      </c>
      <c r="AK3794" s="2">
        <f t="shared" si="563"/>
        <v>343.2</v>
      </c>
      <c r="AL3794" s="5">
        <f>(T3794-W3794)/T3794</f>
        <v>0.6</v>
      </c>
    </row>
    <row r="3795" spans="1:38" x14ac:dyDescent="0.2">
      <c r="A3795" s="2">
        <v>2026</v>
      </c>
      <c r="B3795" s="2">
        <v>1</v>
      </c>
      <c r="D3795" s="2" t="s">
        <v>1660</v>
      </c>
      <c r="M3795" s="2" t="s">
        <v>40</v>
      </c>
      <c r="P3795" s="2" t="s">
        <v>187</v>
      </c>
      <c r="Q3795" s="2" t="s">
        <v>191</v>
      </c>
      <c r="R3795" s="2" t="s">
        <v>190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>(T3795-W3795)/T3795</f>
        <v>0.5</v>
      </c>
      <c r="Z3795" s="2" t="s">
        <v>117</v>
      </c>
      <c r="AA3795" s="2" t="s">
        <v>190</v>
      </c>
      <c r="AB3795" s="2" t="s">
        <v>190</v>
      </c>
      <c r="AC3795" s="2" t="s">
        <v>40</v>
      </c>
      <c r="AF3795" s="2">
        <f t="shared" si="564"/>
        <v>0</v>
      </c>
      <c r="AG3795" s="2">
        <f t="shared" si="567"/>
        <v>50</v>
      </c>
      <c r="AJ3795" s="2">
        <f t="shared" si="565"/>
        <v>0</v>
      </c>
      <c r="AK3795" s="2">
        <f t="shared" si="563"/>
        <v>50</v>
      </c>
      <c r="AL3795" s="5">
        <f>(T3795-W3795)/T3795</f>
        <v>0.5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188</v>
      </c>
      <c r="R3796" s="2" t="s">
        <v>189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117</v>
      </c>
      <c r="AA3796" s="2" t="s">
        <v>190</v>
      </c>
      <c r="AB3796" s="2" t="s">
        <v>189</v>
      </c>
      <c r="AC3796" s="2" t="s">
        <v>40</v>
      </c>
      <c r="AF3796" s="2">
        <f t="shared" si="564"/>
        <v>0</v>
      </c>
      <c r="AG3796" s="2">
        <f t="shared" si="567"/>
        <v>-114.4</v>
      </c>
      <c r="AJ3796" s="2">
        <f t="shared" si="565"/>
        <v>0</v>
      </c>
      <c r="AK3796" s="2">
        <f t="shared" si="563"/>
        <v>-171.6</v>
      </c>
    </row>
    <row r="3797" spans="1:38" x14ac:dyDescent="0.2">
      <c r="A3797" s="2">
        <v>2026</v>
      </c>
      <c r="B3797" s="2">
        <v>3</v>
      </c>
      <c r="D3797" s="2" t="s">
        <v>1660</v>
      </c>
      <c r="M3797" s="2" t="s">
        <v>40</v>
      </c>
      <c r="P3797" s="2" t="s">
        <v>187</v>
      </c>
      <c r="Q3797" s="2" t="s">
        <v>191</v>
      </c>
      <c r="R3797" s="2" t="s">
        <v>190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117</v>
      </c>
      <c r="AA3797" s="2" t="s">
        <v>190</v>
      </c>
      <c r="AB3797" s="2" t="s">
        <v>190</v>
      </c>
      <c r="AC3797" s="2" t="s">
        <v>40</v>
      </c>
      <c r="AF3797" s="2">
        <f t="shared" si="564"/>
        <v>0</v>
      </c>
      <c r="AG3797" s="2">
        <f t="shared" si="567"/>
        <v>0</v>
      </c>
      <c r="AJ3797" s="2">
        <f t="shared" si="565"/>
        <v>0</v>
      </c>
      <c r="AK3797" s="2">
        <f t="shared" si="563"/>
        <v>-50</v>
      </c>
    </row>
    <row r="3798" spans="1:38" x14ac:dyDescent="0.2">
      <c r="A3798" s="2">
        <v>2026</v>
      </c>
      <c r="B3798" s="2">
        <v>3</v>
      </c>
      <c r="D3798" s="2" t="s">
        <v>2624</v>
      </c>
      <c r="M3798" s="2" t="s">
        <v>40</v>
      </c>
      <c r="P3798" s="2" t="s">
        <v>187</v>
      </c>
      <c r="Q3798" s="2" t="s">
        <v>188</v>
      </c>
      <c r="R3798" s="2" t="s">
        <v>189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ref="X3798:X3816" si="569">(T3798-W3798)/T3798</f>
        <v>0.6</v>
      </c>
      <c r="Z3798" s="2" t="s">
        <v>117</v>
      </c>
      <c r="AA3798" s="2" t="s">
        <v>190</v>
      </c>
      <c r="AB3798" s="2" t="s">
        <v>189</v>
      </c>
      <c r="AC3798" s="2" t="s">
        <v>40</v>
      </c>
      <c r="AF3798" s="2">
        <f t="shared" si="564"/>
        <v>0</v>
      </c>
      <c r="AG3798" s="2">
        <f t="shared" si="567"/>
        <v>71.2</v>
      </c>
      <c r="AJ3798" s="2">
        <f t="shared" si="565"/>
        <v>0</v>
      </c>
      <c r="AK3798" s="2">
        <f t="shared" si="563"/>
        <v>106.8</v>
      </c>
      <c r="AL3798" s="5">
        <f t="shared" ref="AL3798:AL3825" si="570">(T3798-W3798)/T3798</f>
        <v>0.6</v>
      </c>
    </row>
    <row r="3799" spans="1:38" x14ac:dyDescent="0.2">
      <c r="A3799" s="2">
        <v>2026</v>
      </c>
      <c r="B3799" s="2">
        <v>3</v>
      </c>
      <c r="D3799" s="2" t="s">
        <v>2624</v>
      </c>
      <c r="M3799" s="2" t="s">
        <v>40</v>
      </c>
      <c r="P3799" s="2" t="s">
        <v>187</v>
      </c>
      <c r="Q3799" s="2" t="s">
        <v>191</v>
      </c>
      <c r="R3799" s="2" t="s">
        <v>190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569"/>
        <v>0.5</v>
      </c>
      <c r="Z3799" s="2" t="s">
        <v>117</v>
      </c>
      <c r="AA3799" s="2" t="s">
        <v>190</v>
      </c>
      <c r="AB3799" s="2" t="s">
        <v>190</v>
      </c>
      <c r="AC3799" s="2" t="s">
        <v>40</v>
      </c>
      <c r="AF3799" s="2">
        <f t="shared" si="564"/>
        <v>0</v>
      </c>
      <c r="AG3799" s="2">
        <f t="shared" si="567"/>
        <v>41.25</v>
      </c>
      <c r="AJ3799" s="2">
        <f t="shared" si="565"/>
        <v>0</v>
      </c>
      <c r="AK3799" s="2">
        <f t="shared" si="563"/>
        <v>41.25</v>
      </c>
      <c r="AL3799" s="5">
        <f t="shared" si="570"/>
        <v>0.5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188</v>
      </c>
      <c r="R3800" s="2" t="s">
        <v>189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569"/>
        <v>0.6</v>
      </c>
      <c r="Z3800" s="2" t="s">
        <v>117</v>
      </c>
      <c r="AA3800" s="2" t="s">
        <v>190</v>
      </c>
      <c r="AB3800" s="2" t="s">
        <v>189</v>
      </c>
      <c r="AC3800" s="2" t="s">
        <v>40</v>
      </c>
      <c r="AF3800" s="2">
        <f t="shared" si="564"/>
        <v>0</v>
      </c>
      <c r="AG3800" s="2">
        <f t="shared" si="567"/>
        <v>22</v>
      </c>
      <c r="AJ3800" s="2">
        <f t="shared" si="565"/>
        <v>0</v>
      </c>
      <c r="AK3800" s="2">
        <f t="shared" si="563"/>
        <v>33</v>
      </c>
      <c r="AL3800" s="5">
        <f t="shared" si="570"/>
        <v>0.6</v>
      </c>
    </row>
    <row r="3801" spans="1:38" x14ac:dyDescent="0.2">
      <c r="A3801" s="2">
        <v>2026</v>
      </c>
      <c r="B3801" s="2">
        <v>2</v>
      </c>
      <c r="D3801" s="2" t="s">
        <v>2491</v>
      </c>
      <c r="M3801" s="2" t="s">
        <v>40</v>
      </c>
      <c r="P3801" s="2" t="s">
        <v>187</v>
      </c>
      <c r="Q3801" s="2" t="s">
        <v>191</v>
      </c>
      <c r="R3801" s="2" t="s">
        <v>190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569"/>
        <v>0.5</v>
      </c>
      <c r="Z3801" s="2" t="s">
        <v>117</v>
      </c>
      <c r="AA3801" s="2" t="s">
        <v>190</v>
      </c>
      <c r="AB3801" s="2" t="s">
        <v>190</v>
      </c>
      <c r="AC3801" s="2" t="s">
        <v>40</v>
      </c>
      <c r="AF3801" s="2">
        <f t="shared" si="564"/>
        <v>0</v>
      </c>
      <c r="AG3801" s="2">
        <f t="shared" si="567"/>
        <v>27.5</v>
      </c>
      <c r="AJ3801" s="2">
        <f t="shared" si="565"/>
        <v>0</v>
      </c>
      <c r="AK3801" s="2">
        <f t="shared" si="563"/>
        <v>27.5</v>
      </c>
      <c r="AL3801" s="5">
        <f t="shared" si="570"/>
        <v>0.5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188</v>
      </c>
      <c r="R3802" s="2" t="s">
        <v>189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569"/>
        <v>0.6</v>
      </c>
      <c r="Z3802" s="2" t="s">
        <v>117</v>
      </c>
      <c r="AA3802" s="2" t="s">
        <v>190</v>
      </c>
      <c r="AB3802" s="2" t="s">
        <v>189</v>
      </c>
      <c r="AC3802" s="2" t="s">
        <v>40</v>
      </c>
      <c r="AF3802" s="2">
        <f t="shared" si="564"/>
        <v>0</v>
      </c>
      <c r="AG3802" s="2">
        <f t="shared" si="567"/>
        <v>31.6</v>
      </c>
      <c r="AJ3802" s="2">
        <f t="shared" si="565"/>
        <v>0</v>
      </c>
      <c r="AK3802" s="2">
        <f t="shared" si="563"/>
        <v>47.4</v>
      </c>
      <c r="AL3802" s="5">
        <f t="shared" si="570"/>
        <v>0.6</v>
      </c>
    </row>
    <row r="3803" spans="1:38" x14ac:dyDescent="0.2">
      <c r="A3803" s="2">
        <v>2026</v>
      </c>
      <c r="B3803" s="2">
        <v>1</v>
      </c>
      <c r="D3803" s="2" t="s">
        <v>1439</v>
      </c>
      <c r="M3803" s="2" t="s">
        <v>40</v>
      </c>
      <c r="P3803" s="2" t="s">
        <v>187</v>
      </c>
      <c r="Q3803" s="2" t="s">
        <v>191</v>
      </c>
      <c r="R3803" s="2" t="s">
        <v>190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569"/>
        <v>0.5</v>
      </c>
      <c r="Z3803" s="2" t="s">
        <v>117</v>
      </c>
      <c r="AA3803" s="2" t="s">
        <v>190</v>
      </c>
      <c r="AB3803" s="2" t="s">
        <v>190</v>
      </c>
      <c r="AC3803" s="2" t="s">
        <v>40</v>
      </c>
      <c r="AF3803" s="2">
        <f t="shared" si="564"/>
        <v>0</v>
      </c>
      <c r="AG3803" s="2">
        <f t="shared" si="567"/>
        <v>50</v>
      </c>
      <c r="AJ3803" s="2">
        <f t="shared" si="565"/>
        <v>0</v>
      </c>
      <c r="AK3803" s="2">
        <f t="shared" si="563"/>
        <v>50</v>
      </c>
      <c r="AL3803" s="5">
        <f t="shared" si="570"/>
        <v>0.5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188</v>
      </c>
      <c r="R3804" s="2" t="s">
        <v>189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569"/>
        <v>0.6</v>
      </c>
      <c r="Z3804" s="2" t="s">
        <v>117</v>
      </c>
      <c r="AA3804" s="2" t="s">
        <v>190</v>
      </c>
      <c r="AB3804" s="2" t="s">
        <v>189</v>
      </c>
      <c r="AC3804" s="2" t="s">
        <v>40</v>
      </c>
      <c r="AF3804" s="2">
        <f t="shared" si="564"/>
        <v>0</v>
      </c>
      <c r="AG3804" s="2">
        <f t="shared" si="567"/>
        <v>33.200000000000003</v>
      </c>
      <c r="AJ3804" s="2">
        <f t="shared" si="565"/>
        <v>0</v>
      </c>
      <c r="AK3804" s="2">
        <f t="shared" si="563"/>
        <v>49.8</v>
      </c>
      <c r="AL3804" s="5">
        <f t="shared" si="570"/>
        <v>0.6</v>
      </c>
    </row>
    <row r="3805" spans="1:38" x14ac:dyDescent="0.2">
      <c r="A3805" s="2">
        <v>2026</v>
      </c>
      <c r="B3805" s="2">
        <v>3</v>
      </c>
      <c r="D3805" s="2" t="s">
        <v>1439</v>
      </c>
      <c r="M3805" s="2" t="s">
        <v>40</v>
      </c>
      <c r="P3805" s="2" t="s">
        <v>187</v>
      </c>
      <c r="Q3805" s="2" t="s">
        <v>191</v>
      </c>
      <c r="R3805" s="2" t="s">
        <v>190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569"/>
        <v>0.5</v>
      </c>
      <c r="Z3805" s="2" t="s">
        <v>117</v>
      </c>
      <c r="AA3805" s="2" t="s">
        <v>190</v>
      </c>
      <c r="AB3805" s="2" t="s">
        <v>190</v>
      </c>
      <c r="AC3805" s="2" t="s">
        <v>40</v>
      </c>
      <c r="AF3805" s="2">
        <f t="shared" si="564"/>
        <v>0</v>
      </c>
      <c r="AG3805" s="2">
        <f t="shared" si="567"/>
        <v>27.5</v>
      </c>
      <c r="AJ3805" s="2">
        <f t="shared" si="565"/>
        <v>0</v>
      </c>
      <c r="AK3805" s="2">
        <f t="shared" si="563"/>
        <v>27.5</v>
      </c>
      <c r="AL3805" s="5">
        <f t="shared" si="570"/>
        <v>0.5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188</v>
      </c>
      <c r="R3806" s="2" t="s">
        <v>189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569"/>
        <v>0.59999999999999987</v>
      </c>
      <c r="Z3806" s="2" t="s">
        <v>117</v>
      </c>
      <c r="AA3806" s="2" t="s">
        <v>190</v>
      </c>
      <c r="AB3806" s="2" t="s">
        <v>189</v>
      </c>
      <c r="AC3806" s="2" t="s">
        <v>40</v>
      </c>
      <c r="AF3806" s="2">
        <f t="shared" si="564"/>
        <v>0</v>
      </c>
      <c r="AG3806" s="2">
        <f t="shared" si="567"/>
        <v>24.400000000000002</v>
      </c>
      <c r="AJ3806" s="2">
        <f t="shared" si="565"/>
        <v>0</v>
      </c>
      <c r="AK3806" s="2">
        <f t="shared" si="563"/>
        <v>36.599999999999994</v>
      </c>
      <c r="AL3806" s="5">
        <f t="shared" si="570"/>
        <v>0.59999999999999987</v>
      </c>
    </row>
    <row r="3807" spans="1:38" x14ac:dyDescent="0.2">
      <c r="A3807" s="2">
        <v>2026</v>
      </c>
      <c r="B3807" s="2">
        <v>4</v>
      </c>
      <c r="D3807" s="2" t="s">
        <v>2797</v>
      </c>
      <c r="E3807" s="2" t="s">
        <v>108</v>
      </c>
      <c r="F3807" s="2" t="s">
        <v>39</v>
      </c>
      <c r="G3807" s="2">
        <v>505556995</v>
      </c>
      <c r="H3807" s="2" t="s">
        <v>40</v>
      </c>
      <c r="I3807" s="2" t="s">
        <v>2798</v>
      </c>
      <c r="J3807" s="2" t="s">
        <v>2799</v>
      </c>
      <c r="L3807" s="2" t="s">
        <v>201</v>
      </c>
      <c r="M3807" s="2" t="s">
        <v>40</v>
      </c>
      <c r="O3807" s="2" t="s">
        <v>2800</v>
      </c>
      <c r="P3807" s="2" t="s">
        <v>187</v>
      </c>
      <c r="Q3807" s="2" t="s">
        <v>191</v>
      </c>
      <c r="R3807" s="2" t="s">
        <v>190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569"/>
        <v>0.5</v>
      </c>
      <c r="Z3807" s="2" t="s">
        <v>117</v>
      </c>
      <c r="AA3807" s="2" t="s">
        <v>190</v>
      </c>
      <c r="AB3807" s="2" t="s">
        <v>190</v>
      </c>
      <c r="AC3807" s="2" t="s">
        <v>40</v>
      </c>
      <c r="AF3807" s="2">
        <f t="shared" si="564"/>
        <v>0</v>
      </c>
      <c r="AG3807" s="2">
        <f t="shared" si="567"/>
        <v>27.5</v>
      </c>
      <c r="AJ3807" s="2">
        <f t="shared" si="565"/>
        <v>0</v>
      </c>
      <c r="AK3807" s="2">
        <f t="shared" si="563"/>
        <v>27.5</v>
      </c>
      <c r="AL3807" s="5">
        <f t="shared" si="570"/>
        <v>0.5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188</v>
      </c>
      <c r="R3808" s="2" t="s">
        <v>189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569"/>
        <v>0.60000000000000009</v>
      </c>
      <c r="Z3808" s="2" t="s">
        <v>117</v>
      </c>
      <c r="AA3808" s="2" t="s">
        <v>190</v>
      </c>
      <c r="AB3808" s="2" t="s">
        <v>189</v>
      </c>
      <c r="AC3808" s="2" t="s">
        <v>40</v>
      </c>
      <c r="AF3808" s="2">
        <f t="shared" si="564"/>
        <v>0</v>
      </c>
      <c r="AG3808" s="2">
        <f t="shared" si="567"/>
        <v>26.8</v>
      </c>
      <c r="AJ3808" s="2">
        <f t="shared" si="565"/>
        <v>0</v>
      </c>
      <c r="AK3808" s="2">
        <f t="shared" ref="AK3808:AK3825" si="571">T3808-W3808</f>
        <v>40.200000000000003</v>
      </c>
      <c r="AL3808" s="5">
        <f t="shared" si="570"/>
        <v>0.60000000000000009</v>
      </c>
    </row>
    <row r="3809" spans="1:38" x14ac:dyDescent="0.2">
      <c r="A3809" s="2">
        <v>2026</v>
      </c>
      <c r="B3809" s="2">
        <v>4</v>
      </c>
      <c r="D3809" s="2" t="s">
        <v>1124</v>
      </c>
      <c r="E3809" s="2" t="s">
        <v>108</v>
      </c>
      <c r="F3809" s="2" t="s">
        <v>39</v>
      </c>
      <c r="G3809" s="2">
        <v>515742279</v>
      </c>
      <c r="H3809" s="2" t="s">
        <v>41</v>
      </c>
      <c r="I3809" s="2" t="s">
        <v>2294</v>
      </c>
      <c r="J3809" s="2" t="s">
        <v>2295</v>
      </c>
      <c r="K3809" s="2">
        <v>965790183</v>
      </c>
      <c r="L3809" s="2" t="s">
        <v>177</v>
      </c>
      <c r="M3809" s="2" t="s">
        <v>40</v>
      </c>
      <c r="O3809" s="2" t="s">
        <v>2910</v>
      </c>
      <c r="P3809" s="2" t="s">
        <v>187</v>
      </c>
      <c r="Q3809" s="2" t="s">
        <v>191</v>
      </c>
      <c r="R3809" s="2" t="s">
        <v>190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569"/>
        <v>0.5</v>
      </c>
      <c r="Z3809" s="2" t="s">
        <v>117</v>
      </c>
      <c r="AA3809" s="2" t="s">
        <v>190</v>
      </c>
      <c r="AB3809" s="2" t="s">
        <v>190</v>
      </c>
      <c r="AC3809" s="2" t="s">
        <v>40</v>
      </c>
      <c r="AF3809" s="2">
        <f t="shared" si="564"/>
        <v>0</v>
      </c>
      <c r="AG3809" s="2">
        <f t="shared" si="567"/>
        <v>27.5</v>
      </c>
      <c r="AJ3809" s="2">
        <f t="shared" si="565"/>
        <v>0</v>
      </c>
      <c r="AK3809" s="2">
        <f t="shared" si="571"/>
        <v>27.5</v>
      </c>
      <c r="AL3809" s="5">
        <f t="shared" si="570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120</v>
      </c>
      <c r="U3810" s="2">
        <v>27.6</v>
      </c>
      <c r="V3810" s="2">
        <v>147.6</v>
      </c>
      <c r="W3810" s="2">
        <v>150</v>
      </c>
      <c r="X3810" s="5">
        <f t="shared" si="569"/>
        <v>-0.25</v>
      </c>
      <c r="Z3810" s="2" t="s">
        <v>169</v>
      </c>
      <c r="AA3810" s="2" t="s">
        <v>169</v>
      </c>
      <c r="AF3810" s="2">
        <f t="shared" si="564"/>
        <v>0</v>
      </c>
      <c r="AJ3810" s="2">
        <f t="shared" si="565"/>
        <v>0</v>
      </c>
      <c r="AK3810" s="2">
        <f t="shared" si="571"/>
        <v>-30</v>
      </c>
      <c r="AL3810" s="5">
        <f t="shared" si="570"/>
        <v>-0.25</v>
      </c>
    </row>
    <row r="3811" spans="1:38" x14ac:dyDescent="0.2">
      <c r="A3811" s="2">
        <v>2026</v>
      </c>
      <c r="B3811" s="2">
        <v>4</v>
      </c>
      <c r="D3811" s="2" t="s">
        <v>391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392</v>
      </c>
      <c r="J3811" s="2" t="s">
        <v>393</v>
      </c>
      <c r="L3811" s="2" t="s">
        <v>99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569"/>
        <v>-0.2</v>
      </c>
      <c r="Z3811" s="2" t="s">
        <v>169</v>
      </c>
      <c r="AA3811" s="2" t="s">
        <v>169</v>
      </c>
      <c r="AF3811" s="2">
        <f t="shared" si="564"/>
        <v>0</v>
      </c>
      <c r="AJ3811" s="2">
        <f t="shared" si="565"/>
        <v>0</v>
      </c>
      <c r="AK3811" s="2">
        <f t="shared" si="571"/>
        <v>-1</v>
      </c>
      <c r="AL3811" s="5">
        <f t="shared" si="570"/>
        <v>-0.2</v>
      </c>
    </row>
    <row r="3812" spans="1:38" x14ac:dyDescent="0.2">
      <c r="A3812" s="2">
        <v>2026</v>
      </c>
      <c r="B3812" s="2">
        <v>4</v>
      </c>
      <c r="C3812" s="2" t="s">
        <v>3450</v>
      </c>
      <c r="D3812" s="2" t="s">
        <v>2049</v>
      </c>
      <c r="E3812" s="2" t="s">
        <v>108</v>
      </c>
      <c r="F3812" s="2" t="s">
        <v>39</v>
      </c>
      <c r="G3812" s="2">
        <v>514960337</v>
      </c>
      <c r="H3812" s="2" t="s">
        <v>290</v>
      </c>
      <c r="I3812" s="2" t="s">
        <v>2779</v>
      </c>
      <c r="J3812" s="2" t="s">
        <v>2820</v>
      </c>
      <c r="K3812" s="2">
        <v>914732950</v>
      </c>
      <c r="L3812" s="2" t="s">
        <v>480</v>
      </c>
      <c r="M3812" s="2" t="s">
        <v>40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5</v>
      </c>
      <c r="U3812" s="2">
        <v>1.1499999999999999</v>
      </c>
      <c r="V3812" s="2">
        <v>6.15</v>
      </c>
      <c r="W3812" s="2">
        <v>6</v>
      </c>
      <c r="X3812" s="5">
        <f t="shared" si="569"/>
        <v>-0.2</v>
      </c>
      <c r="Z3812" s="2" t="s">
        <v>169</v>
      </c>
      <c r="AA3812" s="2" t="s">
        <v>169</v>
      </c>
      <c r="AF3812" s="2">
        <f t="shared" si="564"/>
        <v>0</v>
      </c>
      <c r="AJ3812" s="2">
        <f t="shared" si="565"/>
        <v>0</v>
      </c>
      <c r="AK3812" s="2">
        <f t="shared" si="571"/>
        <v>-1</v>
      </c>
      <c r="AL3812" s="5">
        <f t="shared" si="570"/>
        <v>-0.2</v>
      </c>
    </row>
    <row r="3813" spans="1:38" x14ac:dyDescent="0.2">
      <c r="A3813" s="2">
        <v>2026</v>
      </c>
      <c r="B3813" s="2">
        <v>4</v>
      </c>
      <c r="D3813" s="2" t="s">
        <v>2526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569"/>
        <v>0.23333333333333334</v>
      </c>
      <c r="Z3813" s="2" t="s">
        <v>169</v>
      </c>
      <c r="AA3813" s="2" t="s">
        <v>169</v>
      </c>
      <c r="AF3813" s="2">
        <f t="shared" si="564"/>
        <v>0</v>
      </c>
      <c r="AJ3813" s="2">
        <f t="shared" si="565"/>
        <v>0</v>
      </c>
      <c r="AK3813" s="2">
        <f t="shared" si="571"/>
        <v>7</v>
      </c>
      <c r="AL3813" s="5">
        <f t="shared" si="570"/>
        <v>0.23333333333333334</v>
      </c>
    </row>
    <row r="3814" spans="1:38" x14ac:dyDescent="0.2">
      <c r="A3814" s="2">
        <v>2026</v>
      </c>
      <c r="B3814" s="2">
        <v>4</v>
      </c>
      <c r="D3814" s="2" t="s">
        <v>568</v>
      </c>
      <c r="E3814" s="2" t="s">
        <v>38</v>
      </c>
      <c r="F3814" s="2" t="s">
        <v>39</v>
      </c>
      <c r="G3814" s="2">
        <v>506267547</v>
      </c>
      <c r="H3814" s="2" t="s">
        <v>290</v>
      </c>
      <c r="I3814" s="2" t="s">
        <v>569</v>
      </c>
      <c r="J3814" s="2" t="s">
        <v>570</v>
      </c>
      <c r="K3814" s="2">
        <v>917821904</v>
      </c>
      <c r="L3814" s="2" t="s">
        <v>571</v>
      </c>
      <c r="M3814" s="2" t="s">
        <v>290</v>
      </c>
      <c r="O3814" s="2" t="s">
        <v>2867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8</v>
      </c>
      <c r="U3814" s="2">
        <v>1.84</v>
      </c>
      <c r="V3814" s="2">
        <v>9.84</v>
      </c>
      <c r="W3814" s="2">
        <v>6</v>
      </c>
      <c r="X3814" s="5">
        <f t="shared" si="569"/>
        <v>0.25</v>
      </c>
      <c r="Z3814" s="2" t="s">
        <v>169</v>
      </c>
      <c r="AA3814" s="2" t="s">
        <v>169</v>
      </c>
      <c r="AF3814" s="2">
        <f t="shared" si="564"/>
        <v>0</v>
      </c>
      <c r="AJ3814" s="2">
        <f t="shared" si="565"/>
        <v>0</v>
      </c>
      <c r="AK3814" s="2">
        <f t="shared" si="571"/>
        <v>2</v>
      </c>
      <c r="AL3814" s="5">
        <f t="shared" si="570"/>
        <v>0.25</v>
      </c>
    </row>
    <row r="3815" spans="1:38" x14ac:dyDescent="0.2">
      <c r="A3815" s="2">
        <v>2026</v>
      </c>
      <c r="B3815" s="2">
        <v>4</v>
      </c>
      <c r="D3815" s="2" t="s">
        <v>2559</v>
      </c>
      <c r="M3815" s="2" t="s">
        <v>80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15</v>
      </c>
      <c r="U3815" s="2">
        <v>3.45</v>
      </c>
      <c r="V3815" s="2">
        <v>18.45</v>
      </c>
      <c r="W3815" s="2">
        <v>23</v>
      </c>
      <c r="X3815" s="5">
        <f t="shared" si="569"/>
        <v>-0.53333333333333333</v>
      </c>
      <c r="Z3815" s="2" t="s">
        <v>169</v>
      </c>
      <c r="AA3815" s="2" t="s">
        <v>169</v>
      </c>
      <c r="AF3815" s="2">
        <f t="shared" si="564"/>
        <v>0</v>
      </c>
      <c r="AJ3815" s="2">
        <f t="shared" si="565"/>
        <v>0</v>
      </c>
      <c r="AK3815" s="2">
        <f t="shared" si="571"/>
        <v>-8</v>
      </c>
      <c r="AL3815" s="5">
        <f t="shared" si="570"/>
        <v>-0.53333333333333333</v>
      </c>
    </row>
    <row r="3816" spans="1:38" x14ac:dyDescent="0.2">
      <c r="A3816" s="2">
        <v>2026</v>
      </c>
      <c r="B3816" s="2">
        <v>4</v>
      </c>
      <c r="D3816" s="2" t="s">
        <v>1295</v>
      </c>
      <c r="E3816" s="2" t="s">
        <v>183</v>
      </c>
      <c r="F3816" s="2" t="s">
        <v>366</v>
      </c>
      <c r="G3816" s="2">
        <v>500625654</v>
      </c>
      <c r="H3816" s="2" t="s">
        <v>290</v>
      </c>
      <c r="I3816" s="2" t="s">
        <v>339</v>
      </c>
      <c r="J3816" s="2" t="s">
        <v>1296</v>
      </c>
      <c r="L3816" s="2" t="s">
        <v>339</v>
      </c>
      <c r="M3816" s="2" t="s">
        <v>80</v>
      </c>
      <c r="O3816" s="2" t="s">
        <v>2888</v>
      </c>
      <c r="P3816" s="2" t="s">
        <v>169</v>
      </c>
      <c r="Q3816" s="2" t="s">
        <v>170</v>
      </c>
      <c r="R3816" s="2" t="s">
        <v>170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569"/>
        <v>0.23333333333333334</v>
      </c>
      <c r="Z3816" s="2" t="s">
        <v>169</v>
      </c>
      <c r="AA3816" s="2" t="s">
        <v>169</v>
      </c>
      <c r="AF3816" s="2">
        <f t="shared" si="564"/>
        <v>0</v>
      </c>
      <c r="AG3816" s="2">
        <v>23</v>
      </c>
      <c r="AJ3816" s="2">
        <f t="shared" si="565"/>
        <v>0</v>
      </c>
      <c r="AK3816" s="2">
        <f t="shared" si="571"/>
        <v>7</v>
      </c>
      <c r="AL3816" s="5">
        <f t="shared" si="570"/>
        <v>0.23333333333333334</v>
      </c>
    </row>
    <row r="3817" spans="1:38" x14ac:dyDescent="0.2">
      <c r="A3817" s="2">
        <v>2026</v>
      </c>
      <c r="B3817" s="2">
        <v>4</v>
      </c>
      <c r="C3817" s="2" t="s">
        <v>3468</v>
      </c>
      <c r="D3817" s="2" t="s">
        <v>941</v>
      </c>
      <c r="E3817" s="2" t="s">
        <v>38</v>
      </c>
      <c r="F3817" s="2" t="s">
        <v>39</v>
      </c>
      <c r="L3817" s="2" t="s">
        <v>177</v>
      </c>
      <c r="M3817" s="2" t="s">
        <v>40</v>
      </c>
      <c r="P3817" s="2" t="s">
        <v>40</v>
      </c>
      <c r="Q3817" s="2" t="s">
        <v>140</v>
      </c>
      <c r="R3817" s="2" t="s">
        <v>141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119</v>
      </c>
      <c r="AA3817" s="2" t="s">
        <v>142</v>
      </c>
      <c r="AF3817" s="2">
        <f t="shared" si="564"/>
        <v>0</v>
      </c>
      <c r="AJ3817" s="2">
        <f t="shared" si="565"/>
        <v>0</v>
      </c>
      <c r="AK3817" s="2">
        <f t="shared" si="571"/>
        <v>-231.07</v>
      </c>
      <c r="AL3817" s="5">
        <f t="shared" si="570"/>
        <v>1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80</v>
      </c>
      <c r="O3818" s="2" t="s">
        <v>2882</v>
      </c>
      <c r="P3818" s="2" t="s">
        <v>93</v>
      </c>
      <c r="Q3818" s="2" t="s">
        <v>94</v>
      </c>
      <c r="R3818" s="2" t="s">
        <v>95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ref="X3818:X3825" si="572">(T3818-W3818)/T3818</f>
        <v>2.000401846171453E-16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564"/>
        <v>0</v>
      </c>
      <c r="AJ3818" s="2">
        <f t="shared" si="565"/>
        <v>0</v>
      </c>
      <c r="AK3818" s="2">
        <f t="shared" si="571"/>
        <v>0</v>
      </c>
      <c r="AL3818" s="5">
        <f t="shared" si="570"/>
        <v>2.000401846171453E-16</v>
      </c>
    </row>
    <row r="3819" spans="1:38" x14ac:dyDescent="0.2">
      <c r="A3819" s="2">
        <v>2026</v>
      </c>
      <c r="B3819" s="2">
        <v>4</v>
      </c>
      <c r="D3819" s="2" t="s">
        <v>936</v>
      </c>
      <c r="E3819" s="2" t="s">
        <v>38</v>
      </c>
      <c r="F3819" s="2" t="s">
        <v>39</v>
      </c>
      <c r="G3819" s="2">
        <v>508868726</v>
      </c>
      <c r="H3819" s="2" t="s">
        <v>290</v>
      </c>
      <c r="I3819" s="2" t="s">
        <v>937</v>
      </c>
      <c r="J3819" s="2" t="s">
        <v>938</v>
      </c>
      <c r="K3819" s="2">
        <v>964771057</v>
      </c>
      <c r="L3819" s="2" t="s">
        <v>339</v>
      </c>
      <c r="M3819" s="2" t="s">
        <v>80</v>
      </c>
      <c r="O3819" s="2" t="s">
        <v>2883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572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564"/>
        <v>0</v>
      </c>
      <c r="AG3819" s="2">
        <v>1.48</v>
      </c>
      <c r="AH3819" s="2">
        <v>1.48</v>
      </c>
      <c r="AJ3819" s="2">
        <f t="shared" si="565"/>
        <v>0</v>
      </c>
      <c r="AK3819" s="2">
        <f t="shared" si="571"/>
        <v>0</v>
      </c>
      <c r="AL3819" s="5">
        <f t="shared" si="570"/>
        <v>0</v>
      </c>
    </row>
    <row r="3820" spans="1:38" x14ac:dyDescent="0.2">
      <c r="A3820" s="2">
        <v>2026</v>
      </c>
      <c r="B3820" s="2">
        <v>4</v>
      </c>
      <c r="C3820" s="2" t="s">
        <v>3468</v>
      </c>
      <c r="D3820" s="2" t="s">
        <v>198</v>
      </c>
      <c r="E3820" s="2" t="s">
        <v>108</v>
      </c>
      <c r="F3820" s="2" t="s">
        <v>39</v>
      </c>
      <c r="G3820" s="2">
        <v>507541120</v>
      </c>
      <c r="H3820" s="2" t="s">
        <v>40</v>
      </c>
      <c r="I3820" s="2" t="s">
        <v>199</v>
      </c>
      <c r="J3820" s="2" t="s">
        <v>200</v>
      </c>
      <c r="L3820" s="2" t="s">
        <v>201</v>
      </c>
      <c r="M3820" s="2" t="s">
        <v>41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572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564"/>
        <v>0</v>
      </c>
      <c r="AJ3820" s="2">
        <f t="shared" si="565"/>
        <v>0</v>
      </c>
      <c r="AK3820" s="2">
        <f t="shared" si="571"/>
        <v>0</v>
      </c>
      <c r="AL3820" s="5">
        <f t="shared" si="570"/>
        <v>0</v>
      </c>
    </row>
    <row r="3821" spans="1:38" x14ac:dyDescent="0.2">
      <c r="A3821" s="2">
        <v>2026</v>
      </c>
      <c r="B3821" s="2">
        <v>4</v>
      </c>
      <c r="D3821" s="2" t="s">
        <v>960</v>
      </c>
      <c r="M3821" s="2" t="s">
        <v>80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572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564"/>
        <v>0</v>
      </c>
      <c r="AJ3821" s="2">
        <f t="shared" si="565"/>
        <v>0</v>
      </c>
      <c r="AK3821" s="2">
        <f t="shared" si="571"/>
        <v>0</v>
      </c>
      <c r="AL3821" s="5">
        <f t="shared" si="570"/>
        <v>0</v>
      </c>
    </row>
    <row r="3822" spans="1:38" x14ac:dyDescent="0.2">
      <c r="A3822" s="2">
        <v>2026</v>
      </c>
      <c r="B3822" s="2">
        <v>4</v>
      </c>
      <c r="D3822" s="2" t="s">
        <v>319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99</v>
      </c>
      <c r="J3822" s="2" t="s">
        <v>320</v>
      </c>
      <c r="L3822" s="2" t="s">
        <v>99</v>
      </c>
      <c r="M3822" s="2" t="s">
        <v>80</v>
      </c>
      <c r="O3822" s="2" t="s">
        <v>2885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572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564"/>
        <v>0</v>
      </c>
      <c r="AJ3822" s="2">
        <f t="shared" si="565"/>
        <v>0</v>
      </c>
      <c r="AK3822" s="2">
        <f t="shared" si="571"/>
        <v>0</v>
      </c>
      <c r="AL3822" s="5">
        <f t="shared" si="570"/>
        <v>0</v>
      </c>
    </row>
    <row r="3823" spans="1:38" x14ac:dyDescent="0.2">
      <c r="A3823" s="2">
        <v>2026</v>
      </c>
      <c r="B3823" s="2">
        <v>4</v>
      </c>
      <c r="D3823" s="2" t="s">
        <v>731</v>
      </c>
      <c r="E3823" s="2" t="s">
        <v>108</v>
      </c>
      <c r="G3823" s="2">
        <v>502757396</v>
      </c>
      <c r="H3823" s="2" t="s">
        <v>40</v>
      </c>
      <c r="I3823" s="2" t="s">
        <v>99</v>
      </c>
      <c r="J3823" s="2" t="s">
        <v>732</v>
      </c>
      <c r="L3823" s="2" t="s">
        <v>99</v>
      </c>
      <c r="M3823" s="2" t="s">
        <v>80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572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564"/>
        <v>0</v>
      </c>
      <c r="AG3823" s="2">
        <v>1.48</v>
      </c>
      <c r="AH3823" s="2">
        <v>1.48</v>
      </c>
      <c r="AJ3823" s="2">
        <f t="shared" si="565"/>
        <v>0</v>
      </c>
      <c r="AK3823" s="2">
        <f t="shared" si="571"/>
        <v>0</v>
      </c>
      <c r="AL3823" s="5">
        <f t="shared" si="570"/>
        <v>0</v>
      </c>
    </row>
    <row r="3824" spans="1:38" x14ac:dyDescent="0.2">
      <c r="A3824" s="2">
        <v>2026</v>
      </c>
      <c r="B3824" s="2">
        <v>4</v>
      </c>
      <c r="D3824" s="2" t="s">
        <v>2877</v>
      </c>
      <c r="M3824" s="2" t="s">
        <v>41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572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564"/>
        <v>0</v>
      </c>
      <c r="AJ3824" s="2">
        <f t="shared" si="565"/>
        <v>0</v>
      </c>
      <c r="AK3824" s="2">
        <f t="shared" si="571"/>
        <v>0</v>
      </c>
      <c r="AL3824" s="5">
        <f t="shared" si="570"/>
        <v>0</v>
      </c>
    </row>
    <row r="3825" spans="1:38" x14ac:dyDescent="0.2">
      <c r="A3825" s="2">
        <v>2026</v>
      </c>
      <c r="B3825" s="2">
        <v>4</v>
      </c>
      <c r="D3825" s="2" t="s">
        <v>769</v>
      </c>
      <c r="E3825" s="2" t="s">
        <v>108</v>
      </c>
      <c r="F3825" s="2" t="s">
        <v>376</v>
      </c>
      <c r="G3825" s="2">
        <v>505926768</v>
      </c>
      <c r="H3825" s="2" t="s">
        <v>290</v>
      </c>
      <c r="I3825" s="2" t="s">
        <v>770</v>
      </c>
      <c r="J3825" s="2" t="s">
        <v>771</v>
      </c>
      <c r="L3825" s="2" t="s">
        <v>339</v>
      </c>
      <c r="M3825" s="2" t="s">
        <v>80</v>
      </c>
      <c r="O3825" s="2" t="s">
        <v>2895</v>
      </c>
      <c r="P3825" s="2" t="s">
        <v>93</v>
      </c>
      <c r="Q3825" s="2" t="s">
        <v>94</v>
      </c>
      <c r="R3825" s="2" t="s">
        <v>95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572"/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564"/>
        <v>0</v>
      </c>
      <c r="AG3825" s="2">
        <v>1.48</v>
      </c>
      <c r="AH3825" s="2">
        <v>1.48</v>
      </c>
      <c r="AJ3825" s="2">
        <f t="shared" si="565"/>
        <v>0</v>
      </c>
      <c r="AK3825" s="2">
        <f t="shared" si="571"/>
        <v>0</v>
      </c>
      <c r="AL3825" s="5">
        <f t="shared" si="570"/>
        <v>0</v>
      </c>
    </row>
    <row r="3826" spans="1:38" x14ac:dyDescent="0.2">
      <c r="A3826" s="2">
        <v>2026</v>
      </c>
      <c r="B3826" s="2">
        <v>4</v>
      </c>
      <c r="D3826" s="2" t="s">
        <v>428</v>
      </c>
      <c r="E3826" s="2" t="s">
        <v>38</v>
      </c>
      <c r="G3826" s="2">
        <v>500820384</v>
      </c>
      <c r="H3826" s="2" t="s">
        <v>40</v>
      </c>
      <c r="I3826" s="2" t="s">
        <v>429</v>
      </c>
      <c r="J3826" s="2" t="s">
        <v>430</v>
      </c>
      <c r="L3826" s="2" t="s">
        <v>99</v>
      </c>
      <c r="M3826" s="2" t="s">
        <v>80</v>
      </c>
      <c r="O3826" s="2" t="s">
        <v>2873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564"/>
        <v>0</v>
      </c>
      <c r="AJ3826" s="2">
        <f t="shared" si="565"/>
        <v>0</v>
      </c>
      <c r="AK3826" s="2">
        <f>T3826+(W3826)</f>
        <v>0</v>
      </c>
      <c r="AL3826" s="18">
        <f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1553</v>
      </c>
      <c r="E3827" s="2" t="s">
        <v>108</v>
      </c>
      <c r="F3827" s="2" t="s">
        <v>717</v>
      </c>
      <c r="G3827" s="2">
        <v>500975914</v>
      </c>
      <c r="H3827" s="2" t="s">
        <v>41</v>
      </c>
      <c r="I3827" s="2" t="s">
        <v>1554</v>
      </c>
      <c r="J3827" s="2" t="s">
        <v>1555</v>
      </c>
      <c r="L3827" s="2" t="s">
        <v>177</v>
      </c>
      <c r="M3827" s="2" t="s">
        <v>41</v>
      </c>
      <c r="P3827" s="2" t="s">
        <v>93</v>
      </c>
      <c r="Q3827" s="2" t="s">
        <v>94</v>
      </c>
      <c r="R3827" s="2" t="s">
        <v>95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>SIGN(T3827)*((ABS(T3827)-W3827)/ABS(T3827))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564"/>
        <v>0</v>
      </c>
      <c r="AJ3827" s="2">
        <f t="shared" si="565"/>
        <v>0</v>
      </c>
      <c r="AK3827" s="2">
        <f>T3827+(W3827)</f>
        <v>0</v>
      </c>
      <c r="AL3827" s="18">
        <f>SIGN(T3827)*((ABS(T3827)-W3827)/ABS(T3827))</f>
        <v>0</v>
      </c>
    </row>
    <row r="3828" spans="1:38" x14ac:dyDescent="0.2">
      <c r="A3828" s="2">
        <v>2026</v>
      </c>
      <c r="B3828" s="2">
        <v>4</v>
      </c>
      <c r="D3828" s="2" t="s">
        <v>2880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573">(T3828-W3828)/T3828</f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564"/>
        <v>0</v>
      </c>
      <c r="AJ3828" s="2">
        <f t="shared" si="565"/>
        <v>0</v>
      </c>
      <c r="AK3828" s="2">
        <f t="shared" ref="AK3828:AK3859" si="574">T3828-W3828</f>
        <v>0</v>
      </c>
      <c r="AL3828" s="5">
        <f t="shared" ref="AL3828:AL3844" si="575">(T3828-W3828)/T3828</f>
        <v>0</v>
      </c>
    </row>
    <row r="3829" spans="1:38" x14ac:dyDescent="0.2">
      <c r="A3829" s="2">
        <v>2026</v>
      </c>
      <c r="B3829" s="2">
        <v>4</v>
      </c>
      <c r="D3829" s="2" t="s">
        <v>436</v>
      </c>
      <c r="E3829" s="2" t="s">
        <v>108</v>
      </c>
      <c r="F3829" s="2" t="s">
        <v>376</v>
      </c>
      <c r="G3829" s="2">
        <v>509350631</v>
      </c>
      <c r="H3829" s="2" t="s">
        <v>290</v>
      </c>
      <c r="I3829" s="2" t="s">
        <v>437</v>
      </c>
      <c r="J3829" s="2" t="s">
        <v>438</v>
      </c>
      <c r="L3829" s="2" t="s">
        <v>339</v>
      </c>
      <c r="M3829" s="2" t="s">
        <v>80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573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564"/>
        <v>0</v>
      </c>
      <c r="AG3829" s="2">
        <v>1.48</v>
      </c>
      <c r="AH3829" s="2">
        <v>1.48</v>
      </c>
      <c r="AJ3829" s="2">
        <f t="shared" si="565"/>
        <v>0</v>
      </c>
      <c r="AK3829" s="2">
        <f t="shared" si="574"/>
        <v>0</v>
      </c>
      <c r="AL3829" s="5">
        <f t="shared" si="575"/>
        <v>0</v>
      </c>
    </row>
    <row r="3830" spans="1:38" x14ac:dyDescent="0.2">
      <c r="A3830" s="2">
        <v>2026</v>
      </c>
      <c r="B3830" s="2">
        <v>4</v>
      </c>
      <c r="C3830" s="2" t="s">
        <v>3445</v>
      </c>
      <c r="D3830" s="2" t="s">
        <v>476</v>
      </c>
      <c r="E3830" s="2" t="s">
        <v>108</v>
      </c>
      <c r="F3830" s="2" t="s">
        <v>477</v>
      </c>
      <c r="G3830" s="2">
        <v>500864365</v>
      </c>
      <c r="H3830" s="2" t="s">
        <v>41</v>
      </c>
      <c r="I3830" s="2" t="s">
        <v>478</v>
      </c>
      <c r="J3830" s="2" t="s">
        <v>479</v>
      </c>
      <c r="L3830" s="2" t="s">
        <v>480</v>
      </c>
      <c r="M3830" s="2" t="s">
        <v>41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573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564"/>
        <v>0</v>
      </c>
      <c r="AJ3830" s="2">
        <f t="shared" si="565"/>
        <v>0</v>
      </c>
      <c r="AK3830" s="2">
        <f t="shared" si="574"/>
        <v>0</v>
      </c>
      <c r="AL3830" s="5">
        <f t="shared" si="575"/>
        <v>0</v>
      </c>
    </row>
    <row r="3831" spans="1:38" x14ac:dyDescent="0.2">
      <c r="A3831" s="2">
        <v>2026</v>
      </c>
      <c r="B3831" s="2">
        <v>4</v>
      </c>
      <c r="D3831" s="2" t="s">
        <v>1256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573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564"/>
        <v>0</v>
      </c>
      <c r="AJ3831" s="2">
        <f t="shared" si="565"/>
        <v>0</v>
      </c>
      <c r="AK3831" s="2">
        <f t="shared" si="574"/>
        <v>0</v>
      </c>
      <c r="AL3831" s="5">
        <f t="shared" si="575"/>
        <v>0</v>
      </c>
    </row>
    <row r="3832" spans="1:38" x14ac:dyDescent="0.2">
      <c r="A3832" s="2">
        <v>2026</v>
      </c>
      <c r="B3832" s="2">
        <v>4</v>
      </c>
      <c r="D3832" s="2" t="s">
        <v>542</v>
      </c>
      <c r="E3832" s="2" t="s">
        <v>108</v>
      </c>
      <c r="F3832" s="2" t="s">
        <v>39</v>
      </c>
      <c r="G3832" s="2">
        <v>506411206</v>
      </c>
      <c r="H3832" s="2" t="s">
        <v>41</v>
      </c>
      <c r="I3832" s="2" t="s">
        <v>543</v>
      </c>
      <c r="J3832" s="2" t="s">
        <v>544</v>
      </c>
      <c r="L3832" s="2" t="s">
        <v>201</v>
      </c>
      <c r="M3832" s="2" t="s">
        <v>41</v>
      </c>
      <c r="O3832" s="2" t="s">
        <v>2884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573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564"/>
        <v>0</v>
      </c>
      <c r="AG3832" s="2">
        <v>1.48</v>
      </c>
      <c r="AH3832" s="2">
        <v>1.48</v>
      </c>
      <c r="AJ3832" s="2">
        <f t="shared" si="565"/>
        <v>0</v>
      </c>
      <c r="AK3832" s="2">
        <f t="shared" si="574"/>
        <v>0</v>
      </c>
      <c r="AL3832" s="5">
        <f t="shared" si="575"/>
        <v>0</v>
      </c>
    </row>
    <row r="3833" spans="1:38" x14ac:dyDescent="0.2">
      <c r="A3833" s="2">
        <v>2026</v>
      </c>
      <c r="B3833" s="2">
        <v>4</v>
      </c>
      <c r="D3833" s="2" t="s">
        <v>2526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573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564"/>
        <v>0</v>
      </c>
      <c r="AJ3833" s="2">
        <f t="shared" si="565"/>
        <v>0</v>
      </c>
      <c r="AK3833" s="2">
        <f t="shared" si="574"/>
        <v>0</v>
      </c>
      <c r="AL3833" s="5">
        <f t="shared" si="575"/>
        <v>0</v>
      </c>
    </row>
    <row r="3834" spans="1:38" x14ac:dyDescent="0.2">
      <c r="A3834" s="2">
        <v>2026</v>
      </c>
      <c r="B3834" s="2">
        <v>4</v>
      </c>
      <c r="D3834" s="2" t="s">
        <v>1419</v>
      </c>
      <c r="E3834" s="2" t="s">
        <v>108</v>
      </c>
      <c r="F3834" s="2" t="s">
        <v>39</v>
      </c>
      <c r="G3834" s="2">
        <v>513795855</v>
      </c>
      <c r="H3834" s="2" t="s">
        <v>41</v>
      </c>
      <c r="I3834" s="2" t="s">
        <v>1272</v>
      </c>
      <c r="J3834" s="2" t="s">
        <v>2394</v>
      </c>
      <c r="L3834" s="2" t="s">
        <v>177</v>
      </c>
      <c r="M3834" s="2" t="s">
        <v>41</v>
      </c>
      <c r="P3834" s="2" t="s">
        <v>93</v>
      </c>
      <c r="Q3834" s="2" t="s">
        <v>94</v>
      </c>
      <c r="R3834" s="2" t="s">
        <v>95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573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564"/>
        <v>0</v>
      </c>
      <c r="AJ3834" s="2">
        <f t="shared" si="565"/>
        <v>0</v>
      </c>
      <c r="AK3834" s="2">
        <f t="shared" si="574"/>
        <v>0</v>
      </c>
      <c r="AL3834" s="5">
        <f t="shared" si="575"/>
        <v>0</v>
      </c>
    </row>
    <row r="3835" spans="1:38" x14ac:dyDescent="0.2">
      <c r="A3835" s="2">
        <v>2026</v>
      </c>
      <c r="B3835" s="2">
        <v>4</v>
      </c>
      <c r="D3835" s="2" t="s">
        <v>549</v>
      </c>
      <c r="E3835" s="2" t="s">
        <v>108</v>
      </c>
      <c r="F3835" s="2" t="s">
        <v>395</v>
      </c>
      <c r="G3835" s="2">
        <v>503641790</v>
      </c>
      <c r="H3835" s="2" t="s">
        <v>40</v>
      </c>
      <c r="I3835" s="2" t="s">
        <v>550</v>
      </c>
      <c r="J3835" s="2" t="s">
        <v>551</v>
      </c>
      <c r="K3835" s="2">
        <v>917753665</v>
      </c>
      <c r="L3835" s="2" t="s">
        <v>99</v>
      </c>
      <c r="M3835" s="2" t="s">
        <v>80</v>
      </c>
      <c r="O3835" s="2" t="s">
        <v>2876</v>
      </c>
      <c r="P3835" s="2" t="s">
        <v>93</v>
      </c>
      <c r="Q3835" s="2" t="s">
        <v>94</v>
      </c>
      <c r="R3835" s="2" t="s">
        <v>95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573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564"/>
        <v>0</v>
      </c>
      <c r="AG3835" s="2">
        <v>1.48</v>
      </c>
      <c r="AH3835" s="2">
        <v>1.48</v>
      </c>
      <c r="AJ3835" s="2">
        <f t="shared" si="565"/>
        <v>0</v>
      </c>
      <c r="AK3835" s="2">
        <f t="shared" si="574"/>
        <v>0</v>
      </c>
      <c r="AL3835" s="5">
        <f t="shared" si="575"/>
        <v>0</v>
      </c>
    </row>
    <row r="3836" spans="1:38" x14ac:dyDescent="0.2">
      <c r="A3836" s="2">
        <v>2026</v>
      </c>
      <c r="B3836" s="2">
        <v>4</v>
      </c>
      <c r="D3836" s="2" t="s">
        <v>894</v>
      </c>
      <c r="P3836" s="2" t="s">
        <v>93</v>
      </c>
      <c r="Q3836" s="2" t="s">
        <v>94</v>
      </c>
      <c r="R3836" s="2" t="s">
        <v>95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573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564"/>
        <v>0</v>
      </c>
      <c r="AJ3836" s="2">
        <f t="shared" si="565"/>
        <v>0</v>
      </c>
      <c r="AK3836" s="2">
        <f t="shared" si="574"/>
        <v>0</v>
      </c>
      <c r="AL3836" s="5">
        <f t="shared" si="575"/>
        <v>0</v>
      </c>
    </row>
    <row r="3837" spans="1:38" x14ac:dyDescent="0.2">
      <c r="A3837" s="2">
        <v>2026</v>
      </c>
      <c r="B3837" s="2">
        <v>4</v>
      </c>
      <c r="D3837" s="2" t="s">
        <v>2559</v>
      </c>
      <c r="M3837" s="2" t="s">
        <v>80</v>
      </c>
      <c r="P3837" s="2" t="s">
        <v>93</v>
      </c>
      <c r="Q3837" s="2" t="s">
        <v>94</v>
      </c>
      <c r="R3837" s="2" t="s">
        <v>95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573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564"/>
        <v>0</v>
      </c>
      <c r="AJ3837" s="2">
        <f t="shared" si="565"/>
        <v>0</v>
      </c>
      <c r="AK3837" s="2">
        <f t="shared" si="574"/>
        <v>0</v>
      </c>
      <c r="AL3837" s="5">
        <f t="shared" si="575"/>
        <v>0</v>
      </c>
    </row>
    <row r="3838" spans="1:38" x14ac:dyDescent="0.2">
      <c r="A3838" s="2">
        <v>2026</v>
      </c>
      <c r="B3838" s="2">
        <v>4</v>
      </c>
      <c r="D3838" s="2" t="s">
        <v>1295</v>
      </c>
      <c r="E3838" s="2" t="s">
        <v>183</v>
      </c>
      <c r="F3838" s="2" t="s">
        <v>366</v>
      </c>
      <c r="G3838" s="2">
        <v>500625654</v>
      </c>
      <c r="H3838" s="2" t="s">
        <v>290</v>
      </c>
      <c r="I3838" s="2" t="s">
        <v>339</v>
      </c>
      <c r="J3838" s="2" t="s">
        <v>1296</v>
      </c>
      <c r="L3838" s="2" t="s">
        <v>339</v>
      </c>
      <c r="M3838" s="2" t="s">
        <v>80</v>
      </c>
      <c r="O3838" s="2" t="s">
        <v>2911</v>
      </c>
      <c r="P3838" s="2" t="s">
        <v>93</v>
      </c>
      <c r="Q3838" s="2" t="s">
        <v>94</v>
      </c>
      <c r="R3838" s="2" t="s">
        <v>95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573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564"/>
        <v>0</v>
      </c>
      <c r="AG3838" s="2">
        <v>1.48</v>
      </c>
      <c r="AH3838" s="2">
        <v>1.48</v>
      </c>
      <c r="AJ3838" s="2">
        <f t="shared" si="565"/>
        <v>0</v>
      </c>
      <c r="AK3838" s="2">
        <f t="shared" si="574"/>
        <v>0</v>
      </c>
      <c r="AL3838" s="5">
        <f t="shared" si="575"/>
        <v>0</v>
      </c>
    </row>
    <row r="3839" spans="1:38" x14ac:dyDescent="0.2">
      <c r="A3839" s="2">
        <v>2026</v>
      </c>
      <c r="B3839" s="2">
        <v>4</v>
      </c>
      <c r="D3839" s="2" t="s">
        <v>1955</v>
      </c>
      <c r="P3839" s="2" t="s">
        <v>93</v>
      </c>
      <c r="Q3839" s="2" t="s">
        <v>94</v>
      </c>
      <c r="R3839" s="2" t="s">
        <v>95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573"/>
        <v>0</v>
      </c>
      <c r="Z3839" s="2" t="s">
        <v>3226</v>
      </c>
      <c r="AA3839" s="2" t="s">
        <v>96</v>
      </c>
      <c r="AB3839" s="2" t="s">
        <v>76</v>
      </c>
      <c r="AC3839" s="2" t="s">
        <v>93</v>
      </c>
      <c r="AF3839" s="2">
        <f t="shared" si="564"/>
        <v>0</v>
      </c>
      <c r="AJ3839" s="2">
        <f t="shared" si="565"/>
        <v>0</v>
      </c>
      <c r="AK3839" s="2">
        <f t="shared" si="574"/>
        <v>0</v>
      </c>
      <c r="AL3839" s="5">
        <f t="shared" si="575"/>
        <v>0</v>
      </c>
    </row>
    <row r="3840" spans="1:38" x14ac:dyDescent="0.2">
      <c r="A3840" s="2">
        <v>2026</v>
      </c>
      <c r="B3840" s="2">
        <v>4</v>
      </c>
      <c r="D3840" s="2" t="s">
        <v>549</v>
      </c>
      <c r="E3840" s="2" t="s">
        <v>108</v>
      </c>
      <c r="F3840" s="2" t="s">
        <v>395</v>
      </c>
      <c r="G3840" s="2">
        <v>503641790</v>
      </c>
      <c r="H3840" s="2" t="s">
        <v>40</v>
      </c>
      <c r="I3840" s="2" t="s">
        <v>550</v>
      </c>
      <c r="J3840" s="2" t="s">
        <v>551</v>
      </c>
      <c r="K3840" s="2">
        <v>917753665</v>
      </c>
      <c r="L3840" s="2" t="s">
        <v>99</v>
      </c>
      <c r="M3840" s="2" t="s">
        <v>40</v>
      </c>
      <c r="O3840" s="2" t="s">
        <v>2903</v>
      </c>
      <c r="P3840" s="2" t="s">
        <v>114</v>
      </c>
      <c r="Q3840" s="2" t="s">
        <v>408</v>
      </c>
      <c r="R3840" s="2" t="s">
        <v>409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117</v>
      </c>
      <c r="AA3840" s="2" t="s">
        <v>317</v>
      </c>
      <c r="AF3840" s="2">
        <f t="shared" si="564"/>
        <v>0</v>
      </c>
      <c r="AJ3840" s="2">
        <f t="shared" si="565"/>
        <v>0</v>
      </c>
      <c r="AK3840" s="2">
        <f t="shared" si="574"/>
        <v>0</v>
      </c>
      <c r="AL3840" s="5" t="e">
        <f t="shared" si="575"/>
        <v>#DIV/0!</v>
      </c>
    </row>
    <row r="3841" spans="1:38" x14ac:dyDescent="0.2">
      <c r="A3841" s="2">
        <v>2026</v>
      </c>
      <c r="B3841" s="2">
        <v>4</v>
      </c>
      <c r="D3841" s="2" t="s">
        <v>715</v>
      </c>
      <c r="E3841" s="2" t="s">
        <v>108</v>
      </c>
      <c r="F3841" s="2" t="s">
        <v>39</v>
      </c>
      <c r="L3841" s="2" t="s">
        <v>344</v>
      </c>
      <c r="P3841" s="2" t="s">
        <v>40</v>
      </c>
      <c r="Q3841" s="2" t="s">
        <v>363</v>
      </c>
      <c r="R3841" s="2" t="s">
        <v>364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119</v>
      </c>
      <c r="AA3841" s="2" t="s">
        <v>3379</v>
      </c>
      <c r="AF3841" s="2">
        <f t="shared" si="564"/>
        <v>0</v>
      </c>
      <c r="AJ3841" s="2">
        <f t="shared" si="565"/>
        <v>0</v>
      </c>
      <c r="AK3841" s="2">
        <f t="shared" si="574"/>
        <v>72.37</v>
      </c>
      <c r="AL3841" s="5">
        <f t="shared" si="575"/>
        <v>1</v>
      </c>
    </row>
    <row r="3842" spans="1:38" x14ac:dyDescent="0.2">
      <c r="A3842" s="2">
        <v>2026</v>
      </c>
      <c r="B3842" s="2">
        <v>4</v>
      </c>
      <c r="D3842" s="2" t="s">
        <v>382</v>
      </c>
      <c r="E3842" s="2" t="s">
        <v>38</v>
      </c>
      <c r="F3842" s="2" t="s">
        <v>39</v>
      </c>
      <c r="G3842" s="2">
        <v>212196260</v>
      </c>
      <c r="H3842" s="2" t="s">
        <v>109</v>
      </c>
      <c r="I3842" s="2" t="s">
        <v>383</v>
      </c>
      <c r="J3842" s="2" t="s">
        <v>384</v>
      </c>
      <c r="K3842" s="2">
        <v>926769894</v>
      </c>
      <c r="L3842" s="2" t="s">
        <v>112</v>
      </c>
      <c r="M3842" s="2" t="s">
        <v>109</v>
      </c>
      <c r="O3842" s="2" t="s">
        <v>2912</v>
      </c>
      <c r="P3842" s="2" t="s">
        <v>40</v>
      </c>
      <c r="Q3842" s="2" t="s">
        <v>363</v>
      </c>
      <c r="R3842" s="2" t="s">
        <v>364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3226</v>
      </c>
      <c r="AA3842" s="2" t="s">
        <v>119</v>
      </c>
      <c r="AF3842" s="2">
        <f t="shared" ref="AF3842:AF3905" si="576">AJ3842</f>
        <v>0</v>
      </c>
      <c r="AJ3842" s="2">
        <f t="shared" ref="AJ3842:AJ3905" si="577">AI3842*T3842</f>
        <v>0</v>
      </c>
      <c r="AK3842" s="2">
        <f t="shared" si="574"/>
        <v>286.36</v>
      </c>
      <c r="AL3842" s="5">
        <f t="shared" si="575"/>
        <v>1</v>
      </c>
    </row>
    <row r="3843" spans="1:38" x14ac:dyDescent="0.2">
      <c r="A3843" s="2">
        <v>2026</v>
      </c>
      <c r="B3843" s="2">
        <v>4</v>
      </c>
      <c r="D3843" s="2" t="s">
        <v>2908</v>
      </c>
      <c r="P3843" s="2" t="s">
        <v>40</v>
      </c>
      <c r="Q3843" s="2" t="s">
        <v>363</v>
      </c>
      <c r="R3843" s="2" t="s">
        <v>364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119</v>
      </c>
      <c r="AA3843" s="2" t="s">
        <v>3379</v>
      </c>
      <c r="AF3843" s="2">
        <f t="shared" si="576"/>
        <v>0</v>
      </c>
      <c r="AJ3843" s="2">
        <f t="shared" si="577"/>
        <v>0</v>
      </c>
      <c r="AK3843" s="2">
        <f t="shared" si="574"/>
        <v>75.25</v>
      </c>
      <c r="AL3843" s="5">
        <f t="shared" si="575"/>
        <v>1</v>
      </c>
    </row>
    <row r="3844" spans="1:38" x14ac:dyDescent="0.2">
      <c r="A3844" s="2">
        <v>2026</v>
      </c>
      <c r="B3844" s="2">
        <v>5</v>
      </c>
      <c r="C3844" s="2" t="s">
        <v>3369</v>
      </c>
      <c r="D3844" s="2" t="s">
        <v>37</v>
      </c>
      <c r="E3844" s="2" t="s">
        <v>38</v>
      </c>
      <c r="F3844" s="2" t="s">
        <v>39</v>
      </c>
      <c r="L3844" s="2" t="s">
        <v>133</v>
      </c>
      <c r="M3844" s="2" t="s">
        <v>80</v>
      </c>
      <c r="P3844" s="2" t="s">
        <v>152</v>
      </c>
      <c r="Q3844" s="2" t="s">
        <v>1940</v>
      </c>
      <c r="R3844" s="2" t="s">
        <v>1941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3226</v>
      </c>
      <c r="AA3844" s="2" t="s">
        <v>155</v>
      </c>
      <c r="AB3844" s="2" t="s">
        <v>1941</v>
      </c>
      <c r="AC3844" s="2" t="s">
        <v>152</v>
      </c>
      <c r="AF3844" s="2">
        <f t="shared" si="576"/>
        <v>0</v>
      </c>
      <c r="AJ3844" s="2">
        <f t="shared" si="577"/>
        <v>0</v>
      </c>
      <c r="AK3844" s="2">
        <f t="shared" si="574"/>
        <v>8.4</v>
      </c>
      <c r="AL3844" s="5">
        <f t="shared" si="575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48</v>
      </c>
      <c r="R3845" s="2" t="s">
        <v>49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18">
        <f>IF(T3845=0,IF(W3845&gt;0,-100%,0%),(T3845-W3845)/T3845)</f>
        <v>-1</v>
      </c>
      <c r="Z3845" s="2" t="s">
        <v>3226</v>
      </c>
      <c r="AA3845" s="2" t="s">
        <v>46</v>
      </c>
      <c r="AB3845" s="2" t="s">
        <v>47</v>
      </c>
      <c r="AC3845" s="2" t="s">
        <v>57</v>
      </c>
      <c r="AF3845" s="2">
        <f t="shared" si="576"/>
        <v>0</v>
      </c>
      <c r="AG3845" s="2">
        <v>6.6266999999999996</v>
      </c>
      <c r="AH3845" s="2">
        <v>12</v>
      </c>
      <c r="AJ3845" s="2">
        <f t="shared" si="577"/>
        <v>0</v>
      </c>
      <c r="AK3845" s="2">
        <f t="shared" si="574"/>
        <v>-6.6266999999999996</v>
      </c>
      <c r="AL3845" s="18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54</v>
      </c>
      <c r="R3846" s="2" t="s">
        <v>55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578">(T3846-W3846)/T3846</f>
        <v>0.24822695035460993</v>
      </c>
      <c r="Z3846" s="2" t="s">
        <v>3226</v>
      </c>
      <c r="AA3846" s="2" t="s">
        <v>46</v>
      </c>
      <c r="AB3846" s="2" t="s">
        <v>56</v>
      </c>
      <c r="AC3846" s="2" t="s">
        <v>57</v>
      </c>
      <c r="AF3846" s="2">
        <f t="shared" si="576"/>
        <v>0</v>
      </c>
      <c r="AG3846" s="2">
        <v>10.6</v>
      </c>
      <c r="AH3846" s="2">
        <v>18</v>
      </c>
      <c r="AJ3846" s="2">
        <f t="shared" si="577"/>
        <v>0</v>
      </c>
      <c r="AK3846" s="2">
        <f t="shared" si="574"/>
        <v>17.5</v>
      </c>
      <c r="AL3846" s="5">
        <f t="shared" ref="AL3846:AL3877" si="579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61</v>
      </c>
      <c r="R3847" s="2" t="s">
        <v>62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578"/>
        <v>0.30212765957446802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576"/>
        <v>0</v>
      </c>
      <c r="AG3847" s="2">
        <v>8.1999999999999993</v>
      </c>
      <c r="AH3847" s="2">
        <v>13</v>
      </c>
      <c r="AJ3847" s="2">
        <f t="shared" si="577"/>
        <v>0</v>
      </c>
      <c r="AK3847" s="2">
        <f t="shared" si="574"/>
        <v>14.199999999999996</v>
      </c>
      <c r="AL3847" s="5">
        <f t="shared" si="579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63</v>
      </c>
      <c r="R3848" s="2" t="s">
        <v>64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578"/>
        <v>0.5243888888888889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576"/>
        <v>0</v>
      </c>
      <c r="AG3848" s="2">
        <v>0.85609999999999997</v>
      </c>
      <c r="AH3848" s="2">
        <v>1.8</v>
      </c>
      <c r="AJ3848" s="2">
        <f t="shared" si="577"/>
        <v>0</v>
      </c>
      <c r="AK3848" s="2">
        <f t="shared" si="574"/>
        <v>18.878</v>
      </c>
      <c r="AL3848" s="5">
        <f t="shared" si="579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334</v>
      </c>
      <c r="R3849" s="2" t="s">
        <v>335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578"/>
        <v>0.62926666666666664</v>
      </c>
      <c r="Z3849" s="2" t="s">
        <v>3226</v>
      </c>
      <c r="AA3849" s="2" t="s">
        <v>46</v>
      </c>
      <c r="AB3849" s="2" t="s">
        <v>60</v>
      </c>
      <c r="AC3849" s="2" t="s">
        <v>57</v>
      </c>
      <c r="AF3849" s="2">
        <f t="shared" si="576"/>
        <v>0</v>
      </c>
      <c r="AG3849" s="2">
        <v>1.1122000000000001</v>
      </c>
      <c r="AH3849" s="2">
        <v>3</v>
      </c>
      <c r="AJ3849" s="2">
        <f t="shared" si="577"/>
        <v>0</v>
      </c>
      <c r="AK3849" s="2">
        <f t="shared" si="574"/>
        <v>32.092599999999997</v>
      </c>
      <c r="AL3849" s="5">
        <f t="shared" si="579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65</v>
      </c>
      <c r="R3850" s="2" t="s">
        <v>66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578"/>
        <v>0.35396559139784944</v>
      </c>
      <c r="Z3850" s="2" t="s">
        <v>3226</v>
      </c>
      <c r="AA3850" s="2" t="s">
        <v>46</v>
      </c>
      <c r="AB3850" s="2" t="s">
        <v>67</v>
      </c>
      <c r="AC3850" s="2" t="s">
        <v>57</v>
      </c>
      <c r="AF3850" s="2">
        <f t="shared" si="576"/>
        <v>0</v>
      </c>
      <c r="AG3850" s="2">
        <v>15.020300000000001</v>
      </c>
      <c r="AH3850" s="2">
        <v>27.6</v>
      </c>
      <c r="AJ3850" s="2">
        <f t="shared" si="577"/>
        <v>0</v>
      </c>
      <c r="AK3850" s="2">
        <f t="shared" si="574"/>
        <v>32.918799999999997</v>
      </c>
      <c r="AL3850" s="5">
        <f t="shared" si="579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2913</v>
      </c>
      <c r="P3851" s="2" t="s">
        <v>72</v>
      </c>
      <c r="Q3851" s="2" t="s">
        <v>912</v>
      </c>
      <c r="R3851" s="2" t="s">
        <v>74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578"/>
        <v>0.47936318238081005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576"/>
        <v>0</v>
      </c>
      <c r="AJ3851" s="2">
        <f t="shared" si="577"/>
        <v>0</v>
      </c>
      <c r="AK3851" s="2">
        <f t="shared" si="574"/>
        <v>112.30999999999999</v>
      </c>
      <c r="AL3851" s="5">
        <f t="shared" si="579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2914</v>
      </c>
      <c r="P3852" s="2" t="s">
        <v>72</v>
      </c>
      <c r="Q3852" s="2" t="s">
        <v>664</v>
      </c>
      <c r="R3852" s="2" t="s">
        <v>79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578"/>
        <v>0.46581160100729863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576"/>
        <v>0</v>
      </c>
      <c r="AJ3852" s="2">
        <f t="shared" si="577"/>
        <v>0</v>
      </c>
      <c r="AK3852" s="2">
        <f t="shared" si="574"/>
        <v>109.13499999999999</v>
      </c>
      <c r="AL3852" s="5">
        <f t="shared" si="579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80</v>
      </c>
      <c r="O3853" s="2" t="s">
        <v>2915</v>
      </c>
      <c r="P3853" s="2" t="s">
        <v>72</v>
      </c>
      <c r="Q3853" s="2" t="s">
        <v>1449</v>
      </c>
      <c r="R3853" s="2" t="s">
        <v>307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578"/>
        <v>0.12538571428571429</v>
      </c>
      <c r="Z3853" s="2" t="s">
        <v>3226</v>
      </c>
      <c r="AA3853" s="2" t="s">
        <v>75</v>
      </c>
      <c r="AB3853" s="2" t="s">
        <v>76</v>
      </c>
      <c r="AC3853" s="2" t="s">
        <v>77</v>
      </c>
      <c r="AF3853" s="2">
        <f t="shared" si="576"/>
        <v>0</v>
      </c>
      <c r="AG3853" s="2">
        <v>122.446</v>
      </c>
      <c r="AH3853" s="2">
        <v>230</v>
      </c>
      <c r="AJ3853" s="2">
        <f t="shared" si="577"/>
        <v>0</v>
      </c>
      <c r="AK3853" s="2">
        <f t="shared" si="574"/>
        <v>17.554000000000002</v>
      </c>
      <c r="AL3853" s="5">
        <f t="shared" si="579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1378</v>
      </c>
      <c r="Q3854" s="2" t="s">
        <v>2916</v>
      </c>
      <c r="R3854" s="2" t="s">
        <v>2917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578"/>
        <v>1</v>
      </c>
      <c r="Z3854" s="2" t="s">
        <v>3226</v>
      </c>
      <c r="AA3854" s="2" t="s">
        <v>1041</v>
      </c>
      <c r="AB3854" s="2" t="s">
        <v>1270</v>
      </c>
      <c r="AC3854" s="2" t="s">
        <v>1378</v>
      </c>
      <c r="AF3854" s="2">
        <f t="shared" si="576"/>
        <v>0</v>
      </c>
      <c r="AJ3854" s="2">
        <f t="shared" si="577"/>
        <v>0</v>
      </c>
      <c r="AK3854" s="2">
        <f t="shared" si="574"/>
        <v>479.67</v>
      </c>
      <c r="AL3854" s="5">
        <f t="shared" si="579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80</v>
      </c>
      <c r="O3855" s="2" t="s">
        <v>2918</v>
      </c>
      <c r="P3855" s="2" t="s">
        <v>93</v>
      </c>
      <c r="Q3855" s="2" t="s">
        <v>94</v>
      </c>
      <c r="R3855" s="2" t="s">
        <v>95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578"/>
        <v>2.000401846171453E-16</v>
      </c>
      <c r="Z3855" s="2" t="s">
        <v>3226</v>
      </c>
      <c r="AA3855" s="2" t="s">
        <v>96</v>
      </c>
      <c r="AB3855" s="2" t="s">
        <v>76</v>
      </c>
      <c r="AC3855" s="2" t="s">
        <v>93</v>
      </c>
      <c r="AF3855" s="2">
        <f t="shared" si="576"/>
        <v>0</v>
      </c>
      <c r="AJ3855" s="2">
        <f t="shared" si="577"/>
        <v>0</v>
      </c>
      <c r="AK3855" s="2">
        <f t="shared" si="574"/>
        <v>0</v>
      </c>
      <c r="AL3855" s="5">
        <f t="shared" si="579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2919</v>
      </c>
      <c r="R3856" s="2" t="s">
        <v>2920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578"/>
        <v>1</v>
      </c>
      <c r="Z3856" s="2" t="s">
        <v>119</v>
      </c>
      <c r="AA3856" s="2" t="s">
        <v>2921</v>
      </c>
      <c r="AF3856" s="2">
        <f t="shared" si="576"/>
        <v>0</v>
      </c>
      <c r="AJ3856" s="2">
        <f t="shared" si="577"/>
        <v>0</v>
      </c>
      <c r="AK3856" s="2">
        <f t="shared" si="574"/>
        <v>200</v>
      </c>
      <c r="AL3856" s="5">
        <f t="shared" si="579"/>
        <v>1</v>
      </c>
    </row>
    <row r="3857" spans="1:38" x14ac:dyDescent="0.2">
      <c r="A3857" s="2">
        <v>2026</v>
      </c>
      <c r="B3857" s="2">
        <v>5</v>
      </c>
      <c r="D3857" s="2" t="s">
        <v>1324</v>
      </c>
      <c r="P3857" s="2" t="s">
        <v>43</v>
      </c>
      <c r="Q3857" s="2" t="s">
        <v>54</v>
      </c>
      <c r="R3857" s="2" t="s">
        <v>55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578"/>
        <v>0.41111111111111115</v>
      </c>
      <c r="Z3857" s="2" t="s">
        <v>3226</v>
      </c>
      <c r="AA3857" s="2" t="s">
        <v>46</v>
      </c>
      <c r="AB3857" s="2" t="s">
        <v>56</v>
      </c>
      <c r="AC3857" s="2" t="s">
        <v>57</v>
      </c>
      <c r="AF3857" s="2">
        <f t="shared" si="576"/>
        <v>0</v>
      </c>
      <c r="AG3857" s="2">
        <v>10.6</v>
      </c>
      <c r="AH3857" s="2">
        <v>18</v>
      </c>
      <c r="AJ3857" s="2">
        <f t="shared" si="577"/>
        <v>0</v>
      </c>
      <c r="AK3857" s="2">
        <f t="shared" si="574"/>
        <v>14.8</v>
      </c>
      <c r="AL3857" s="5">
        <f t="shared" si="579"/>
        <v>0.41111111111111115</v>
      </c>
    </row>
    <row r="3858" spans="1:38" x14ac:dyDescent="0.2">
      <c r="A3858" s="2">
        <v>2026</v>
      </c>
      <c r="B3858" s="2">
        <v>5</v>
      </c>
      <c r="C3858" s="2" t="s">
        <v>3369</v>
      </c>
      <c r="D3858" s="2" t="s">
        <v>1324</v>
      </c>
      <c r="E3858" s="2" t="s">
        <v>38</v>
      </c>
      <c r="F3858" s="2" t="s">
        <v>39</v>
      </c>
      <c r="H3858" s="2" t="s">
        <v>41</v>
      </c>
      <c r="I3858" s="2" t="s">
        <v>3368</v>
      </c>
      <c r="L3858" s="2" t="s">
        <v>600</v>
      </c>
      <c r="M3858" s="2" t="s">
        <v>41</v>
      </c>
      <c r="P3858" s="2" t="s">
        <v>43</v>
      </c>
      <c r="Q3858" s="2" t="s">
        <v>250</v>
      </c>
      <c r="R3858" s="2" t="s">
        <v>251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578"/>
        <v>0.58173666666666668</v>
      </c>
      <c r="Z3858" s="2" t="s">
        <v>3226</v>
      </c>
      <c r="AA3858" s="2" t="s">
        <v>46</v>
      </c>
      <c r="AB3858" s="2" t="s">
        <v>90</v>
      </c>
      <c r="AC3858" s="2" t="s">
        <v>57</v>
      </c>
      <c r="AF3858" s="2">
        <f t="shared" si="576"/>
        <v>0</v>
      </c>
      <c r="AJ3858" s="2">
        <f t="shared" si="577"/>
        <v>0</v>
      </c>
      <c r="AK3858" s="2">
        <f t="shared" si="574"/>
        <v>34.904200000000003</v>
      </c>
      <c r="AL3858" s="5">
        <f t="shared" si="579"/>
        <v>0.58173666666666668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2124</v>
      </c>
      <c r="R3859" s="2" t="s">
        <v>2125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578"/>
        <v>0.39115929941618016</v>
      </c>
      <c r="Z3859" s="2" t="s">
        <v>3226</v>
      </c>
      <c r="AA3859" s="2" t="s">
        <v>71</v>
      </c>
      <c r="AB3859" s="2" t="s">
        <v>1600</v>
      </c>
      <c r="AC3859" s="2" t="s">
        <v>1600</v>
      </c>
      <c r="AF3859" s="2">
        <f t="shared" si="576"/>
        <v>0</v>
      </c>
      <c r="AG3859" s="2">
        <v>73</v>
      </c>
      <c r="AJ3859" s="2">
        <f t="shared" si="577"/>
        <v>0</v>
      </c>
      <c r="AK3859" s="2">
        <f t="shared" si="574"/>
        <v>46.900000000000006</v>
      </c>
      <c r="AL3859" s="5">
        <f t="shared" si="579"/>
        <v>0.39115929941618016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282</v>
      </c>
      <c r="Q3860" s="2" t="s">
        <v>798</v>
      </c>
      <c r="R3860" s="2" t="s">
        <v>799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578"/>
        <v>0.34958766583004658</v>
      </c>
      <c r="Z3860" s="2" t="s">
        <v>3226</v>
      </c>
      <c r="AA3860" s="2" t="s">
        <v>71</v>
      </c>
      <c r="AB3860" s="2" t="s">
        <v>119</v>
      </c>
      <c r="AC3860" s="2" t="s">
        <v>119</v>
      </c>
      <c r="AF3860" s="2">
        <f t="shared" si="576"/>
        <v>0</v>
      </c>
      <c r="AG3860" s="2">
        <v>18.14</v>
      </c>
      <c r="AJ3860" s="2">
        <f t="shared" si="577"/>
        <v>0</v>
      </c>
      <c r="AK3860" s="2">
        <f t="shared" ref="AK3860:AK3891" si="580">T3860-W3860</f>
        <v>9.75</v>
      </c>
      <c r="AL3860" s="5">
        <f t="shared" si="579"/>
        <v>0.34958766583004658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2923</v>
      </c>
      <c r="R3861" s="2" t="s">
        <v>269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578"/>
        <v>0.51574074074074072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576"/>
        <v>0</v>
      </c>
      <c r="AG3861" s="2">
        <v>5.23</v>
      </c>
      <c r="AH3861" s="2">
        <v>10.8</v>
      </c>
      <c r="AJ3861" s="2">
        <f t="shared" si="577"/>
        <v>0</v>
      </c>
      <c r="AK3861" s="2">
        <f t="shared" si="580"/>
        <v>5.57</v>
      </c>
      <c r="AL3861" s="5">
        <f t="shared" si="579"/>
        <v>0.51574074074074072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2924</v>
      </c>
      <c r="R3862" s="2" t="s">
        <v>2925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578"/>
        <v>0.73055555555555551</v>
      </c>
      <c r="Z3862" s="2" t="s">
        <v>3226</v>
      </c>
      <c r="AA3862" s="2" t="s">
        <v>46</v>
      </c>
      <c r="AB3862" s="2" t="s">
        <v>90</v>
      </c>
      <c r="AC3862" s="2" t="s">
        <v>57</v>
      </c>
      <c r="AF3862" s="2">
        <f t="shared" si="576"/>
        <v>0</v>
      </c>
      <c r="AG3862" s="2">
        <v>0.97</v>
      </c>
      <c r="AH3862" s="2">
        <v>6</v>
      </c>
      <c r="AJ3862" s="2">
        <f t="shared" si="577"/>
        <v>0</v>
      </c>
      <c r="AK3862" s="2">
        <f t="shared" si="580"/>
        <v>10.52</v>
      </c>
      <c r="AL3862" s="5">
        <f t="shared" si="579"/>
        <v>0.73055555555555551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232</v>
      </c>
      <c r="R3863" s="2" t="s">
        <v>233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578"/>
        <v>0.53121428571428575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576"/>
        <v>0</v>
      </c>
      <c r="AG3863" s="2">
        <v>5.9066999999999998</v>
      </c>
      <c r="AH3863" s="2">
        <v>12.6</v>
      </c>
      <c r="AJ3863" s="2">
        <f t="shared" si="577"/>
        <v>0</v>
      </c>
      <c r="AK3863" s="2">
        <f t="shared" si="580"/>
        <v>6.6932999999999998</v>
      </c>
      <c r="AL3863" s="5">
        <f t="shared" si="579"/>
        <v>0.53121428571428575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234</v>
      </c>
      <c r="R3864" s="2" t="s">
        <v>235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578"/>
        <v>0.49849305555555556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576"/>
        <v>0</v>
      </c>
      <c r="AG3864" s="2">
        <v>7.2217000000000002</v>
      </c>
      <c r="AH3864" s="2">
        <v>14.4</v>
      </c>
      <c r="AJ3864" s="2">
        <f t="shared" si="577"/>
        <v>0</v>
      </c>
      <c r="AK3864" s="2">
        <f t="shared" si="580"/>
        <v>7.1783000000000001</v>
      </c>
      <c r="AL3864" s="5">
        <f t="shared" si="579"/>
        <v>0.49849305555555556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236</v>
      </c>
      <c r="R3865" s="2" t="s">
        <v>237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W3865" s="2">
        <f>9.075*S3865</f>
        <v>9.0749999999999993</v>
      </c>
      <c r="X3865" s="5">
        <f t="shared" si="578"/>
        <v>0.47844827586206895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576"/>
        <v>0</v>
      </c>
      <c r="AJ3865" s="2">
        <f t="shared" si="577"/>
        <v>0</v>
      </c>
      <c r="AK3865" s="2">
        <f t="shared" si="580"/>
        <v>8.3249999999999993</v>
      </c>
      <c r="AL3865" s="5">
        <f t="shared" si="579"/>
        <v>0.47844827586206895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238</v>
      </c>
      <c r="R3866" s="2" t="s">
        <v>239</v>
      </c>
      <c r="S3866" s="2">
        <v>1</v>
      </c>
      <c r="T3866" s="2">
        <v>21</v>
      </c>
      <c r="U3866" s="2">
        <v>4.83</v>
      </c>
      <c r="V3866" s="2">
        <v>25.83</v>
      </c>
      <c r="W3866" s="2">
        <f>11.045*S3866</f>
        <v>11.045</v>
      </c>
      <c r="X3866" s="5">
        <f t="shared" si="578"/>
        <v>0.47404761904761905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576"/>
        <v>0</v>
      </c>
      <c r="AJ3866" s="2">
        <f t="shared" si="577"/>
        <v>0</v>
      </c>
      <c r="AK3866" s="2">
        <f t="shared" si="580"/>
        <v>9.9550000000000001</v>
      </c>
      <c r="AL3866" s="5">
        <f t="shared" si="579"/>
        <v>0.47404761904761905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240</v>
      </c>
      <c r="R3867" s="2" t="s">
        <v>241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W3867" s="2">
        <f>13.4067*S3867</f>
        <v>13.406700000000001</v>
      </c>
      <c r="X3867" s="5">
        <f t="shared" si="578"/>
        <v>0.4679880952380952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576"/>
        <v>0</v>
      </c>
      <c r="AJ3867" s="2">
        <f t="shared" si="577"/>
        <v>0</v>
      </c>
      <c r="AK3867" s="2">
        <f t="shared" si="580"/>
        <v>11.793299999999999</v>
      </c>
      <c r="AL3867" s="5">
        <f t="shared" si="579"/>
        <v>0.4679880952380952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242</v>
      </c>
      <c r="R3868" s="2" t="s">
        <v>243</v>
      </c>
      <c r="S3868" s="2">
        <v>1</v>
      </c>
      <c r="T3868" s="2">
        <v>30</v>
      </c>
      <c r="U3868" s="2">
        <v>6.9</v>
      </c>
      <c r="V3868" s="2">
        <v>36.9</v>
      </c>
      <c r="W3868" s="2">
        <f>16.2249*S3868</f>
        <v>16.224900000000002</v>
      </c>
      <c r="X3868" s="5">
        <f t="shared" si="578"/>
        <v>0.45916999999999997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576"/>
        <v>0</v>
      </c>
      <c r="AJ3868" s="2">
        <f t="shared" si="577"/>
        <v>0</v>
      </c>
      <c r="AK3868" s="2">
        <f t="shared" si="580"/>
        <v>13.775099999999998</v>
      </c>
      <c r="AL3868" s="5">
        <f t="shared" si="579"/>
        <v>0.45916999999999997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244</v>
      </c>
      <c r="R3869" s="2" t="s">
        <v>245</v>
      </c>
      <c r="S3869" s="2">
        <v>1</v>
      </c>
      <c r="T3869" s="2">
        <v>18</v>
      </c>
      <c r="U3869" s="2">
        <v>4.1400000000000006</v>
      </c>
      <c r="V3869" s="2">
        <v>22.14</v>
      </c>
      <c r="W3869" s="2">
        <f>9.2346*S3869</f>
        <v>9.2346000000000004</v>
      </c>
      <c r="X3869" s="5">
        <f t="shared" si="578"/>
        <v>0.48696666666666666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576"/>
        <v>0</v>
      </c>
      <c r="AJ3869" s="2">
        <f t="shared" si="577"/>
        <v>0</v>
      </c>
      <c r="AK3869" s="2">
        <f t="shared" si="580"/>
        <v>8.7653999999999996</v>
      </c>
      <c r="AL3869" s="5">
        <f t="shared" si="579"/>
        <v>0.48696666666666666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246</v>
      </c>
      <c r="R3870" s="2" t="s">
        <v>247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W3870" s="2">
        <f>10.5267*S3870</f>
        <v>10.5267</v>
      </c>
      <c r="X3870" s="5">
        <f t="shared" si="578"/>
        <v>0.46834848484848485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576"/>
        <v>0</v>
      </c>
      <c r="AJ3870" s="2">
        <f t="shared" si="577"/>
        <v>0</v>
      </c>
      <c r="AK3870" s="2">
        <f t="shared" si="580"/>
        <v>9.2733000000000008</v>
      </c>
      <c r="AL3870" s="5">
        <f t="shared" si="579"/>
        <v>0.46834848484848485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285</v>
      </c>
      <c r="R3871" s="2" t="s">
        <v>286</v>
      </c>
      <c r="S3871" s="2">
        <v>1</v>
      </c>
      <c r="T3871" s="2">
        <v>22.8</v>
      </c>
      <c r="U3871" s="2">
        <v>5.2440000000000007</v>
      </c>
      <c r="V3871" s="2">
        <v>28.044</v>
      </c>
      <c r="W3871" s="2">
        <f>12.2604*S3871</f>
        <v>12.260400000000001</v>
      </c>
      <c r="X3871" s="5">
        <f t="shared" si="578"/>
        <v>0.46226315789473682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576"/>
        <v>0</v>
      </c>
      <c r="AJ3871" s="2">
        <f t="shared" si="577"/>
        <v>0</v>
      </c>
      <c r="AK3871" s="2">
        <f t="shared" si="580"/>
        <v>10.5396</v>
      </c>
      <c r="AL3871" s="5">
        <f t="shared" si="579"/>
        <v>0.46226315789473682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248</v>
      </c>
      <c r="R3872" s="2" t="s">
        <v>249</v>
      </c>
      <c r="S3872" s="2">
        <v>1</v>
      </c>
      <c r="T3872" s="2">
        <v>24</v>
      </c>
      <c r="U3872" s="2">
        <v>5.52</v>
      </c>
      <c r="V3872" s="2">
        <v>29.52</v>
      </c>
      <c r="W3872" s="2">
        <f>12.71*S3872</f>
        <v>12.71</v>
      </c>
      <c r="X3872" s="5">
        <f t="shared" si="578"/>
        <v>0.47041666666666665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576"/>
        <v>0</v>
      </c>
      <c r="AJ3872" s="2">
        <f t="shared" si="577"/>
        <v>0</v>
      </c>
      <c r="AK3872" s="2">
        <f t="shared" si="580"/>
        <v>11.29</v>
      </c>
      <c r="AL3872" s="5">
        <f t="shared" si="579"/>
        <v>0.47041666666666665</v>
      </c>
    </row>
    <row r="3873" spans="1:38" x14ac:dyDescent="0.2">
      <c r="A3873" s="2">
        <v>2026</v>
      </c>
      <c r="B3873" s="2">
        <v>5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54</v>
      </c>
      <c r="R3873" s="2" t="s">
        <v>55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578"/>
        <v>0.26896551724137929</v>
      </c>
      <c r="Z3873" s="2" t="s">
        <v>3226</v>
      </c>
      <c r="AA3873" s="2" t="s">
        <v>46</v>
      </c>
      <c r="AB3873" s="2" t="s">
        <v>56</v>
      </c>
      <c r="AC3873" s="2" t="s">
        <v>57</v>
      </c>
      <c r="AF3873" s="2">
        <f t="shared" si="576"/>
        <v>0</v>
      </c>
      <c r="AG3873" s="2">
        <v>10.6</v>
      </c>
      <c r="AH3873" s="2">
        <v>18</v>
      </c>
      <c r="AJ3873" s="2">
        <f t="shared" si="577"/>
        <v>0</v>
      </c>
      <c r="AK3873" s="2">
        <f t="shared" si="580"/>
        <v>39</v>
      </c>
      <c r="AL3873" s="5">
        <f t="shared" si="579"/>
        <v>0.26896551724137929</v>
      </c>
    </row>
    <row r="3874" spans="1:38" x14ac:dyDescent="0.2">
      <c r="A3874" s="2">
        <v>2026</v>
      </c>
      <c r="B3874" s="2">
        <v>5</v>
      </c>
      <c r="C3874" s="2" t="s">
        <v>3371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250</v>
      </c>
      <c r="R3874" s="2" t="s">
        <v>251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578"/>
        <v>0.49808399999999997</v>
      </c>
      <c r="Z3874" s="2" t="s">
        <v>3226</v>
      </c>
      <c r="AA3874" s="2" t="s">
        <v>46</v>
      </c>
      <c r="AB3874" s="2" t="s">
        <v>90</v>
      </c>
      <c r="AC3874" s="2" t="s">
        <v>57</v>
      </c>
      <c r="AF3874" s="2">
        <f t="shared" si="576"/>
        <v>0</v>
      </c>
      <c r="AG3874" s="2">
        <v>25.094999999999999</v>
      </c>
      <c r="AH3874" s="2">
        <v>66</v>
      </c>
      <c r="AJ3874" s="2">
        <f t="shared" si="577"/>
        <v>0</v>
      </c>
      <c r="AK3874" s="2">
        <f t="shared" si="580"/>
        <v>24.904199999999999</v>
      </c>
      <c r="AL3874" s="5">
        <f t="shared" si="579"/>
        <v>0.49808399999999997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58</v>
      </c>
      <c r="R3875" s="2" t="s">
        <v>59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578"/>
        <v>0.29692307692307701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576"/>
        <v>0</v>
      </c>
      <c r="AG3875" s="2">
        <v>9.14</v>
      </c>
      <c r="AH3875" s="2">
        <v>16</v>
      </c>
      <c r="AJ3875" s="2">
        <f t="shared" si="577"/>
        <v>0</v>
      </c>
      <c r="AK3875" s="2">
        <f t="shared" si="580"/>
        <v>3.8600000000000012</v>
      </c>
      <c r="AL3875" s="5">
        <f t="shared" si="579"/>
        <v>0.29692307692307701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61</v>
      </c>
      <c r="R3876" s="2" t="s">
        <v>62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578"/>
        <v>0.36923076923076914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576"/>
        <v>0</v>
      </c>
      <c r="AG3876" s="2">
        <v>8.1999999999999993</v>
      </c>
      <c r="AH3876" s="2">
        <v>13</v>
      </c>
      <c r="AJ3876" s="2">
        <f t="shared" si="577"/>
        <v>0</v>
      </c>
      <c r="AK3876" s="2">
        <f t="shared" si="580"/>
        <v>19.199999999999996</v>
      </c>
      <c r="AL3876" s="5">
        <f t="shared" si="579"/>
        <v>0.36923076923076914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254</v>
      </c>
      <c r="R3877" s="2" t="s">
        <v>255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578"/>
        <v>0.29692307692307701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576"/>
        <v>0</v>
      </c>
      <c r="AJ3877" s="2">
        <f t="shared" si="577"/>
        <v>0</v>
      </c>
      <c r="AK3877" s="2">
        <f t="shared" si="580"/>
        <v>3.8600000000000012</v>
      </c>
      <c r="AL3877" s="5">
        <f t="shared" si="579"/>
        <v>0.29692307692307701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63</v>
      </c>
      <c r="R3878" s="2" t="s">
        <v>64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581">(T3878-W3878)/T3878</f>
        <v>0.5243888888888889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576"/>
        <v>0</v>
      </c>
      <c r="AG3878" s="2">
        <v>0.85609999999999997</v>
      </c>
      <c r="AH3878" s="2">
        <v>1.8</v>
      </c>
      <c r="AJ3878" s="2">
        <f t="shared" si="577"/>
        <v>0</v>
      </c>
      <c r="AK3878" s="2">
        <f t="shared" si="580"/>
        <v>7.5512000000000006</v>
      </c>
      <c r="AL3878" s="5">
        <f t="shared" ref="AL3878:AL3914" si="582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334</v>
      </c>
      <c r="R3879" s="2" t="s">
        <v>335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581"/>
        <v>0.62926666666666664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576"/>
        <v>0</v>
      </c>
      <c r="AG3879" s="2">
        <v>1.1122000000000001</v>
      </c>
      <c r="AH3879" s="2">
        <v>3</v>
      </c>
      <c r="AJ3879" s="2">
        <f t="shared" si="577"/>
        <v>0</v>
      </c>
      <c r="AK3879" s="2">
        <f t="shared" si="580"/>
        <v>15.102399999999999</v>
      </c>
      <c r="AL3879" s="5">
        <f t="shared" si="582"/>
        <v>0.62926666666666664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579</v>
      </c>
      <c r="R3880" s="2" t="s">
        <v>580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581"/>
        <v>0.5295333333333333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576"/>
        <v>0</v>
      </c>
      <c r="AG3880" s="2">
        <v>1.4114</v>
      </c>
      <c r="AH3880" s="2">
        <v>3</v>
      </c>
      <c r="AJ3880" s="2">
        <f t="shared" si="577"/>
        <v>0</v>
      </c>
      <c r="AK3880" s="2">
        <f t="shared" si="580"/>
        <v>6.3544</v>
      </c>
      <c r="AL3880" s="5">
        <f t="shared" si="582"/>
        <v>0.5295333333333333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505</v>
      </c>
      <c r="R3881" s="2" t="s">
        <v>506</v>
      </c>
      <c r="S3881" s="2">
        <v>10</v>
      </c>
      <c r="T3881" s="2">
        <v>12</v>
      </c>
      <c r="U3881" s="2">
        <v>2.76</v>
      </c>
      <c r="V3881" s="2">
        <v>14.76</v>
      </c>
      <c r="W3881" s="2">
        <f>0.677*S3881</f>
        <v>6.7700000000000005</v>
      </c>
      <c r="X3881" s="5">
        <f t="shared" si="581"/>
        <v>0.43583333333333329</v>
      </c>
      <c r="Z3881" s="2" t="s">
        <v>3226</v>
      </c>
      <c r="AA3881" s="2" t="s">
        <v>46</v>
      </c>
      <c r="AB3881" s="2" t="s">
        <v>60</v>
      </c>
      <c r="AC3881" s="2" t="s">
        <v>57</v>
      </c>
      <c r="AF3881" s="2">
        <f t="shared" si="576"/>
        <v>0</v>
      </c>
      <c r="AJ3881" s="2">
        <f t="shared" si="577"/>
        <v>0</v>
      </c>
      <c r="AK3881" s="2">
        <f t="shared" si="580"/>
        <v>5.2299999999999995</v>
      </c>
      <c r="AL3881" s="5">
        <f t="shared" si="582"/>
        <v>0.43583333333333329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65</v>
      </c>
      <c r="R3882" s="2" t="s">
        <v>66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581"/>
        <v>0.34694347826086952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576"/>
        <v>0</v>
      </c>
      <c r="AG3882" s="2">
        <v>15.020300000000001</v>
      </c>
      <c r="AH3882" s="2">
        <v>27.6</v>
      </c>
      <c r="AJ3882" s="2">
        <f t="shared" si="577"/>
        <v>0</v>
      </c>
      <c r="AK3882" s="2">
        <f t="shared" si="580"/>
        <v>7.9796999999999993</v>
      </c>
      <c r="AL3882" s="5">
        <f t="shared" si="582"/>
        <v>0.34694347826086952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43</v>
      </c>
      <c r="Q3883" s="2" t="s">
        <v>260</v>
      </c>
      <c r="R3883" s="2" t="s">
        <v>261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581"/>
        <v>0.36042307692307685</v>
      </c>
      <c r="Z3883" s="2" t="s">
        <v>3226</v>
      </c>
      <c r="AA3883" s="2" t="s">
        <v>46</v>
      </c>
      <c r="AB3883" s="2" t="s">
        <v>67</v>
      </c>
      <c r="AC3883" s="2" t="s">
        <v>57</v>
      </c>
      <c r="AF3883" s="2">
        <f t="shared" si="576"/>
        <v>0</v>
      </c>
      <c r="AG3883" s="2">
        <v>8.3145000000000007</v>
      </c>
      <c r="AH3883" s="2">
        <v>15</v>
      </c>
      <c r="AJ3883" s="2">
        <f t="shared" si="577"/>
        <v>0</v>
      </c>
      <c r="AK3883" s="2">
        <f t="shared" si="580"/>
        <v>4.6854999999999993</v>
      </c>
      <c r="AL3883" s="5">
        <f t="shared" si="582"/>
        <v>0.36042307692307685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84</v>
      </c>
      <c r="Q3884" s="2" t="s">
        <v>1211</v>
      </c>
      <c r="R3884" s="2" t="s">
        <v>1212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581"/>
        <v>1</v>
      </c>
      <c r="Z3884" s="2" t="s">
        <v>3226</v>
      </c>
      <c r="AA3884" s="2" t="s">
        <v>87</v>
      </c>
      <c r="AB3884" s="2" t="s">
        <v>90</v>
      </c>
      <c r="AC3884" s="2" t="s">
        <v>84</v>
      </c>
      <c r="AF3884" s="2">
        <f t="shared" si="576"/>
        <v>0</v>
      </c>
      <c r="AJ3884" s="2">
        <f t="shared" si="577"/>
        <v>0</v>
      </c>
      <c r="AK3884" s="2">
        <f t="shared" si="580"/>
        <v>13.2</v>
      </c>
      <c r="AL3884" s="5">
        <f t="shared" si="582"/>
        <v>1</v>
      </c>
    </row>
    <row r="3885" spans="1:38" x14ac:dyDescent="0.2">
      <c r="A3885" s="2">
        <v>2026</v>
      </c>
      <c r="B3885" s="2">
        <v>5</v>
      </c>
      <c r="D3885" s="2" t="s">
        <v>1145</v>
      </c>
      <c r="E3885" s="2" t="s">
        <v>108</v>
      </c>
      <c r="F3885" s="2" t="s">
        <v>39</v>
      </c>
      <c r="G3885" s="2">
        <v>518312798</v>
      </c>
      <c r="H3885" s="2" t="s">
        <v>41</v>
      </c>
      <c r="I3885" s="2" t="s">
        <v>1146</v>
      </c>
      <c r="J3885" s="2" t="s">
        <v>1147</v>
      </c>
      <c r="L3885" s="2" t="s">
        <v>133</v>
      </c>
      <c r="M3885" s="2" t="s">
        <v>41</v>
      </c>
      <c r="O3885" s="2" t="s">
        <v>2922</v>
      </c>
      <c r="P3885" s="2" t="s">
        <v>2897</v>
      </c>
      <c r="Q3885" s="2" t="s">
        <v>2926</v>
      </c>
      <c r="R3885" s="2" t="s">
        <v>2927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581"/>
        <v>0.15454545454545454</v>
      </c>
      <c r="Z3885" s="2" t="s">
        <v>3226</v>
      </c>
      <c r="AA3885" s="2" t="s">
        <v>71</v>
      </c>
      <c r="AB3885" s="2" t="s">
        <v>2897</v>
      </c>
      <c r="AC3885" s="2" t="s">
        <v>2897</v>
      </c>
      <c r="AF3885" s="2">
        <f t="shared" si="576"/>
        <v>0</v>
      </c>
      <c r="AG3885" s="2">
        <v>139.5</v>
      </c>
      <c r="AJ3885" s="2">
        <f t="shared" si="577"/>
        <v>0</v>
      </c>
      <c r="AK3885" s="2">
        <f t="shared" si="580"/>
        <v>25.5</v>
      </c>
      <c r="AL3885" s="5">
        <f t="shared" si="582"/>
        <v>0.15454545454545454</v>
      </c>
    </row>
    <row r="3886" spans="1:38" x14ac:dyDescent="0.2">
      <c r="A3886" s="2">
        <v>2026</v>
      </c>
      <c r="B3886" s="2">
        <v>5</v>
      </c>
      <c r="D3886" s="2" t="s">
        <v>689</v>
      </c>
      <c r="E3886" s="2" t="s">
        <v>108</v>
      </c>
      <c r="F3886" s="2" t="s">
        <v>39</v>
      </c>
      <c r="G3886" s="2">
        <v>503589950</v>
      </c>
      <c r="H3886" s="2" t="s">
        <v>41</v>
      </c>
      <c r="I3886" s="2" t="s">
        <v>610</v>
      </c>
      <c r="J3886" s="2" t="s">
        <v>690</v>
      </c>
      <c r="K3886" s="2">
        <v>913036545</v>
      </c>
      <c r="L3886" s="2" t="s">
        <v>177</v>
      </c>
      <c r="M3886" s="2" t="s">
        <v>41</v>
      </c>
      <c r="O3886" s="2" t="s">
        <v>2928</v>
      </c>
      <c r="P3886" s="2" t="s">
        <v>43</v>
      </c>
      <c r="Q3886" s="2" t="s">
        <v>160</v>
      </c>
      <c r="R3886" s="2" t="s">
        <v>161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581"/>
        <v>0.58491111111111116</v>
      </c>
      <c r="Z3886" s="2" t="s">
        <v>3226</v>
      </c>
      <c r="AA3886" s="2" t="s">
        <v>46</v>
      </c>
      <c r="AB3886" s="2" t="s">
        <v>47</v>
      </c>
      <c r="AC3886" s="2" t="s">
        <v>57</v>
      </c>
      <c r="AF3886" s="2">
        <f t="shared" si="576"/>
        <v>0</v>
      </c>
      <c r="AG3886" s="2">
        <v>3.7357999999999998</v>
      </c>
      <c r="AH3886" s="2">
        <v>9</v>
      </c>
      <c r="AJ3886" s="2">
        <f t="shared" si="577"/>
        <v>0</v>
      </c>
      <c r="AK3886" s="2">
        <f t="shared" si="580"/>
        <v>21.056800000000003</v>
      </c>
      <c r="AL3886" s="5">
        <f t="shared" si="582"/>
        <v>0.58491111111111116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61</v>
      </c>
      <c r="R3887" s="2" t="s">
        <v>62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581"/>
        <v>0.36923076923076914</v>
      </c>
      <c r="Z3887" s="2" t="s">
        <v>3226</v>
      </c>
      <c r="AA3887" s="2" t="s">
        <v>46</v>
      </c>
      <c r="AB3887" s="2" t="s">
        <v>60</v>
      </c>
      <c r="AC3887" s="2" t="s">
        <v>57</v>
      </c>
      <c r="AF3887" s="2">
        <f t="shared" si="576"/>
        <v>0</v>
      </c>
      <c r="AG3887" s="2">
        <v>8.1999999999999993</v>
      </c>
      <c r="AH3887" s="2">
        <v>13</v>
      </c>
      <c r="AJ3887" s="2">
        <f t="shared" si="577"/>
        <v>0</v>
      </c>
      <c r="AK3887" s="2">
        <f t="shared" si="580"/>
        <v>4.7999999999999989</v>
      </c>
      <c r="AL3887" s="5">
        <f t="shared" si="582"/>
        <v>0.36923076923076914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43</v>
      </c>
      <c r="Q3888" s="2" t="s">
        <v>65</v>
      </c>
      <c r="R3888" s="2" t="s">
        <v>66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581"/>
        <v>0.34694347826086952</v>
      </c>
      <c r="Z3888" s="2" t="s">
        <v>3226</v>
      </c>
      <c r="AA3888" s="2" t="s">
        <v>46</v>
      </c>
      <c r="AB3888" s="2" t="s">
        <v>67</v>
      </c>
      <c r="AC3888" s="2" t="s">
        <v>57</v>
      </c>
      <c r="AF3888" s="2">
        <f t="shared" si="576"/>
        <v>0</v>
      </c>
      <c r="AG3888" s="2">
        <v>15.020300000000001</v>
      </c>
      <c r="AH3888" s="2">
        <v>27.6</v>
      </c>
      <c r="AJ3888" s="2">
        <f t="shared" si="577"/>
        <v>0</v>
      </c>
      <c r="AK3888" s="2">
        <f t="shared" si="580"/>
        <v>7.9796999999999993</v>
      </c>
      <c r="AL3888" s="5">
        <f t="shared" si="582"/>
        <v>0.34694347826086952</v>
      </c>
    </row>
    <row r="3889" spans="1:38" x14ac:dyDescent="0.2">
      <c r="A3889" s="2">
        <v>2026</v>
      </c>
      <c r="B3889" s="2">
        <v>5</v>
      </c>
      <c r="D3889" s="2" t="s">
        <v>311</v>
      </c>
      <c r="E3889" s="2" t="s">
        <v>2446</v>
      </c>
      <c r="F3889" s="2" t="s">
        <v>39</v>
      </c>
      <c r="G3889" s="2">
        <v>505814030</v>
      </c>
      <c r="H3889" s="2" t="s">
        <v>290</v>
      </c>
      <c r="I3889" s="2" t="s">
        <v>2447</v>
      </c>
      <c r="J3889" s="2" t="s">
        <v>2448</v>
      </c>
      <c r="L3889" s="2" t="s">
        <v>339</v>
      </c>
      <c r="M3889" s="2" t="s">
        <v>80</v>
      </c>
      <c r="O3889" s="2" t="s">
        <v>2929</v>
      </c>
      <c r="P3889" s="2" t="s">
        <v>169</v>
      </c>
      <c r="Q3889" s="2" t="s">
        <v>170</v>
      </c>
      <c r="R3889" s="2" t="s">
        <v>170</v>
      </c>
      <c r="S3889" s="2">
        <v>1</v>
      </c>
      <c r="T3889" s="2">
        <v>5</v>
      </c>
      <c r="U3889" s="2">
        <v>1.1499999999999999</v>
      </c>
      <c r="V3889" s="2">
        <v>6.15</v>
      </c>
      <c r="W3889" s="2">
        <v>6</v>
      </c>
      <c r="X3889" s="5">
        <f t="shared" si="581"/>
        <v>-0.2</v>
      </c>
      <c r="Z3889" s="2" t="s">
        <v>169</v>
      </c>
      <c r="AA3889" s="2" t="s">
        <v>169</v>
      </c>
      <c r="AF3889" s="2">
        <f t="shared" si="576"/>
        <v>0</v>
      </c>
      <c r="AJ3889" s="2">
        <f t="shared" si="577"/>
        <v>0</v>
      </c>
      <c r="AK3889" s="2">
        <f t="shared" si="580"/>
        <v>-1</v>
      </c>
      <c r="AL3889" s="5">
        <f t="shared" si="582"/>
        <v>-0.2</v>
      </c>
    </row>
    <row r="3890" spans="1:38" x14ac:dyDescent="0.2">
      <c r="A3890" s="2">
        <v>2026</v>
      </c>
      <c r="B3890" s="2">
        <v>5</v>
      </c>
      <c r="C3890" s="2" t="s">
        <v>3371</v>
      </c>
      <c r="D3890" s="2" t="s">
        <v>302</v>
      </c>
      <c r="E3890" s="2" t="s">
        <v>98</v>
      </c>
      <c r="F3890" s="2" t="s">
        <v>39</v>
      </c>
      <c r="L3890" s="2" t="s">
        <v>339</v>
      </c>
      <c r="M3890" s="2" t="s">
        <v>40</v>
      </c>
      <c r="P3890" s="2" t="s">
        <v>3229</v>
      </c>
      <c r="Q3890" s="2" t="s">
        <v>1786</v>
      </c>
      <c r="R3890" s="2" t="s">
        <v>1787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f>1036.96*S3890</f>
        <v>2073.92</v>
      </c>
      <c r="X3890" s="5">
        <f t="shared" si="581"/>
        <v>0.44294386247649742</v>
      </c>
      <c r="Z3890" s="2" t="s">
        <v>104</v>
      </c>
      <c r="AA3890" s="2" t="s">
        <v>105</v>
      </c>
      <c r="AB3890" s="2" t="s">
        <v>106</v>
      </c>
      <c r="AC3890" s="2" t="s">
        <v>3229</v>
      </c>
      <c r="AF3890" s="2">
        <f t="shared" si="576"/>
        <v>0</v>
      </c>
      <c r="AJ3890" s="2">
        <f t="shared" si="577"/>
        <v>0</v>
      </c>
      <c r="AK3890" s="2">
        <f t="shared" si="580"/>
        <v>1649.08</v>
      </c>
      <c r="AL3890" s="5">
        <f t="shared" si="582"/>
        <v>0.44294386247649742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188</v>
      </c>
      <c r="R3891" s="2" t="s">
        <v>189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581"/>
        <v>0.59999999999999987</v>
      </c>
      <c r="Z3891" s="2" t="s">
        <v>117</v>
      </c>
      <c r="AA3891" s="2" t="s">
        <v>190</v>
      </c>
      <c r="AB3891" s="2" t="s">
        <v>189</v>
      </c>
      <c r="AC3891" s="2" t="s">
        <v>40</v>
      </c>
      <c r="AF3891" s="2">
        <f t="shared" si="576"/>
        <v>0</v>
      </c>
      <c r="AG3891" s="2">
        <f>W3891</f>
        <v>95.100000000000009</v>
      </c>
      <c r="AJ3891" s="2">
        <f t="shared" si="577"/>
        <v>0</v>
      </c>
      <c r="AK3891" s="2">
        <f t="shared" si="580"/>
        <v>142.64999999999998</v>
      </c>
      <c r="AL3891" s="5">
        <f t="shared" si="582"/>
        <v>0.59999999999999987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M3892" s="2" t="s">
        <v>40</v>
      </c>
      <c r="P3892" s="2" t="s">
        <v>187</v>
      </c>
      <c r="Q3892" s="2" t="s">
        <v>191</v>
      </c>
      <c r="R3892" s="2" t="s">
        <v>190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581"/>
        <v>0.5</v>
      </c>
      <c r="Z3892" s="2" t="s">
        <v>117</v>
      </c>
      <c r="AA3892" s="2" t="s">
        <v>190</v>
      </c>
      <c r="AB3892" s="2" t="s">
        <v>190</v>
      </c>
      <c r="AC3892" s="2" t="s">
        <v>40</v>
      </c>
      <c r="AF3892" s="2">
        <f t="shared" si="576"/>
        <v>0</v>
      </c>
      <c r="AG3892" s="2">
        <f>W3892</f>
        <v>27.5</v>
      </c>
      <c r="AJ3892" s="2">
        <f t="shared" si="577"/>
        <v>0</v>
      </c>
      <c r="AK3892" s="2">
        <f t="shared" ref="AK3892:AK3923" si="583">T3892-W3892</f>
        <v>27.5</v>
      </c>
      <c r="AL3892" s="5">
        <f t="shared" si="582"/>
        <v>0.5</v>
      </c>
    </row>
    <row r="3893" spans="1:38" x14ac:dyDescent="0.2">
      <c r="A3893" s="2">
        <v>2026</v>
      </c>
      <c r="B3893" s="2">
        <v>5</v>
      </c>
      <c r="D3893" s="2" t="s">
        <v>715</v>
      </c>
      <c r="E3893" s="2" t="s">
        <v>108</v>
      </c>
      <c r="F3893" s="2" t="s">
        <v>39</v>
      </c>
      <c r="L3893" s="2" t="s">
        <v>344</v>
      </c>
      <c r="P3893" s="2" t="s">
        <v>40</v>
      </c>
      <c r="Q3893" s="2" t="s">
        <v>363</v>
      </c>
      <c r="R3893" s="2" t="s">
        <v>364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581"/>
        <v>1</v>
      </c>
      <c r="Z3893" s="2" t="s">
        <v>119</v>
      </c>
      <c r="AA3893" s="2" t="s">
        <v>3379</v>
      </c>
      <c r="AF3893" s="2">
        <f t="shared" si="576"/>
        <v>0</v>
      </c>
      <c r="AJ3893" s="2">
        <f t="shared" si="577"/>
        <v>0</v>
      </c>
      <c r="AK3893" s="2">
        <f t="shared" si="583"/>
        <v>297.5</v>
      </c>
      <c r="AL3893" s="5">
        <f t="shared" si="582"/>
        <v>1</v>
      </c>
    </row>
    <row r="3894" spans="1:38" x14ac:dyDescent="0.2">
      <c r="A3894" s="2">
        <v>2026</v>
      </c>
      <c r="B3894" s="2">
        <v>5</v>
      </c>
      <c r="C3894" s="2" t="s">
        <v>3369</v>
      </c>
      <c r="D3894" s="2" t="s">
        <v>297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298</v>
      </c>
      <c r="J3894" s="2" t="s">
        <v>299</v>
      </c>
      <c r="K3894" s="2">
        <v>962678129</v>
      </c>
      <c r="L3894" s="2" t="s">
        <v>177</v>
      </c>
      <c r="M3894" s="2" t="s">
        <v>40</v>
      </c>
      <c r="O3894" s="2" t="s">
        <v>2930</v>
      </c>
      <c r="P3894" s="2" t="s">
        <v>114</v>
      </c>
      <c r="Q3894" s="2" t="s">
        <v>1151</v>
      </c>
      <c r="R3894" s="2" t="s">
        <v>1152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581"/>
        <v>0.57007605152879093</v>
      </c>
      <c r="Z3894" s="2" t="s">
        <v>117</v>
      </c>
      <c r="AA3894" s="2" t="s">
        <v>118</v>
      </c>
      <c r="AB3894" s="2" t="s">
        <v>119</v>
      </c>
      <c r="AC3894" s="2" t="s">
        <v>114</v>
      </c>
      <c r="AF3894" s="2">
        <f t="shared" si="576"/>
        <v>0</v>
      </c>
      <c r="AJ3894" s="2">
        <f t="shared" si="577"/>
        <v>0</v>
      </c>
      <c r="AK3894" s="2">
        <f t="shared" si="583"/>
        <v>146.92000000000002</v>
      </c>
      <c r="AL3894" s="5">
        <f t="shared" si="582"/>
        <v>0.57007605152879093</v>
      </c>
    </row>
    <row r="3895" spans="1:38" x14ac:dyDescent="0.2">
      <c r="A3895" s="2">
        <v>2026</v>
      </c>
      <c r="B3895" s="2">
        <v>5</v>
      </c>
      <c r="D3895" s="2" t="s">
        <v>1347</v>
      </c>
      <c r="E3895" s="2" t="s">
        <v>38</v>
      </c>
      <c r="F3895" s="2" t="s">
        <v>39</v>
      </c>
      <c r="G3895" s="2">
        <v>513960392</v>
      </c>
      <c r="H3895" s="2" t="s">
        <v>109</v>
      </c>
      <c r="I3895" s="2" t="s">
        <v>2931</v>
      </c>
      <c r="J3895" s="2" t="s">
        <v>2932</v>
      </c>
      <c r="K3895" s="2">
        <v>915170083</v>
      </c>
      <c r="L3895" s="2" t="s">
        <v>461</v>
      </c>
      <c r="M3895" s="2" t="s">
        <v>80</v>
      </c>
      <c r="O3895" s="2" t="s">
        <v>2933</v>
      </c>
      <c r="P3895" s="2" t="s">
        <v>72</v>
      </c>
      <c r="Q3895" s="2" t="s">
        <v>301</v>
      </c>
      <c r="R3895" s="2" t="s">
        <v>74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581"/>
        <v>0.47191304347826091</v>
      </c>
      <c r="Z3895" s="2" t="s">
        <v>3226</v>
      </c>
      <c r="AA3895" s="2" t="s">
        <v>75</v>
      </c>
      <c r="AB3895" s="2" t="s">
        <v>76</v>
      </c>
      <c r="AC3895" s="2" t="s">
        <v>77</v>
      </c>
      <c r="AF3895" s="2">
        <f t="shared" si="576"/>
        <v>0</v>
      </c>
      <c r="AG3895" s="2">
        <v>121.46</v>
      </c>
      <c r="AH3895" s="2">
        <v>210</v>
      </c>
      <c r="AJ3895" s="2">
        <f t="shared" si="577"/>
        <v>0</v>
      </c>
      <c r="AK3895" s="2">
        <f t="shared" si="583"/>
        <v>108.54</v>
      </c>
      <c r="AL3895" s="5">
        <f t="shared" si="582"/>
        <v>0.47191304347826091</v>
      </c>
    </row>
    <row r="3896" spans="1:38" x14ac:dyDescent="0.2">
      <c r="A3896" s="2">
        <v>2026</v>
      </c>
      <c r="B3896" s="2">
        <v>5</v>
      </c>
      <c r="D3896" s="2" t="s">
        <v>1347</v>
      </c>
      <c r="P3896" s="2" t="s">
        <v>93</v>
      </c>
      <c r="Q3896" s="2" t="s">
        <v>94</v>
      </c>
      <c r="R3896" s="2" t="s">
        <v>95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581"/>
        <v>0</v>
      </c>
      <c r="Z3896" s="2" t="s">
        <v>3226</v>
      </c>
      <c r="AA3896" s="2" t="s">
        <v>96</v>
      </c>
      <c r="AB3896" s="2" t="s">
        <v>76</v>
      </c>
      <c r="AC3896" s="2" t="s">
        <v>93</v>
      </c>
      <c r="AF3896" s="2">
        <f t="shared" si="576"/>
        <v>0</v>
      </c>
      <c r="AJ3896" s="2">
        <f t="shared" si="577"/>
        <v>0</v>
      </c>
      <c r="AK3896" s="2">
        <f t="shared" si="583"/>
        <v>0</v>
      </c>
      <c r="AL3896" s="5">
        <f t="shared" si="582"/>
        <v>0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72</v>
      </c>
      <c r="Q3897" s="2" t="s">
        <v>1025</v>
      </c>
      <c r="R3897" s="2" t="s">
        <v>197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581"/>
        <v>0.43388888888888894</v>
      </c>
      <c r="Z3897" s="2" t="s">
        <v>3226</v>
      </c>
      <c r="AA3897" s="2" t="s">
        <v>75</v>
      </c>
      <c r="AB3897" s="2" t="s">
        <v>76</v>
      </c>
      <c r="AC3897" s="2" t="s">
        <v>77</v>
      </c>
      <c r="AF3897" s="2">
        <f t="shared" si="576"/>
        <v>0</v>
      </c>
      <c r="AJ3897" s="2">
        <f t="shared" si="577"/>
        <v>0</v>
      </c>
      <c r="AK3897" s="2">
        <f t="shared" si="583"/>
        <v>117.15</v>
      </c>
      <c r="AL3897" s="5">
        <f t="shared" si="582"/>
        <v>0.43388888888888894</v>
      </c>
    </row>
    <row r="3898" spans="1:38" x14ac:dyDescent="0.2">
      <c r="A3898" s="2">
        <v>2026</v>
      </c>
      <c r="B3898" s="2">
        <v>5</v>
      </c>
      <c r="D3898" s="2" t="s">
        <v>319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99</v>
      </c>
      <c r="J3898" s="2" t="s">
        <v>320</v>
      </c>
      <c r="L3898" s="2" t="s">
        <v>99</v>
      </c>
      <c r="M3898" s="2" t="s">
        <v>80</v>
      </c>
      <c r="O3898" s="2" t="s">
        <v>2934</v>
      </c>
      <c r="P3898" s="2" t="s">
        <v>93</v>
      </c>
      <c r="Q3898" s="2" t="s">
        <v>94</v>
      </c>
      <c r="R3898" s="2" t="s">
        <v>95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581"/>
        <v>0</v>
      </c>
      <c r="Z3898" s="2" t="s">
        <v>3226</v>
      </c>
      <c r="AA3898" s="2" t="s">
        <v>96</v>
      </c>
      <c r="AB3898" s="2" t="s">
        <v>76</v>
      </c>
      <c r="AC3898" s="2" t="s">
        <v>93</v>
      </c>
      <c r="AF3898" s="2">
        <f t="shared" si="576"/>
        <v>0</v>
      </c>
      <c r="AJ3898" s="2">
        <f t="shared" si="577"/>
        <v>0</v>
      </c>
      <c r="AK3898" s="2">
        <f t="shared" si="583"/>
        <v>0</v>
      </c>
      <c r="AL3898" s="5">
        <f t="shared" si="582"/>
        <v>0</v>
      </c>
    </row>
    <row r="3899" spans="1:38" x14ac:dyDescent="0.2">
      <c r="A3899" s="2">
        <v>2026</v>
      </c>
      <c r="B3899" s="2">
        <v>5</v>
      </c>
      <c r="C3899" s="2" t="s">
        <v>3371</v>
      </c>
      <c r="D3899" s="2" t="s">
        <v>2935</v>
      </c>
      <c r="E3899" s="2" t="s">
        <v>108</v>
      </c>
      <c r="F3899" s="2" t="s">
        <v>477</v>
      </c>
      <c r="L3899" s="2" t="s">
        <v>133</v>
      </c>
      <c r="M3899" s="2" t="s">
        <v>109</v>
      </c>
      <c r="P3899" s="2" t="s">
        <v>43</v>
      </c>
      <c r="Q3899" s="2" t="s">
        <v>61</v>
      </c>
      <c r="R3899" s="2" t="s">
        <v>62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581"/>
        <v>0.4142857142857142</v>
      </c>
      <c r="Z3899" s="2" t="s">
        <v>3226</v>
      </c>
      <c r="AA3899" s="2" t="s">
        <v>46</v>
      </c>
      <c r="AB3899" s="2" t="s">
        <v>60</v>
      </c>
      <c r="AC3899" s="2" t="s">
        <v>57</v>
      </c>
      <c r="AF3899" s="2">
        <f t="shared" si="576"/>
        <v>0</v>
      </c>
      <c r="AG3899" s="2">
        <v>8.1999999999999993</v>
      </c>
      <c r="AH3899" s="2">
        <v>13</v>
      </c>
      <c r="AJ3899" s="2">
        <f t="shared" si="577"/>
        <v>0</v>
      </c>
      <c r="AK3899" s="2">
        <f t="shared" si="583"/>
        <v>5.7999999999999989</v>
      </c>
      <c r="AL3899" s="5">
        <f t="shared" si="582"/>
        <v>0.4142857142857142</v>
      </c>
    </row>
    <row r="3900" spans="1:38" x14ac:dyDescent="0.2">
      <c r="A3900" s="2">
        <v>2026</v>
      </c>
      <c r="B3900" s="2">
        <v>5</v>
      </c>
      <c r="D3900" s="2" t="s">
        <v>980</v>
      </c>
      <c r="E3900" s="2" t="s">
        <v>38</v>
      </c>
      <c r="F3900" s="2" t="s">
        <v>39</v>
      </c>
      <c r="L3900" s="2" t="s">
        <v>418</v>
      </c>
      <c r="M3900" s="2" t="s">
        <v>41</v>
      </c>
      <c r="P3900" s="2" t="s">
        <v>43</v>
      </c>
      <c r="Q3900" s="2" t="s">
        <v>54</v>
      </c>
      <c r="R3900" s="2" t="s">
        <v>55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581"/>
        <v>0.41111111111111115</v>
      </c>
      <c r="Z3900" s="2" t="s">
        <v>3226</v>
      </c>
      <c r="AA3900" s="2" t="s">
        <v>46</v>
      </c>
      <c r="AB3900" s="2" t="s">
        <v>56</v>
      </c>
      <c r="AC3900" s="2" t="s">
        <v>57</v>
      </c>
      <c r="AF3900" s="2">
        <f t="shared" si="576"/>
        <v>0</v>
      </c>
      <c r="AG3900" s="2">
        <v>10.6</v>
      </c>
      <c r="AH3900" s="2">
        <v>18</v>
      </c>
      <c r="AJ3900" s="2">
        <f t="shared" si="577"/>
        <v>0</v>
      </c>
      <c r="AK3900" s="2">
        <f t="shared" si="583"/>
        <v>14.8</v>
      </c>
      <c r="AL3900" s="5">
        <f t="shared" si="582"/>
        <v>0.41111111111111115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73</v>
      </c>
      <c r="R3901" s="2" t="s">
        <v>74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581"/>
        <v>0.42947272727272723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576"/>
        <v>0</v>
      </c>
      <c r="AG3901" s="2">
        <v>125.51600000000001</v>
      </c>
      <c r="AH3901" s="2">
        <v>220</v>
      </c>
      <c r="AJ3901" s="2">
        <f t="shared" si="577"/>
        <v>0</v>
      </c>
      <c r="AK3901" s="2">
        <f t="shared" si="583"/>
        <v>94.483999999999995</v>
      </c>
      <c r="AL3901" s="5">
        <f t="shared" si="582"/>
        <v>0.42947272727272723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72</v>
      </c>
      <c r="Q3902" s="2" t="s">
        <v>78</v>
      </c>
      <c r="R3902" s="2" t="s">
        <v>79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581"/>
        <v>0.45375609756097557</v>
      </c>
      <c r="Z3902" s="2" t="s">
        <v>3226</v>
      </c>
      <c r="AA3902" s="2" t="s">
        <v>75</v>
      </c>
      <c r="AB3902" s="2" t="s">
        <v>76</v>
      </c>
      <c r="AC3902" s="2" t="s">
        <v>77</v>
      </c>
      <c r="AF3902" s="2">
        <f t="shared" si="576"/>
        <v>0</v>
      </c>
      <c r="AG3902" s="2">
        <v>111.98</v>
      </c>
      <c r="AH3902" s="2">
        <v>210</v>
      </c>
      <c r="AJ3902" s="2">
        <f t="shared" si="577"/>
        <v>0</v>
      </c>
      <c r="AK3902" s="2">
        <f t="shared" si="583"/>
        <v>93.02</v>
      </c>
      <c r="AL3902" s="5">
        <f t="shared" si="582"/>
        <v>0.45375609756097557</v>
      </c>
    </row>
    <row r="3903" spans="1:38" x14ac:dyDescent="0.2">
      <c r="A3903" s="2">
        <v>2026</v>
      </c>
      <c r="B3903" s="2">
        <v>5</v>
      </c>
      <c r="D3903" s="2" t="s">
        <v>981</v>
      </c>
      <c r="E3903" s="2" t="s">
        <v>108</v>
      </c>
      <c r="F3903" s="2" t="s">
        <v>717</v>
      </c>
      <c r="G3903" s="2">
        <v>500594309</v>
      </c>
      <c r="H3903" s="2" t="s">
        <v>290</v>
      </c>
      <c r="I3903" s="2" t="s">
        <v>982</v>
      </c>
      <c r="J3903" s="2" t="s">
        <v>983</v>
      </c>
      <c r="L3903" s="2" t="s">
        <v>293</v>
      </c>
      <c r="M3903" s="2" t="s">
        <v>80</v>
      </c>
      <c r="O3903" s="2" t="s">
        <v>2936</v>
      </c>
      <c r="P3903" s="2" t="s">
        <v>93</v>
      </c>
      <c r="Q3903" s="2" t="s">
        <v>94</v>
      </c>
      <c r="R3903" s="2" t="s">
        <v>95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581"/>
        <v>0</v>
      </c>
      <c r="Z3903" s="2" t="s">
        <v>3226</v>
      </c>
      <c r="AA3903" s="2" t="s">
        <v>96</v>
      </c>
      <c r="AB3903" s="2" t="s">
        <v>76</v>
      </c>
      <c r="AC3903" s="2" t="s">
        <v>93</v>
      </c>
      <c r="AF3903" s="2">
        <f t="shared" si="576"/>
        <v>0</v>
      </c>
      <c r="AG3903" s="2">
        <v>1.48</v>
      </c>
      <c r="AH3903" s="2">
        <v>1.48</v>
      </c>
      <c r="AJ3903" s="2">
        <f t="shared" si="577"/>
        <v>0</v>
      </c>
      <c r="AK3903" s="2">
        <f t="shared" si="583"/>
        <v>0</v>
      </c>
      <c r="AL3903" s="5">
        <f t="shared" si="582"/>
        <v>0</v>
      </c>
    </row>
    <row r="3904" spans="1:38" x14ac:dyDescent="0.2">
      <c r="A3904" s="2">
        <v>2026</v>
      </c>
      <c r="B3904" s="2">
        <v>5</v>
      </c>
      <c r="D3904" s="2" t="s">
        <v>1355</v>
      </c>
      <c r="E3904" s="2" t="s">
        <v>752</v>
      </c>
      <c r="F3904" s="2" t="s">
        <v>39</v>
      </c>
      <c r="G3904" s="2">
        <v>518238334</v>
      </c>
      <c r="H3904" s="2" t="s">
        <v>41</v>
      </c>
      <c r="I3904" s="2" t="s">
        <v>762</v>
      </c>
      <c r="J3904" s="2" t="s">
        <v>1356</v>
      </c>
      <c r="L3904" s="2" t="s">
        <v>418</v>
      </c>
      <c r="P3904" s="2" t="s">
        <v>282</v>
      </c>
      <c r="Q3904" s="2" t="s">
        <v>1510</v>
      </c>
      <c r="R3904" s="2" t="s">
        <v>1511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581"/>
        <v>0.39011111111111113</v>
      </c>
      <c r="Z3904" s="2" t="s">
        <v>3226</v>
      </c>
      <c r="AA3904" s="2" t="s">
        <v>71</v>
      </c>
      <c r="AB3904" s="2" t="s">
        <v>1600</v>
      </c>
      <c r="AC3904" s="2" t="s">
        <v>1600</v>
      </c>
      <c r="AF3904" s="2">
        <f t="shared" si="576"/>
        <v>0</v>
      </c>
      <c r="AJ3904" s="2">
        <f t="shared" si="577"/>
        <v>0</v>
      </c>
      <c r="AK3904" s="2">
        <f t="shared" si="583"/>
        <v>17.555</v>
      </c>
      <c r="AL3904" s="5">
        <f t="shared" si="582"/>
        <v>0.39011111111111113</v>
      </c>
    </row>
    <row r="3905" spans="1:38" x14ac:dyDescent="0.2">
      <c r="A3905" s="2">
        <v>2026</v>
      </c>
      <c r="B3905" s="2">
        <v>5</v>
      </c>
      <c r="D3905" s="2" t="s">
        <v>2557</v>
      </c>
      <c r="E3905" s="2" t="s">
        <v>108</v>
      </c>
      <c r="F3905" s="2" t="s">
        <v>717</v>
      </c>
      <c r="G3905" s="2">
        <v>500228264</v>
      </c>
      <c r="H3905" s="2" t="s">
        <v>109</v>
      </c>
      <c r="I3905" s="2" t="s">
        <v>2937</v>
      </c>
      <c r="J3905" s="2" t="s">
        <v>2938</v>
      </c>
      <c r="K3905" s="2">
        <v>962004672</v>
      </c>
      <c r="L3905" s="2" t="s">
        <v>398</v>
      </c>
      <c r="M3905" s="2" t="s">
        <v>80</v>
      </c>
      <c r="O3905" s="2" t="s">
        <v>2939</v>
      </c>
      <c r="P3905" s="2" t="s">
        <v>72</v>
      </c>
      <c r="Q3905" s="2" t="s">
        <v>681</v>
      </c>
      <c r="R3905" s="2" t="s">
        <v>74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581"/>
        <v>0.52504545454545459</v>
      </c>
      <c r="Z3905" s="2" t="s">
        <v>3226</v>
      </c>
      <c r="AA3905" s="2" t="s">
        <v>75</v>
      </c>
      <c r="AB3905" s="2" t="s">
        <v>76</v>
      </c>
      <c r="AC3905" s="2" t="s">
        <v>77</v>
      </c>
      <c r="AF3905" s="2">
        <f t="shared" si="576"/>
        <v>0</v>
      </c>
      <c r="AG3905" s="2">
        <v>104.49</v>
      </c>
      <c r="AH3905" s="2">
        <v>220</v>
      </c>
      <c r="AJ3905" s="2">
        <f t="shared" si="577"/>
        <v>0</v>
      </c>
      <c r="AK3905" s="2">
        <f t="shared" si="583"/>
        <v>115.51</v>
      </c>
      <c r="AL3905" s="5">
        <f t="shared" si="582"/>
        <v>0.52504545454545459</v>
      </c>
    </row>
    <row r="3906" spans="1:38" x14ac:dyDescent="0.2">
      <c r="A3906" s="2">
        <v>2026</v>
      </c>
      <c r="B3906" s="2">
        <v>5</v>
      </c>
      <c r="D3906" s="2" t="s">
        <v>2557</v>
      </c>
      <c r="P3906" s="2" t="s">
        <v>93</v>
      </c>
      <c r="Q3906" s="2" t="s">
        <v>94</v>
      </c>
      <c r="R3906" s="2" t="s">
        <v>95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581"/>
        <v>1</v>
      </c>
      <c r="Z3906" s="2" t="s">
        <v>3226</v>
      </c>
      <c r="AA3906" s="2" t="s">
        <v>96</v>
      </c>
      <c r="AB3906" s="2" t="s">
        <v>76</v>
      </c>
      <c r="AC3906" s="2" t="s">
        <v>93</v>
      </c>
      <c r="AF3906" s="2">
        <f t="shared" ref="AF3906:AF3969" si="584">AJ3906</f>
        <v>0</v>
      </c>
      <c r="AJ3906" s="2">
        <f t="shared" ref="AJ3906:AJ3969" si="585">AI3906*T3906</f>
        <v>0</v>
      </c>
      <c r="AK3906" s="2">
        <f t="shared" si="583"/>
        <v>1.48</v>
      </c>
      <c r="AL3906" s="5">
        <f t="shared" si="582"/>
        <v>1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2940</v>
      </c>
      <c r="P3907" s="2" t="s">
        <v>43</v>
      </c>
      <c r="Q3907" s="2" t="s">
        <v>50</v>
      </c>
      <c r="R3907" s="2" t="s">
        <v>51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581"/>
        <v>0.31428571428571428</v>
      </c>
      <c r="Z3907" s="2" t="s">
        <v>3226</v>
      </c>
      <c r="AA3907" s="2" t="s">
        <v>46</v>
      </c>
      <c r="AB3907" s="2" t="s">
        <v>47</v>
      </c>
      <c r="AC3907" s="2" t="s">
        <v>57</v>
      </c>
      <c r="AF3907" s="2">
        <f t="shared" si="584"/>
        <v>0</v>
      </c>
      <c r="AG3907" s="2">
        <v>14.4</v>
      </c>
      <c r="AH3907" s="2">
        <v>21</v>
      </c>
      <c r="AJ3907" s="2">
        <f t="shared" si="585"/>
        <v>0</v>
      </c>
      <c r="AK3907" s="2">
        <f t="shared" si="583"/>
        <v>6.6</v>
      </c>
      <c r="AL3907" s="5">
        <f t="shared" si="582"/>
        <v>0.31428571428571428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2941</v>
      </c>
      <c r="P3908" s="2" t="s">
        <v>43</v>
      </c>
      <c r="Q3908" s="2" t="s">
        <v>54</v>
      </c>
      <c r="R3908" s="2" t="s">
        <v>55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581"/>
        <v>0.29333333333333333</v>
      </c>
      <c r="Z3908" s="2" t="s">
        <v>3226</v>
      </c>
      <c r="AA3908" s="2" t="s">
        <v>46</v>
      </c>
      <c r="AB3908" s="2" t="s">
        <v>56</v>
      </c>
      <c r="AC3908" s="2" t="s">
        <v>57</v>
      </c>
      <c r="AF3908" s="2">
        <f t="shared" si="584"/>
        <v>0</v>
      </c>
      <c r="AG3908" s="2">
        <v>10.6</v>
      </c>
      <c r="AH3908" s="2">
        <v>18</v>
      </c>
      <c r="AJ3908" s="2">
        <f t="shared" si="585"/>
        <v>0</v>
      </c>
      <c r="AK3908" s="2">
        <f t="shared" si="583"/>
        <v>44</v>
      </c>
      <c r="AL3908" s="5">
        <f t="shared" si="582"/>
        <v>0.29333333333333333</v>
      </c>
    </row>
    <row r="3909" spans="1:38" x14ac:dyDescent="0.2">
      <c r="A3909" s="2">
        <v>2026</v>
      </c>
      <c r="B3909" s="2">
        <v>5</v>
      </c>
      <c r="D3909" s="2" t="s">
        <v>347</v>
      </c>
      <c r="E3909" s="2" t="s">
        <v>108</v>
      </c>
      <c r="F3909" s="2" t="s">
        <v>39</v>
      </c>
      <c r="G3909" s="2">
        <v>517451123</v>
      </c>
      <c r="H3909" s="2" t="s">
        <v>41</v>
      </c>
      <c r="I3909" s="2" t="s">
        <v>348</v>
      </c>
      <c r="J3909" s="2" t="s">
        <v>349</v>
      </c>
      <c r="K3909" s="2">
        <v>915209128</v>
      </c>
      <c r="L3909" s="2" t="s">
        <v>177</v>
      </c>
      <c r="M3909" s="2" t="s">
        <v>41</v>
      </c>
      <c r="O3909" s="2" t="s">
        <v>2940</v>
      </c>
      <c r="P3909" s="2" t="s">
        <v>43</v>
      </c>
      <c r="Q3909" s="2" t="s">
        <v>65</v>
      </c>
      <c r="R3909" s="2" t="s">
        <v>66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581"/>
        <v>0.38692653061224486</v>
      </c>
      <c r="Z3909" s="2" t="s">
        <v>3226</v>
      </c>
      <c r="AA3909" s="2" t="s">
        <v>46</v>
      </c>
      <c r="AB3909" s="2" t="s">
        <v>67</v>
      </c>
      <c r="AC3909" s="2" t="s">
        <v>57</v>
      </c>
      <c r="AF3909" s="2">
        <f t="shared" si="584"/>
        <v>0</v>
      </c>
      <c r="AG3909" s="2">
        <v>15.020300000000001</v>
      </c>
      <c r="AH3909" s="2">
        <v>27.6</v>
      </c>
      <c r="AJ3909" s="2">
        <f t="shared" si="585"/>
        <v>0</v>
      </c>
      <c r="AK3909" s="2">
        <f t="shared" si="583"/>
        <v>9.4796999999999993</v>
      </c>
      <c r="AL3909" s="5">
        <f t="shared" si="582"/>
        <v>0.38692653061224486</v>
      </c>
    </row>
    <row r="3910" spans="1:38" x14ac:dyDescent="0.2">
      <c r="A3910" s="2">
        <v>2026</v>
      </c>
      <c r="B3910" s="2">
        <v>5</v>
      </c>
      <c r="D3910" s="2" t="s">
        <v>1524</v>
      </c>
      <c r="E3910" s="2" t="s">
        <v>108</v>
      </c>
      <c r="F3910" s="2" t="s">
        <v>39</v>
      </c>
      <c r="G3910" s="2">
        <v>513338888</v>
      </c>
      <c r="H3910" s="2" t="s">
        <v>40</v>
      </c>
      <c r="I3910" s="2" t="s">
        <v>1525</v>
      </c>
      <c r="J3910" s="2" t="s">
        <v>1526</v>
      </c>
      <c r="K3910" s="2">
        <v>962461409</v>
      </c>
      <c r="L3910" s="2" t="s">
        <v>344</v>
      </c>
      <c r="M3910" s="2" t="s">
        <v>40</v>
      </c>
      <c r="O3910" s="2" t="s">
        <v>2942</v>
      </c>
      <c r="P3910" s="2" t="s">
        <v>187</v>
      </c>
      <c r="Q3910" s="2" t="s">
        <v>363</v>
      </c>
      <c r="R3910" s="2" t="s">
        <v>364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14" si="586">(T3910-W3910)/T3910</f>
        <v>1</v>
      </c>
      <c r="Z3910" s="2" t="s">
        <v>117</v>
      </c>
      <c r="AA3910" s="2" t="s">
        <v>1310</v>
      </c>
      <c r="AF3910" s="2">
        <f t="shared" si="584"/>
        <v>0</v>
      </c>
      <c r="AJ3910" s="2">
        <f t="shared" si="585"/>
        <v>0</v>
      </c>
      <c r="AK3910" s="2">
        <f t="shared" si="583"/>
        <v>104.83</v>
      </c>
      <c r="AL3910" s="5">
        <f t="shared" si="582"/>
        <v>1</v>
      </c>
    </row>
    <row r="3911" spans="1:38" x14ac:dyDescent="0.2">
      <c r="A3911" s="2">
        <v>2026</v>
      </c>
      <c r="B3911" s="2">
        <v>5</v>
      </c>
      <c r="D3911" s="2" t="s">
        <v>2943</v>
      </c>
      <c r="P3911" s="2" t="s">
        <v>43</v>
      </c>
      <c r="Q3911" s="2" t="s">
        <v>54</v>
      </c>
      <c r="R3911" s="2" t="s">
        <v>55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586"/>
        <v>0.29333333333333333</v>
      </c>
      <c r="Z3911" s="2" t="s">
        <v>3226</v>
      </c>
      <c r="AA3911" s="2" t="s">
        <v>46</v>
      </c>
      <c r="AB3911" s="2" t="s">
        <v>56</v>
      </c>
      <c r="AC3911" s="2" t="s">
        <v>57</v>
      </c>
      <c r="AF3911" s="2">
        <f t="shared" si="584"/>
        <v>0</v>
      </c>
      <c r="AG3911" s="2">
        <v>10.6</v>
      </c>
      <c r="AH3911" s="2">
        <v>18</v>
      </c>
      <c r="AJ3911" s="2">
        <f t="shared" si="585"/>
        <v>0</v>
      </c>
      <c r="AK3911" s="2">
        <f t="shared" si="583"/>
        <v>44</v>
      </c>
      <c r="AL3911" s="5">
        <f t="shared" si="582"/>
        <v>0.29333333333333333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43</v>
      </c>
      <c r="Q3912" s="2" t="s">
        <v>61</v>
      </c>
      <c r="R3912" s="2" t="s">
        <v>62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586"/>
        <v>0.25454545454545452</v>
      </c>
      <c r="Z3912" s="2" t="s">
        <v>3226</v>
      </c>
      <c r="AA3912" s="2" t="s">
        <v>46</v>
      </c>
      <c r="AB3912" s="2" t="s">
        <v>60</v>
      </c>
      <c r="AC3912" s="2" t="s">
        <v>57</v>
      </c>
      <c r="AF3912" s="2">
        <f t="shared" si="584"/>
        <v>0</v>
      </c>
      <c r="AG3912" s="2">
        <v>8.1999999999999993</v>
      </c>
      <c r="AH3912" s="2">
        <v>13</v>
      </c>
      <c r="AJ3912" s="2">
        <f t="shared" si="585"/>
        <v>0</v>
      </c>
      <c r="AK3912" s="2">
        <f t="shared" si="583"/>
        <v>28</v>
      </c>
      <c r="AL3912" s="5">
        <f t="shared" si="582"/>
        <v>0.25454545454545452</v>
      </c>
    </row>
    <row r="3913" spans="1:38" x14ac:dyDescent="0.2">
      <c r="A3913" s="2">
        <v>2026</v>
      </c>
      <c r="B3913" s="2">
        <v>5</v>
      </c>
      <c r="D3913" s="2" t="s">
        <v>2231</v>
      </c>
      <c r="P3913" s="2" t="s">
        <v>169</v>
      </c>
      <c r="Q3913" s="2" t="s">
        <v>170</v>
      </c>
      <c r="R3913" s="2" t="s">
        <v>170</v>
      </c>
      <c r="S3913" s="2">
        <v>1</v>
      </c>
      <c r="T3913" s="2">
        <v>5</v>
      </c>
      <c r="U3913" s="2">
        <v>1.1499999999999999</v>
      </c>
      <c r="V3913" s="2">
        <v>6.15</v>
      </c>
      <c r="W3913" s="2">
        <v>6</v>
      </c>
      <c r="X3913" s="5">
        <f t="shared" si="586"/>
        <v>-0.2</v>
      </c>
      <c r="Z3913" s="2" t="s">
        <v>169</v>
      </c>
      <c r="AA3913" s="2" t="s">
        <v>169</v>
      </c>
      <c r="AF3913" s="2">
        <f t="shared" si="584"/>
        <v>0</v>
      </c>
      <c r="AJ3913" s="2">
        <f t="shared" si="585"/>
        <v>0</v>
      </c>
      <c r="AK3913" s="2">
        <f t="shared" si="583"/>
        <v>-1</v>
      </c>
      <c r="AL3913" s="5">
        <f t="shared" si="582"/>
        <v>-0.2</v>
      </c>
    </row>
    <row r="3914" spans="1:38" x14ac:dyDescent="0.2">
      <c r="A3914" s="2">
        <v>2026</v>
      </c>
      <c r="B3914" s="2">
        <v>5</v>
      </c>
      <c r="C3914" s="2" t="s">
        <v>3434</v>
      </c>
      <c r="D3914" s="2" t="s">
        <v>2944</v>
      </c>
      <c r="E3914" s="2" t="s">
        <v>752</v>
      </c>
      <c r="F3914" s="2" t="s">
        <v>39</v>
      </c>
      <c r="L3914" s="2" t="s">
        <v>480</v>
      </c>
      <c r="M3914" s="2" t="s">
        <v>80</v>
      </c>
      <c r="P3914" s="2" t="s">
        <v>72</v>
      </c>
      <c r="Q3914" s="2" t="s">
        <v>73</v>
      </c>
      <c r="R3914" s="2" t="s">
        <v>74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586"/>
        <v>0.33938947368421052</v>
      </c>
      <c r="Z3914" s="2" t="s">
        <v>3226</v>
      </c>
      <c r="AA3914" s="2" t="s">
        <v>75</v>
      </c>
      <c r="AB3914" s="2" t="s">
        <v>76</v>
      </c>
      <c r="AC3914" s="2" t="s">
        <v>77</v>
      </c>
      <c r="AF3914" s="2">
        <f t="shared" si="584"/>
        <v>0</v>
      </c>
      <c r="AG3914" s="2">
        <v>125.51600000000001</v>
      </c>
      <c r="AH3914" s="2">
        <v>220</v>
      </c>
      <c r="AJ3914" s="2">
        <f t="shared" si="585"/>
        <v>0</v>
      </c>
      <c r="AK3914" s="2">
        <f t="shared" si="583"/>
        <v>64.483999999999995</v>
      </c>
      <c r="AL3914" s="5">
        <f t="shared" si="582"/>
        <v>0.33938947368421052</v>
      </c>
    </row>
    <row r="3915" spans="1:38" x14ac:dyDescent="0.2">
      <c r="A3915" s="2">
        <v>2026</v>
      </c>
      <c r="B3915" s="2">
        <v>5</v>
      </c>
      <c r="D3915" s="2" t="s">
        <v>2944</v>
      </c>
      <c r="M3915" s="2" t="s">
        <v>40</v>
      </c>
      <c r="P3915" s="2" t="s">
        <v>187</v>
      </c>
      <c r="Q3915" s="2" t="s">
        <v>1308</v>
      </c>
      <c r="R3915" s="2" t="s">
        <v>1309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117</v>
      </c>
      <c r="AA3915" s="2" t="s">
        <v>1310</v>
      </c>
      <c r="AF3915" s="2">
        <f t="shared" si="584"/>
        <v>0</v>
      </c>
      <c r="AJ3915" s="2">
        <f t="shared" si="585"/>
        <v>0</v>
      </c>
      <c r="AK3915" s="2">
        <f t="shared" si="583"/>
        <v>0</v>
      </c>
      <c r="AL3915" s="5">
        <v>0</v>
      </c>
    </row>
    <row r="3916" spans="1:38" x14ac:dyDescent="0.2">
      <c r="A3916" s="2">
        <v>2026</v>
      </c>
      <c r="B3916" s="2">
        <v>5</v>
      </c>
      <c r="C3916" s="2" t="s">
        <v>3434</v>
      </c>
      <c r="D3916" s="2" t="s">
        <v>2944</v>
      </c>
      <c r="E3916" s="2" t="s">
        <v>752</v>
      </c>
      <c r="F3916" s="2" t="s">
        <v>39</v>
      </c>
      <c r="L3916" s="2" t="s">
        <v>480</v>
      </c>
      <c r="M3916" s="2" t="s">
        <v>80</v>
      </c>
      <c r="P3916" s="2" t="s">
        <v>93</v>
      </c>
      <c r="Q3916" s="2" t="s">
        <v>94</v>
      </c>
      <c r="R3916" s="2" t="s">
        <v>95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>(T3916-W3916)/T3916</f>
        <v>0</v>
      </c>
      <c r="Z3916" s="2" t="s">
        <v>3226</v>
      </c>
      <c r="AA3916" s="2" t="s">
        <v>96</v>
      </c>
      <c r="AB3916" s="2" t="s">
        <v>76</v>
      </c>
      <c r="AC3916" s="2" t="s">
        <v>93</v>
      </c>
      <c r="AF3916" s="2">
        <f t="shared" si="584"/>
        <v>0</v>
      </c>
      <c r="AJ3916" s="2">
        <f t="shared" si="585"/>
        <v>0</v>
      </c>
      <c r="AK3916" s="2">
        <f t="shared" si="583"/>
        <v>0</v>
      </c>
      <c r="AL3916" s="5">
        <f>(T3916-W3916)/T3916</f>
        <v>0</v>
      </c>
    </row>
    <row r="3917" spans="1:38" x14ac:dyDescent="0.2">
      <c r="A3917" s="2">
        <v>2026</v>
      </c>
      <c r="B3917" s="2">
        <v>5</v>
      </c>
      <c r="D3917" s="2" t="s">
        <v>2877</v>
      </c>
      <c r="G3917" s="2">
        <v>506647188</v>
      </c>
      <c r="I3917" s="2" t="s">
        <v>2945</v>
      </c>
      <c r="M3917" s="2" t="s">
        <v>40</v>
      </c>
      <c r="O3917" s="2" t="s">
        <v>2946</v>
      </c>
      <c r="P3917" s="2" t="s">
        <v>114</v>
      </c>
      <c r="Q3917" s="2" t="s">
        <v>779</v>
      </c>
      <c r="R3917" s="2" t="s">
        <v>780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36.2258*S3917</f>
        <v>72.451599999999999</v>
      </c>
      <c r="X3917" s="5">
        <f>(T3917-W3917)/T3917</f>
        <v>0.48782977520147042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584"/>
        <v>0</v>
      </c>
      <c r="AG3917" s="2">
        <v>35.931699999999999</v>
      </c>
      <c r="AJ3917" s="2">
        <f t="shared" si="585"/>
        <v>0</v>
      </c>
      <c r="AK3917" s="2">
        <f t="shared" si="583"/>
        <v>69.008400000000009</v>
      </c>
      <c r="AL3917" s="5">
        <f>(T3917-W3917)/T3917</f>
        <v>0.48782977520147042</v>
      </c>
    </row>
    <row r="3918" spans="1:38" x14ac:dyDescent="0.2">
      <c r="A3918" s="2">
        <v>2026</v>
      </c>
      <c r="B3918" s="2">
        <v>5</v>
      </c>
      <c r="D3918" s="2" t="s">
        <v>2877</v>
      </c>
      <c r="M3918" s="2" t="s">
        <v>40</v>
      </c>
      <c r="O3918" s="2" t="s">
        <v>2946</v>
      </c>
      <c r="P3918" s="2" t="s">
        <v>114</v>
      </c>
      <c r="Q3918" s="2" t="s">
        <v>561</v>
      </c>
      <c r="R3918" s="2" t="s">
        <v>562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>(T3918-W3918)/T3918</f>
        <v>0.58549625741226796</v>
      </c>
      <c r="Z3918" s="2" t="s">
        <v>117</v>
      </c>
      <c r="AA3918" s="2" t="s">
        <v>118</v>
      </c>
      <c r="AB3918" s="2" t="s">
        <v>119</v>
      </c>
      <c r="AC3918" s="2" t="s">
        <v>114</v>
      </c>
      <c r="AF3918" s="2">
        <f t="shared" si="584"/>
        <v>0</v>
      </c>
      <c r="AG3918" s="2">
        <v>5.33</v>
      </c>
      <c r="AJ3918" s="2">
        <f t="shared" si="585"/>
        <v>0</v>
      </c>
      <c r="AK3918" s="2">
        <f t="shared" si="583"/>
        <v>60.230000000000004</v>
      </c>
      <c r="AL3918" s="5">
        <f>(T3918-W3918)/T3918</f>
        <v>0.58549625741226796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188</v>
      </c>
      <c r="R3919" s="2" t="s">
        <v>189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117</v>
      </c>
      <c r="AA3919" s="2" t="s">
        <v>190</v>
      </c>
      <c r="AB3919" s="2" t="s">
        <v>189</v>
      </c>
      <c r="AC3919" s="2" t="s">
        <v>40</v>
      </c>
      <c r="AF3919" s="2">
        <f t="shared" si="584"/>
        <v>0</v>
      </c>
      <c r="AG3919" s="2">
        <f>W3919</f>
        <v>-27.400000000000002</v>
      </c>
      <c r="AJ3919" s="2">
        <f t="shared" si="585"/>
        <v>0</v>
      </c>
      <c r="AK3919" s="2">
        <f t="shared" si="583"/>
        <v>-41.099999999999994</v>
      </c>
    </row>
    <row r="3920" spans="1:38" x14ac:dyDescent="0.2">
      <c r="A3920" s="2">
        <v>2026</v>
      </c>
      <c r="B3920" s="2">
        <v>5</v>
      </c>
      <c r="D3920" s="2" t="s">
        <v>2131</v>
      </c>
      <c r="M3920" s="2" t="s">
        <v>40</v>
      </c>
      <c r="P3920" s="2" t="s">
        <v>187</v>
      </c>
      <c r="Q3920" s="2" t="s">
        <v>191</v>
      </c>
      <c r="R3920" s="2" t="s">
        <v>190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117</v>
      </c>
      <c r="AA3920" s="2" t="s">
        <v>190</v>
      </c>
      <c r="AB3920" s="2" t="s">
        <v>190</v>
      </c>
      <c r="AC3920" s="2" t="s">
        <v>40</v>
      </c>
      <c r="AF3920" s="2">
        <f t="shared" si="584"/>
        <v>0</v>
      </c>
      <c r="AG3920" s="2">
        <f>W3920</f>
        <v>0</v>
      </c>
      <c r="AJ3920" s="2">
        <f t="shared" si="585"/>
        <v>0</v>
      </c>
      <c r="AK3920" s="2">
        <f t="shared" si="583"/>
        <v>-6.25</v>
      </c>
    </row>
    <row r="3921" spans="1:38" x14ac:dyDescent="0.2">
      <c r="A3921" s="2">
        <v>2026</v>
      </c>
      <c r="B3921" s="2">
        <v>5</v>
      </c>
      <c r="D3921" s="2" t="s">
        <v>375</v>
      </c>
      <c r="E3921" s="2" t="s">
        <v>108</v>
      </c>
      <c r="F3921" s="2" t="s">
        <v>376</v>
      </c>
      <c r="G3921" s="2">
        <v>503552542</v>
      </c>
      <c r="H3921" s="2" t="s">
        <v>290</v>
      </c>
      <c r="I3921" s="2" t="s">
        <v>377</v>
      </c>
      <c r="J3921" s="2" t="s">
        <v>378</v>
      </c>
      <c r="L3921" s="2" t="s">
        <v>339</v>
      </c>
      <c r="M3921" s="2" t="s">
        <v>40</v>
      </c>
      <c r="O3921" s="2" t="s">
        <v>2947</v>
      </c>
      <c r="P3921" s="2" t="s">
        <v>114</v>
      </c>
      <c r="Q3921" s="2" t="s">
        <v>1151</v>
      </c>
      <c r="R3921" s="2" t="s">
        <v>1152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ref="X3921:X3940" si="587">(T3921-W3921)/T3921</f>
        <v>0.57007605152879093</v>
      </c>
      <c r="Z3921" s="2" t="s">
        <v>117</v>
      </c>
      <c r="AA3921" s="2" t="s">
        <v>118</v>
      </c>
      <c r="AB3921" s="2" t="s">
        <v>119</v>
      </c>
      <c r="AC3921" s="2" t="s">
        <v>114</v>
      </c>
      <c r="AF3921" s="2">
        <f t="shared" si="584"/>
        <v>0</v>
      </c>
      <c r="AJ3921" s="2">
        <f t="shared" si="585"/>
        <v>0</v>
      </c>
      <c r="AK3921" s="2">
        <f t="shared" si="583"/>
        <v>146.92000000000002</v>
      </c>
      <c r="AL3921" s="5">
        <f t="shared" ref="AL3921:AL3940" si="588">(T3921-W3921)/T3921</f>
        <v>0.57007605152879093</v>
      </c>
    </row>
    <row r="3922" spans="1:38" x14ac:dyDescent="0.2">
      <c r="A3922" s="2">
        <v>2026</v>
      </c>
      <c r="B3922" s="2">
        <v>5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109</v>
      </c>
      <c r="O3922" s="2" t="s">
        <v>2948</v>
      </c>
      <c r="P3922" s="2" t="s">
        <v>43</v>
      </c>
      <c r="Q3922" s="2" t="s">
        <v>54</v>
      </c>
      <c r="R3922" s="2" t="s">
        <v>55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587"/>
        <v>0.29333333333333333</v>
      </c>
      <c r="Z3922" s="2" t="s">
        <v>3226</v>
      </c>
      <c r="AA3922" s="2" t="s">
        <v>46</v>
      </c>
      <c r="AB3922" s="2" t="s">
        <v>56</v>
      </c>
      <c r="AC3922" s="2" t="s">
        <v>57</v>
      </c>
      <c r="AF3922" s="2">
        <f t="shared" si="584"/>
        <v>0</v>
      </c>
      <c r="AG3922" s="2">
        <v>10.6</v>
      </c>
      <c r="AH3922" s="2">
        <v>18</v>
      </c>
      <c r="AJ3922" s="2">
        <f t="shared" si="585"/>
        <v>0</v>
      </c>
      <c r="AK3922" s="2">
        <f t="shared" si="583"/>
        <v>17.600000000000001</v>
      </c>
      <c r="AL3922" s="5">
        <f t="shared" si="588"/>
        <v>0.29333333333333333</v>
      </c>
    </row>
    <row r="3923" spans="1:38" x14ac:dyDescent="0.2">
      <c r="A3923" s="2">
        <v>2026</v>
      </c>
      <c r="B3923" s="2">
        <v>5</v>
      </c>
      <c r="D3923" s="2" t="s">
        <v>382</v>
      </c>
      <c r="E3923" s="2" t="s">
        <v>38</v>
      </c>
      <c r="F3923" s="2" t="s">
        <v>39</v>
      </c>
      <c r="G3923" s="2">
        <v>212196260</v>
      </c>
      <c r="H3923" s="2" t="s">
        <v>109</v>
      </c>
      <c r="I3923" s="2" t="s">
        <v>383</v>
      </c>
      <c r="J3923" s="2" t="s">
        <v>384</v>
      </c>
      <c r="K3923" s="2">
        <v>926769894</v>
      </c>
      <c r="L3923" s="2" t="s">
        <v>112</v>
      </c>
      <c r="M3923" s="2" t="s">
        <v>290</v>
      </c>
      <c r="O3923" s="2" t="s">
        <v>2949</v>
      </c>
      <c r="P3923" s="2" t="s">
        <v>43</v>
      </c>
      <c r="Q3923" s="2" t="s">
        <v>2869</v>
      </c>
      <c r="R3923" s="2" t="s">
        <v>2870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587"/>
        <v>0.28439999999999999</v>
      </c>
      <c r="Z3923" s="2" t="s">
        <v>3226</v>
      </c>
      <c r="AA3923" s="2" t="s">
        <v>46</v>
      </c>
      <c r="AB3923" s="2" t="s">
        <v>90</v>
      </c>
      <c r="AC3923" s="2" t="s">
        <v>57</v>
      </c>
      <c r="AF3923" s="2">
        <f t="shared" si="584"/>
        <v>0</v>
      </c>
      <c r="AJ3923" s="2">
        <f t="shared" si="585"/>
        <v>0</v>
      </c>
      <c r="AK3923" s="2">
        <f t="shared" si="583"/>
        <v>14.219999999999999</v>
      </c>
      <c r="AL3923" s="5">
        <f t="shared" si="588"/>
        <v>0.28439999999999999</v>
      </c>
    </row>
    <row r="3924" spans="1:38" x14ac:dyDescent="0.2">
      <c r="A3924" s="2">
        <v>2026</v>
      </c>
      <c r="B3924" s="2">
        <v>5</v>
      </c>
      <c r="D3924" s="2" t="s">
        <v>775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776</v>
      </c>
      <c r="J3924" s="2" t="s">
        <v>777</v>
      </c>
      <c r="L3924" s="2" t="s">
        <v>339</v>
      </c>
      <c r="M3924" s="2" t="s">
        <v>40</v>
      </c>
      <c r="O3924" s="2" t="s">
        <v>2950</v>
      </c>
      <c r="P3924" s="2" t="s">
        <v>114</v>
      </c>
      <c r="Q3924" s="2" t="s">
        <v>779</v>
      </c>
      <c r="R3924" s="2" t="s">
        <v>780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36.2258*S3924</f>
        <v>72.451599999999999</v>
      </c>
      <c r="X3924" s="5">
        <f t="shared" si="587"/>
        <v>0.53905331467107775</v>
      </c>
      <c r="Z3924" s="2" t="s">
        <v>117</v>
      </c>
      <c r="AA3924" s="2" t="s">
        <v>118</v>
      </c>
      <c r="AB3924" s="2" t="s">
        <v>119</v>
      </c>
      <c r="AC3924" s="2" t="s">
        <v>114</v>
      </c>
      <c r="AF3924" s="2">
        <f t="shared" si="584"/>
        <v>0</v>
      </c>
      <c r="AG3924" s="2">
        <v>35.931699999999999</v>
      </c>
      <c r="AJ3924" s="2">
        <f t="shared" si="585"/>
        <v>0</v>
      </c>
      <c r="AK3924" s="2">
        <f t="shared" ref="AK3924:AK3940" si="589">T3924-W3924</f>
        <v>84.728400000000008</v>
      </c>
      <c r="AL3924" s="5">
        <f t="shared" si="588"/>
        <v>0.53905331467107775</v>
      </c>
    </row>
    <row r="3925" spans="1:38" x14ac:dyDescent="0.2">
      <c r="A3925" s="2">
        <v>2026</v>
      </c>
      <c r="B3925" s="2">
        <v>5</v>
      </c>
      <c r="D3925" s="2" t="s">
        <v>781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782</v>
      </c>
      <c r="J3925" s="2" t="s">
        <v>783</v>
      </c>
      <c r="K3925" s="2">
        <v>917341136</v>
      </c>
      <c r="L3925" s="2" t="s">
        <v>99</v>
      </c>
      <c r="P3925" s="2" t="s">
        <v>43</v>
      </c>
      <c r="Q3925" s="2" t="s">
        <v>65</v>
      </c>
      <c r="R3925" s="2" t="s">
        <v>66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587"/>
        <v>0.45578623188405798</v>
      </c>
      <c r="Z3925" s="2" t="s">
        <v>3226</v>
      </c>
      <c r="AA3925" s="2" t="s">
        <v>46</v>
      </c>
      <c r="AB3925" s="2" t="s">
        <v>67</v>
      </c>
      <c r="AC3925" s="2" t="s">
        <v>57</v>
      </c>
      <c r="AF3925" s="2">
        <f t="shared" si="584"/>
        <v>0</v>
      </c>
      <c r="AG3925" s="2">
        <v>15.020300000000001</v>
      </c>
      <c r="AH3925" s="2">
        <v>27.6</v>
      </c>
      <c r="AJ3925" s="2">
        <f t="shared" si="585"/>
        <v>0</v>
      </c>
      <c r="AK3925" s="2">
        <f t="shared" si="589"/>
        <v>12.579700000000001</v>
      </c>
      <c r="AL3925" s="5">
        <f t="shared" si="588"/>
        <v>0.45578623188405798</v>
      </c>
    </row>
    <row r="3926" spans="1:38" x14ac:dyDescent="0.2">
      <c r="A3926" s="2">
        <v>2026</v>
      </c>
      <c r="B3926" s="2">
        <v>5</v>
      </c>
      <c r="D3926" s="2" t="s">
        <v>2951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2952</v>
      </c>
      <c r="J3926" s="2" t="s">
        <v>2953</v>
      </c>
      <c r="K3926" s="2">
        <v>962543971</v>
      </c>
      <c r="L3926" s="2" t="s">
        <v>133</v>
      </c>
      <c r="M3926" s="2" t="s">
        <v>109</v>
      </c>
      <c r="O3926" s="2" t="s">
        <v>2954</v>
      </c>
      <c r="P3926" s="2" t="s">
        <v>72</v>
      </c>
      <c r="Q3926" s="2" t="s">
        <v>484</v>
      </c>
      <c r="R3926" s="2" t="s">
        <v>74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587"/>
        <v>0.42639130434782607</v>
      </c>
      <c r="Z3926" s="2" t="s">
        <v>3226</v>
      </c>
      <c r="AA3926" s="2" t="s">
        <v>75</v>
      </c>
      <c r="AB3926" s="2" t="s">
        <v>76</v>
      </c>
      <c r="AC3926" s="2" t="s">
        <v>77</v>
      </c>
      <c r="AF3926" s="2">
        <f t="shared" si="584"/>
        <v>0</v>
      </c>
      <c r="AG3926" s="2">
        <v>131.93</v>
      </c>
      <c r="AH3926" s="2">
        <v>220</v>
      </c>
      <c r="AJ3926" s="2">
        <f t="shared" si="585"/>
        <v>0</v>
      </c>
      <c r="AK3926" s="2">
        <f t="shared" si="589"/>
        <v>98.07</v>
      </c>
      <c r="AL3926" s="5">
        <f t="shared" si="588"/>
        <v>0.42639130434782607</v>
      </c>
    </row>
    <row r="3927" spans="1:38" x14ac:dyDescent="0.2">
      <c r="A3927" s="2">
        <v>2026</v>
      </c>
      <c r="B3927" s="2">
        <v>5</v>
      </c>
      <c r="D3927" s="2" t="s">
        <v>2951</v>
      </c>
      <c r="P3927" s="2" t="s">
        <v>93</v>
      </c>
      <c r="Q3927" s="2" t="s">
        <v>94</v>
      </c>
      <c r="R3927" s="2" t="s">
        <v>95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587"/>
        <v>0</v>
      </c>
      <c r="Z3927" s="2" t="s">
        <v>3226</v>
      </c>
      <c r="AA3927" s="2" t="s">
        <v>96</v>
      </c>
      <c r="AB3927" s="2" t="s">
        <v>76</v>
      </c>
      <c r="AC3927" s="2" t="s">
        <v>93</v>
      </c>
      <c r="AF3927" s="2">
        <f t="shared" si="584"/>
        <v>0</v>
      </c>
      <c r="AJ3927" s="2">
        <f t="shared" si="585"/>
        <v>0</v>
      </c>
      <c r="AK3927" s="2">
        <f t="shared" si="589"/>
        <v>0</v>
      </c>
      <c r="AL3927" s="5">
        <f t="shared" si="588"/>
        <v>0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2923</v>
      </c>
      <c r="R3928" s="2" t="s">
        <v>269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587"/>
        <v>0.65133333333333332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584"/>
        <v>0</v>
      </c>
      <c r="AG3928" s="2">
        <v>5.23</v>
      </c>
      <c r="AH3928" s="2">
        <v>10.8</v>
      </c>
      <c r="AJ3928" s="2">
        <f t="shared" si="585"/>
        <v>0</v>
      </c>
      <c r="AK3928" s="2">
        <f t="shared" si="589"/>
        <v>9.77</v>
      </c>
      <c r="AL3928" s="5">
        <f t="shared" si="588"/>
        <v>0.65133333333333332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O3929" s="2" t="s">
        <v>2955</v>
      </c>
      <c r="P3929" s="2" t="s">
        <v>43</v>
      </c>
      <c r="Q3929" s="2" t="s">
        <v>2924</v>
      </c>
      <c r="R3929" s="2" t="s">
        <v>2925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f>0.97*S3929</f>
        <v>0.97</v>
      </c>
      <c r="X3929" s="5">
        <f t="shared" si="587"/>
        <v>0.80600000000000005</v>
      </c>
      <c r="Z3929" s="2" t="s">
        <v>3226</v>
      </c>
      <c r="AA3929" s="2" t="s">
        <v>46</v>
      </c>
      <c r="AB3929" s="2" t="s">
        <v>90</v>
      </c>
      <c r="AC3929" s="2" t="s">
        <v>57</v>
      </c>
      <c r="AF3929" s="2">
        <f t="shared" si="584"/>
        <v>0</v>
      </c>
      <c r="AG3929" s="2">
        <v>0.97</v>
      </c>
      <c r="AH3929" s="2">
        <v>6</v>
      </c>
      <c r="AJ3929" s="2">
        <f t="shared" si="585"/>
        <v>0</v>
      </c>
      <c r="AK3929" s="2">
        <f t="shared" si="589"/>
        <v>4.03</v>
      </c>
      <c r="AL3929" s="5">
        <f t="shared" si="588"/>
        <v>0.80600000000000005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160</v>
      </c>
      <c r="R3930" s="2" t="s">
        <v>161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587"/>
        <v>0.58491111111111116</v>
      </c>
      <c r="Z3930" s="2" t="s">
        <v>3226</v>
      </c>
      <c r="AA3930" s="2" t="s">
        <v>46</v>
      </c>
      <c r="AB3930" s="2" t="s">
        <v>47</v>
      </c>
      <c r="AC3930" s="2" t="s">
        <v>57</v>
      </c>
      <c r="AF3930" s="2">
        <f t="shared" si="584"/>
        <v>0</v>
      </c>
      <c r="AG3930" s="2">
        <v>3.7357999999999998</v>
      </c>
      <c r="AH3930" s="2">
        <v>9</v>
      </c>
      <c r="AJ3930" s="2">
        <f t="shared" si="585"/>
        <v>0</v>
      </c>
      <c r="AK3930" s="2">
        <f t="shared" si="589"/>
        <v>5.2642000000000007</v>
      </c>
      <c r="AL3930" s="5">
        <f t="shared" si="588"/>
        <v>0.58491111111111116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54</v>
      </c>
      <c r="R3931" s="2" t="s">
        <v>55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587"/>
        <v>0.41111111111111109</v>
      </c>
      <c r="Z3931" s="2" t="s">
        <v>3226</v>
      </c>
      <c r="AA3931" s="2" t="s">
        <v>46</v>
      </c>
      <c r="AB3931" s="2" t="s">
        <v>56</v>
      </c>
      <c r="AC3931" s="2" t="s">
        <v>57</v>
      </c>
      <c r="AF3931" s="2">
        <f t="shared" si="584"/>
        <v>0</v>
      </c>
      <c r="AG3931" s="2">
        <v>10.6</v>
      </c>
      <c r="AH3931" s="2">
        <v>18</v>
      </c>
      <c r="AJ3931" s="2">
        <f t="shared" si="585"/>
        <v>0</v>
      </c>
      <c r="AK3931" s="2">
        <f t="shared" si="589"/>
        <v>37</v>
      </c>
      <c r="AL3931" s="5">
        <f t="shared" si="588"/>
        <v>0.41111111111111109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61</v>
      </c>
      <c r="R3932" s="2" t="s">
        <v>62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587"/>
        <v>0.24885496183206102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584"/>
        <v>0</v>
      </c>
      <c r="AG3932" s="2">
        <v>8.1999999999999993</v>
      </c>
      <c r="AH3932" s="2">
        <v>13</v>
      </c>
      <c r="AJ3932" s="2">
        <f t="shared" si="585"/>
        <v>0</v>
      </c>
      <c r="AK3932" s="2">
        <f t="shared" si="589"/>
        <v>32.599999999999994</v>
      </c>
      <c r="AL3932" s="5">
        <f t="shared" si="588"/>
        <v>0.24885496183206102</v>
      </c>
    </row>
    <row r="3933" spans="1:38" x14ac:dyDescent="0.2">
      <c r="A3933" s="2">
        <v>2026</v>
      </c>
      <c r="B3933" s="2">
        <v>5</v>
      </c>
      <c r="D3933" s="2" t="s">
        <v>422</v>
      </c>
      <c r="E3933" s="2" t="s">
        <v>98</v>
      </c>
      <c r="F3933" s="2" t="s">
        <v>39</v>
      </c>
      <c r="G3933" s="2">
        <v>503523470</v>
      </c>
      <c r="H3933" s="2" t="s">
        <v>40</v>
      </c>
      <c r="I3933" s="2" t="s">
        <v>423</v>
      </c>
      <c r="J3933" s="2" t="s">
        <v>424</v>
      </c>
      <c r="L3933" s="2" t="s">
        <v>201</v>
      </c>
      <c r="M3933" s="2" t="s">
        <v>80</v>
      </c>
      <c r="P3933" s="2" t="s">
        <v>43</v>
      </c>
      <c r="Q3933" s="2" t="s">
        <v>254</v>
      </c>
      <c r="R3933" s="2" t="s">
        <v>255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587"/>
        <v>0.42875000000000008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584"/>
        <v>0</v>
      </c>
      <c r="AJ3933" s="2">
        <f t="shared" si="585"/>
        <v>0</v>
      </c>
      <c r="AK3933" s="2">
        <f t="shared" si="589"/>
        <v>6.8600000000000012</v>
      </c>
      <c r="AL3933" s="5">
        <f t="shared" si="588"/>
        <v>0.42875000000000008</v>
      </c>
    </row>
    <row r="3934" spans="1:38" x14ac:dyDescent="0.2">
      <c r="A3934" s="2">
        <v>2026</v>
      </c>
      <c r="B3934" s="2">
        <v>5</v>
      </c>
      <c r="D3934" s="2" t="s">
        <v>425</v>
      </c>
      <c r="E3934" s="2" t="s">
        <v>98</v>
      </c>
      <c r="F3934" s="2" t="s">
        <v>39</v>
      </c>
      <c r="G3934" s="2">
        <v>510613888</v>
      </c>
      <c r="H3934" s="2" t="s">
        <v>40</v>
      </c>
      <c r="I3934" s="2" t="s">
        <v>426</v>
      </c>
      <c r="J3934" s="2" t="s">
        <v>427</v>
      </c>
      <c r="L3934" s="2" t="s">
        <v>99</v>
      </c>
      <c r="M3934" s="2" t="s">
        <v>80</v>
      </c>
      <c r="P3934" s="2" t="s">
        <v>43</v>
      </c>
      <c r="Q3934" s="2" t="s">
        <v>61</v>
      </c>
      <c r="R3934" s="2" t="s">
        <v>62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587"/>
        <v>0.36923076923076914</v>
      </c>
      <c r="Z3934" s="2" t="s">
        <v>3226</v>
      </c>
      <c r="AA3934" s="2" t="s">
        <v>46</v>
      </c>
      <c r="AB3934" s="2" t="s">
        <v>60</v>
      </c>
      <c r="AC3934" s="2" t="s">
        <v>57</v>
      </c>
      <c r="AF3934" s="2">
        <f t="shared" si="584"/>
        <v>0</v>
      </c>
      <c r="AG3934" s="2">
        <v>8.1999999999999993</v>
      </c>
      <c r="AH3934" s="2">
        <v>13</v>
      </c>
      <c r="AJ3934" s="2">
        <f t="shared" si="585"/>
        <v>0</v>
      </c>
      <c r="AK3934" s="2">
        <f t="shared" si="589"/>
        <v>4.7999999999999989</v>
      </c>
      <c r="AL3934" s="5">
        <f t="shared" si="588"/>
        <v>0.36923076923076914</v>
      </c>
    </row>
    <row r="3935" spans="1:38" x14ac:dyDescent="0.2">
      <c r="A3935" s="2">
        <v>2026</v>
      </c>
      <c r="B3935" s="2">
        <v>5</v>
      </c>
      <c r="C3935" s="2" t="s">
        <v>3434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72</v>
      </c>
      <c r="Q3935" s="2" t="s">
        <v>73</v>
      </c>
      <c r="R3935" s="2" t="s">
        <v>74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587"/>
        <v>0.42947272727272723</v>
      </c>
      <c r="Z3935" s="2" t="s">
        <v>3226</v>
      </c>
      <c r="AA3935" s="2" t="s">
        <v>75</v>
      </c>
      <c r="AB3935" s="2" t="s">
        <v>76</v>
      </c>
      <c r="AC3935" s="2" t="s">
        <v>77</v>
      </c>
      <c r="AF3935" s="2">
        <f t="shared" si="584"/>
        <v>0</v>
      </c>
      <c r="AG3935" s="2">
        <v>125.51600000000001</v>
      </c>
      <c r="AH3935" s="2">
        <v>220</v>
      </c>
      <c r="AJ3935" s="2">
        <f t="shared" si="585"/>
        <v>0</v>
      </c>
      <c r="AK3935" s="2">
        <f t="shared" si="589"/>
        <v>94.483999999999995</v>
      </c>
      <c r="AL3935" s="5">
        <f t="shared" si="588"/>
        <v>0.42947272727272723</v>
      </c>
    </row>
    <row r="3936" spans="1:38" x14ac:dyDescent="0.2">
      <c r="A3936" s="2">
        <v>2026</v>
      </c>
      <c r="B3936" s="2">
        <v>5</v>
      </c>
      <c r="C3936" s="2" t="s">
        <v>3434</v>
      </c>
      <c r="D3936" s="2" t="s">
        <v>433</v>
      </c>
      <c r="E3936" s="2" t="s">
        <v>38</v>
      </c>
      <c r="F3936" s="2" t="s">
        <v>39</v>
      </c>
      <c r="G3936" s="2">
        <v>507405250</v>
      </c>
      <c r="L3936" s="2" t="s">
        <v>99</v>
      </c>
      <c r="M3936" s="2" t="s">
        <v>41</v>
      </c>
      <c r="P3936" s="2" t="s">
        <v>93</v>
      </c>
      <c r="Q3936" s="2" t="s">
        <v>94</v>
      </c>
      <c r="R3936" s="2" t="s">
        <v>95</v>
      </c>
      <c r="S3936" s="2">
        <v>1</v>
      </c>
      <c r="T3936" s="2">
        <v>1.48</v>
      </c>
      <c r="U3936" s="2">
        <v>0.34039999999999998</v>
      </c>
      <c r="V3936" s="2">
        <v>1.8204</v>
      </c>
      <c r="W3936" s="2">
        <v>1.48</v>
      </c>
      <c r="X3936" s="5">
        <f t="shared" si="587"/>
        <v>0</v>
      </c>
      <c r="Z3936" s="2" t="s">
        <v>3226</v>
      </c>
      <c r="AA3936" s="2" t="s">
        <v>96</v>
      </c>
      <c r="AB3936" s="2" t="s">
        <v>76</v>
      </c>
      <c r="AC3936" s="2" t="s">
        <v>93</v>
      </c>
      <c r="AF3936" s="2">
        <f t="shared" si="584"/>
        <v>0</v>
      </c>
      <c r="AJ3936" s="2">
        <f t="shared" si="585"/>
        <v>0</v>
      </c>
      <c r="AK3936" s="2">
        <f t="shared" si="589"/>
        <v>0</v>
      </c>
      <c r="AL3936" s="5">
        <f t="shared" si="588"/>
        <v>0</v>
      </c>
    </row>
    <row r="3937" spans="1:38" x14ac:dyDescent="0.2">
      <c r="A3937" s="2">
        <v>2026</v>
      </c>
      <c r="B3937" s="2">
        <v>5</v>
      </c>
      <c r="C3937" s="2" t="s">
        <v>3369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1038</v>
      </c>
      <c r="Q3937" s="2" t="s">
        <v>2957</v>
      </c>
      <c r="R3937" s="2" t="s">
        <v>2958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587"/>
        <v>0.35232383808095952</v>
      </c>
      <c r="Z3937" s="2" t="s">
        <v>3226</v>
      </c>
      <c r="AA3937" s="2" t="s">
        <v>75</v>
      </c>
      <c r="AB3937" s="2" t="s">
        <v>76</v>
      </c>
      <c r="AC3937" s="2" t="s">
        <v>1038</v>
      </c>
      <c r="AF3937" s="2">
        <f t="shared" si="584"/>
        <v>0</v>
      </c>
      <c r="AJ3937" s="2">
        <f t="shared" si="585"/>
        <v>0</v>
      </c>
      <c r="AK3937" s="2">
        <f t="shared" si="589"/>
        <v>94</v>
      </c>
      <c r="AL3937" s="5">
        <f t="shared" si="588"/>
        <v>0.35232383808095952</v>
      </c>
    </row>
    <row r="3938" spans="1:38" x14ac:dyDescent="0.2">
      <c r="A3938" s="2">
        <v>2026</v>
      </c>
      <c r="B3938" s="2">
        <v>5</v>
      </c>
      <c r="C3938" s="2" t="s">
        <v>3369</v>
      </c>
      <c r="D3938" s="2" t="s">
        <v>1017</v>
      </c>
      <c r="E3938" s="2" t="s">
        <v>108</v>
      </c>
      <c r="F3938" s="2" t="s">
        <v>477</v>
      </c>
      <c r="G3938" s="2">
        <v>505647338</v>
      </c>
      <c r="H3938" s="2" t="s">
        <v>290</v>
      </c>
      <c r="I3938" s="2" t="s">
        <v>1018</v>
      </c>
      <c r="J3938" s="2" t="s">
        <v>1019</v>
      </c>
      <c r="L3938" s="2" t="s">
        <v>293</v>
      </c>
      <c r="M3938" s="2" t="s">
        <v>80</v>
      </c>
      <c r="O3938" s="2" t="s">
        <v>2956</v>
      </c>
      <c r="P3938" s="2" t="s">
        <v>93</v>
      </c>
      <c r="Q3938" s="2" t="s">
        <v>94</v>
      </c>
      <c r="R3938" s="2" t="s">
        <v>95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587"/>
        <v>0</v>
      </c>
      <c r="Z3938" s="2" t="s">
        <v>3226</v>
      </c>
      <c r="AA3938" s="2" t="s">
        <v>96</v>
      </c>
      <c r="AB3938" s="2" t="s">
        <v>76</v>
      </c>
      <c r="AC3938" s="2" t="s">
        <v>93</v>
      </c>
      <c r="AF3938" s="2">
        <f t="shared" si="584"/>
        <v>0</v>
      </c>
      <c r="AG3938" s="2">
        <v>1.48</v>
      </c>
      <c r="AH3938" s="2">
        <v>1.48</v>
      </c>
      <c r="AJ3938" s="2">
        <f t="shared" si="585"/>
        <v>0</v>
      </c>
      <c r="AK3938" s="2">
        <f t="shared" si="589"/>
        <v>0</v>
      </c>
      <c r="AL3938" s="5">
        <f t="shared" si="588"/>
        <v>0</v>
      </c>
    </row>
    <row r="3939" spans="1:38" x14ac:dyDescent="0.2">
      <c r="A3939" s="2">
        <v>2026</v>
      </c>
      <c r="B3939" s="2">
        <v>5</v>
      </c>
      <c r="C3939" s="2" t="s">
        <v>3449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O3939" s="2" t="s">
        <v>2959</v>
      </c>
      <c r="P3939" s="2" t="s">
        <v>72</v>
      </c>
      <c r="Q3939" s="2" t="s">
        <v>1075</v>
      </c>
      <c r="R3939" s="2" t="s">
        <v>83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587"/>
        <v>0.38066770186335414</v>
      </c>
      <c r="Z3939" s="2" t="s">
        <v>3226</v>
      </c>
      <c r="AA3939" s="2" t="s">
        <v>75</v>
      </c>
      <c r="AB3939" s="2" t="s">
        <v>76</v>
      </c>
      <c r="AC3939" s="2" t="s">
        <v>77</v>
      </c>
      <c r="AF3939" s="2">
        <f t="shared" si="584"/>
        <v>0</v>
      </c>
      <c r="AG3939" s="2">
        <f>144.14+15.4</f>
        <v>159.54</v>
      </c>
      <c r="AH3939" s="2">
        <v>280</v>
      </c>
      <c r="AJ3939" s="2">
        <f t="shared" si="585"/>
        <v>0</v>
      </c>
      <c r="AK3939" s="2">
        <f t="shared" si="589"/>
        <v>98.060000000000031</v>
      </c>
      <c r="AL3939" s="5">
        <f t="shared" si="588"/>
        <v>0.38066770186335414</v>
      </c>
    </row>
    <row r="3940" spans="1:38" x14ac:dyDescent="0.2">
      <c r="A3940" s="2">
        <v>2026</v>
      </c>
      <c r="B3940" s="2">
        <v>5</v>
      </c>
      <c r="C3940" s="2" t="s">
        <v>3449</v>
      </c>
      <c r="D3940" s="2" t="s">
        <v>1901</v>
      </c>
      <c r="E3940" s="2" t="s">
        <v>38</v>
      </c>
      <c r="F3940" s="2" t="s">
        <v>39</v>
      </c>
      <c r="G3940" s="2">
        <v>505757486</v>
      </c>
      <c r="L3940" s="2" t="s">
        <v>201</v>
      </c>
      <c r="M3940" s="2" t="s">
        <v>80</v>
      </c>
      <c r="P3940" s="2" t="s">
        <v>93</v>
      </c>
      <c r="Q3940" s="2" t="s">
        <v>94</v>
      </c>
      <c r="R3940" s="2" t="s">
        <v>95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587"/>
        <v>0</v>
      </c>
      <c r="Z3940" s="2" t="s">
        <v>3226</v>
      </c>
      <c r="AA3940" s="2" t="s">
        <v>96</v>
      </c>
      <c r="AB3940" s="2" t="s">
        <v>76</v>
      </c>
      <c r="AC3940" s="2" t="s">
        <v>93</v>
      </c>
      <c r="AF3940" s="2">
        <f t="shared" si="584"/>
        <v>0</v>
      </c>
      <c r="AJ3940" s="2">
        <f t="shared" si="585"/>
        <v>0</v>
      </c>
      <c r="AK3940" s="2">
        <f t="shared" si="589"/>
        <v>0</v>
      </c>
      <c r="AL3940" s="5">
        <f t="shared" si="588"/>
        <v>0</v>
      </c>
    </row>
    <row r="3941" spans="1:38" x14ac:dyDescent="0.2">
      <c r="A3941" s="2">
        <v>2026</v>
      </c>
      <c r="B3941" s="2">
        <v>5</v>
      </c>
      <c r="C3941" s="2" t="s">
        <v>3434</v>
      </c>
      <c r="D3941" s="2" t="s">
        <v>451</v>
      </c>
      <c r="E3941" s="2" t="s">
        <v>108</v>
      </c>
      <c r="F3941" s="2" t="s">
        <v>39</v>
      </c>
      <c r="G3941" s="2">
        <v>506085686</v>
      </c>
      <c r="H3941" s="2" t="s">
        <v>40</v>
      </c>
      <c r="I3941" s="2" t="s">
        <v>452</v>
      </c>
      <c r="J3941" s="2" t="s">
        <v>453</v>
      </c>
      <c r="K3941" s="2">
        <v>917241919</v>
      </c>
      <c r="L3941" s="2" t="s">
        <v>398</v>
      </c>
      <c r="M3941" s="2" t="s">
        <v>40</v>
      </c>
      <c r="P3941" s="2" t="s">
        <v>40</v>
      </c>
      <c r="Q3941" s="2" t="s">
        <v>140</v>
      </c>
      <c r="R3941" s="2" t="s">
        <v>141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119</v>
      </c>
      <c r="AA3941" s="2" t="s">
        <v>142</v>
      </c>
      <c r="AF3941" s="2">
        <f t="shared" si="584"/>
        <v>0</v>
      </c>
      <c r="AJ3941" s="2">
        <f t="shared" si="585"/>
        <v>0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1436</v>
      </c>
      <c r="R3942" s="2" t="s">
        <v>1437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590">(T3942-W3942)/T3942</f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584"/>
        <v>0</v>
      </c>
      <c r="AG3942" s="2">
        <v>5.1349999999999998</v>
      </c>
      <c r="AJ3942" s="2">
        <f t="shared" si="585"/>
        <v>0</v>
      </c>
      <c r="AK3942" s="2">
        <f t="shared" ref="AK3942:AK3950" si="591">T3942-W3942</f>
        <v>17.650000000000006</v>
      </c>
      <c r="AL3942" s="5">
        <f t="shared" ref="AL3942:AL3947" si="592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282</v>
      </c>
      <c r="Q3943" s="2" t="s">
        <v>1588</v>
      </c>
      <c r="R3943" s="2" t="s">
        <v>1589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590"/>
        <v>0.25579710144927542</v>
      </c>
      <c r="Z3943" s="2" t="s">
        <v>3226</v>
      </c>
      <c r="AA3943" s="2" t="s">
        <v>71</v>
      </c>
      <c r="AB3943" s="2" t="s">
        <v>119</v>
      </c>
      <c r="AC3943" s="2" t="s">
        <v>119</v>
      </c>
      <c r="AF3943" s="2">
        <f t="shared" si="584"/>
        <v>0</v>
      </c>
      <c r="AG3943" s="2">
        <v>5.1349999999999998</v>
      </c>
      <c r="AJ3943" s="2">
        <f t="shared" si="585"/>
        <v>0</v>
      </c>
      <c r="AK3943" s="2">
        <f t="shared" si="591"/>
        <v>17.650000000000006</v>
      </c>
      <c r="AL3943" s="5">
        <f t="shared" si="592"/>
        <v>0.25579710144927542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50</v>
      </c>
      <c r="R3944" s="2" t="s">
        <v>51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590"/>
        <v>0.31428571428571428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584"/>
        <v>0</v>
      </c>
      <c r="AG3944" s="2">
        <v>14.4</v>
      </c>
      <c r="AH3944" s="2">
        <v>21</v>
      </c>
      <c r="AJ3944" s="2">
        <f t="shared" si="585"/>
        <v>0</v>
      </c>
      <c r="AK3944" s="2">
        <f t="shared" si="591"/>
        <v>6.6</v>
      </c>
      <c r="AL3944" s="5">
        <f t="shared" si="592"/>
        <v>0.31428571428571428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859</v>
      </c>
      <c r="R3945" s="2" t="s">
        <v>860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590"/>
        <v>0.61904761904761907</v>
      </c>
      <c r="Z3945" s="2" t="s">
        <v>3226</v>
      </c>
      <c r="AA3945" s="2" t="s">
        <v>46</v>
      </c>
      <c r="AB3945" s="2" t="s">
        <v>47</v>
      </c>
      <c r="AC3945" s="2" t="s">
        <v>57</v>
      </c>
      <c r="AF3945" s="2">
        <f t="shared" si="584"/>
        <v>0</v>
      </c>
      <c r="AJ3945" s="2">
        <f t="shared" si="585"/>
        <v>0</v>
      </c>
      <c r="AK3945" s="2">
        <f t="shared" si="591"/>
        <v>26</v>
      </c>
      <c r="AL3945" s="5">
        <f t="shared" si="592"/>
        <v>0.61904761904761907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244</v>
      </c>
      <c r="R3946" s="2" t="s">
        <v>245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f>9.2346*S3946</f>
        <v>9.2346000000000004</v>
      </c>
      <c r="X3946" s="5">
        <f t="shared" si="590"/>
        <v>0.48696666666666666</v>
      </c>
      <c r="Z3946" s="2" t="s">
        <v>3226</v>
      </c>
      <c r="AA3946" s="2" t="s">
        <v>46</v>
      </c>
      <c r="AB3946" s="2" t="s">
        <v>56</v>
      </c>
      <c r="AC3946" s="2" t="s">
        <v>57</v>
      </c>
      <c r="AF3946" s="2">
        <f t="shared" si="584"/>
        <v>0</v>
      </c>
      <c r="AG3946" s="2">
        <v>9.2346000000000004</v>
      </c>
      <c r="AJ3946" s="2">
        <f t="shared" si="585"/>
        <v>0</v>
      </c>
      <c r="AK3946" s="2">
        <f t="shared" si="591"/>
        <v>8.7653999999999996</v>
      </c>
      <c r="AL3946" s="5">
        <f t="shared" si="592"/>
        <v>0.48696666666666666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61</v>
      </c>
      <c r="R3947" s="2" t="s">
        <v>62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590"/>
        <v>0.25454545454545452</v>
      </c>
      <c r="Z3947" s="2" t="s">
        <v>3226</v>
      </c>
      <c r="AA3947" s="2" t="s">
        <v>46</v>
      </c>
      <c r="AB3947" s="2" t="s">
        <v>60</v>
      </c>
      <c r="AC3947" s="2" t="s">
        <v>57</v>
      </c>
      <c r="AF3947" s="2">
        <f t="shared" si="584"/>
        <v>0</v>
      </c>
      <c r="AG3947" s="2">
        <v>8.1999999999999993</v>
      </c>
      <c r="AH3947" s="2">
        <v>13</v>
      </c>
      <c r="AJ3947" s="2">
        <f t="shared" si="585"/>
        <v>0</v>
      </c>
      <c r="AK3947" s="2">
        <f t="shared" si="591"/>
        <v>28</v>
      </c>
      <c r="AL3947" s="5">
        <f t="shared" si="592"/>
        <v>0.25454545454545452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2964</v>
      </c>
      <c r="R3948" s="2" t="s">
        <v>2965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584"/>
        <v>0</v>
      </c>
      <c r="AG3948" s="2">
        <v>19.68</v>
      </c>
      <c r="AJ3948" s="2">
        <f t="shared" si="585"/>
        <v>0</v>
      </c>
      <c r="AK3948" s="2">
        <f t="shared" si="591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2960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2961</v>
      </c>
      <c r="J3949" s="2" t="s">
        <v>2962</v>
      </c>
      <c r="K3949" s="2">
        <v>966567958</v>
      </c>
      <c r="L3949" s="2" t="s">
        <v>344</v>
      </c>
      <c r="M3949" s="2" t="s">
        <v>80</v>
      </c>
      <c r="O3949" s="2" t="s">
        <v>2963</v>
      </c>
      <c r="P3949" s="2" t="s">
        <v>43</v>
      </c>
      <c r="Q3949" s="2" t="s">
        <v>2966</v>
      </c>
      <c r="R3949" s="2" t="s">
        <v>2967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3226</v>
      </c>
      <c r="AA3949" s="2" t="s">
        <v>46</v>
      </c>
      <c r="AB3949" s="2" t="s">
        <v>56</v>
      </c>
      <c r="AC3949" s="2" t="s">
        <v>57</v>
      </c>
      <c r="AF3949" s="2">
        <f t="shared" si="584"/>
        <v>0</v>
      </c>
      <c r="AG3949" s="2">
        <v>11.525</v>
      </c>
      <c r="AJ3949" s="2">
        <f t="shared" si="585"/>
        <v>0</v>
      </c>
      <c r="AK3949" s="2">
        <f t="shared" si="591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2238</v>
      </c>
      <c r="E3950" s="2" t="s">
        <v>108</v>
      </c>
      <c r="F3950" s="2" t="s">
        <v>39</v>
      </c>
      <c r="G3950" s="2">
        <v>2000750098</v>
      </c>
      <c r="H3950" s="2" t="s">
        <v>41</v>
      </c>
      <c r="I3950" s="2" t="s">
        <v>2968</v>
      </c>
      <c r="J3950" s="2" t="s">
        <v>2969</v>
      </c>
      <c r="K3950" s="2">
        <v>939310247</v>
      </c>
      <c r="L3950" s="2" t="s">
        <v>461</v>
      </c>
      <c r="M3950" s="2" t="s">
        <v>40</v>
      </c>
      <c r="O3950" s="2" t="s">
        <v>2970</v>
      </c>
      <c r="P3950" s="2" t="s">
        <v>114</v>
      </c>
      <c r="Q3950" s="2" t="s">
        <v>576</v>
      </c>
      <c r="R3950" s="2" t="s">
        <v>577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117</v>
      </c>
      <c r="AA3950" s="2" t="s">
        <v>578</v>
      </c>
      <c r="AB3950" s="2" t="s">
        <v>119</v>
      </c>
      <c r="AC3950" s="2" t="s">
        <v>114</v>
      </c>
      <c r="AF3950" s="2">
        <f t="shared" si="584"/>
        <v>0</v>
      </c>
      <c r="AG3950" s="2">
        <v>25.2</v>
      </c>
      <c r="AJ3950" s="2">
        <f t="shared" si="585"/>
        <v>0</v>
      </c>
      <c r="AK3950" s="2">
        <f t="shared" si="591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462</v>
      </c>
      <c r="E3951" s="2" t="s">
        <v>108</v>
      </c>
      <c r="F3951" s="2" t="s">
        <v>39</v>
      </c>
      <c r="G3951" s="2">
        <v>506531031</v>
      </c>
      <c r="H3951" s="2" t="s">
        <v>109</v>
      </c>
      <c r="I3951" s="2" t="s">
        <v>463</v>
      </c>
      <c r="J3951" s="2" t="s">
        <v>464</v>
      </c>
      <c r="L3951" s="2" t="s">
        <v>112</v>
      </c>
      <c r="O3951" s="2" t="s">
        <v>2971</v>
      </c>
      <c r="P3951" s="2" t="s">
        <v>114</v>
      </c>
      <c r="Q3951" s="2" t="s">
        <v>1578</v>
      </c>
      <c r="R3951" s="2" t="s">
        <v>1579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104</v>
      </c>
      <c r="AA3951" s="2" t="s">
        <v>150</v>
      </c>
      <c r="AB3951" s="2" t="s">
        <v>151</v>
      </c>
      <c r="AC3951" s="2" t="s">
        <v>114</v>
      </c>
      <c r="AF3951" s="2">
        <f t="shared" si="584"/>
        <v>0</v>
      </c>
      <c r="AG3951" s="2">
        <f>4893.23+171</f>
        <v>5064.2299999999996</v>
      </c>
      <c r="AJ3951" s="2">
        <f t="shared" si="585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C3952" s="2" t="s">
        <v>3449</v>
      </c>
      <c r="D3952" s="2" t="s">
        <v>3447</v>
      </c>
      <c r="E3952" s="2" t="s">
        <v>108</v>
      </c>
      <c r="F3952" s="2" t="s">
        <v>39</v>
      </c>
      <c r="J3952" s="2" t="s">
        <v>471</v>
      </c>
      <c r="L3952" s="2" t="s">
        <v>293</v>
      </c>
      <c r="M3952" s="2" t="s">
        <v>1172</v>
      </c>
      <c r="O3952" s="2" t="s">
        <v>2972</v>
      </c>
      <c r="P3952" s="2" t="s">
        <v>114</v>
      </c>
      <c r="Q3952" s="2" t="s">
        <v>955</v>
      </c>
      <c r="R3952" s="2" t="s">
        <v>956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593">(T3952-W3952)/T3952</f>
        <v>0.34856696878147031</v>
      </c>
      <c r="Z3952" s="2" t="s">
        <v>104</v>
      </c>
      <c r="AA3952" s="2" t="s">
        <v>616</v>
      </c>
      <c r="AB3952" s="2" t="s">
        <v>957</v>
      </c>
      <c r="AC3952" s="2" t="s">
        <v>114</v>
      </c>
      <c r="AF3952" s="2">
        <f t="shared" si="584"/>
        <v>0</v>
      </c>
      <c r="AG3952" s="2">
        <v>6468.73</v>
      </c>
      <c r="AJ3952" s="2">
        <f t="shared" si="585"/>
        <v>0</v>
      </c>
      <c r="AK3952" s="2">
        <f t="shared" ref="AK3952:AK3983" si="594">T3952-W3952</f>
        <v>3461.2700000000004</v>
      </c>
      <c r="AL3952" s="5">
        <f t="shared" ref="AL3952:AL3983" si="595">(T3952-W3952)/T3952</f>
        <v>0.34856696878147031</v>
      </c>
    </row>
    <row r="3953" spans="1:38" x14ac:dyDescent="0.2">
      <c r="A3953" s="2">
        <v>2026</v>
      </c>
      <c r="B3953" s="2">
        <v>5</v>
      </c>
      <c r="C3953" s="2" t="s">
        <v>3369</v>
      </c>
      <c r="D3953" s="2" t="s">
        <v>3448</v>
      </c>
      <c r="E3953" s="2" t="s">
        <v>752</v>
      </c>
      <c r="F3953" s="2" t="s">
        <v>39</v>
      </c>
      <c r="G3953" s="2">
        <v>513626930</v>
      </c>
      <c r="H3953" s="2" t="s">
        <v>40</v>
      </c>
      <c r="I3953" s="2" t="s">
        <v>339</v>
      </c>
      <c r="J3953" s="2" t="s">
        <v>471</v>
      </c>
      <c r="L3953" s="2" t="s">
        <v>133</v>
      </c>
      <c r="M3953" s="2" t="s">
        <v>109</v>
      </c>
      <c r="O3953" s="2" t="s">
        <v>2973</v>
      </c>
      <c r="P3953" s="2" t="s">
        <v>3229</v>
      </c>
      <c r="Q3953" s="2" t="s">
        <v>2974</v>
      </c>
      <c r="R3953" s="2" t="s">
        <v>2975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593"/>
        <v>0.47308943089430894</v>
      </c>
      <c r="Z3953" s="2" t="s">
        <v>104</v>
      </c>
      <c r="AA3953" s="2" t="s">
        <v>105</v>
      </c>
      <c r="AB3953" s="2" t="s">
        <v>106</v>
      </c>
      <c r="AC3953" s="2" t="s">
        <v>3229</v>
      </c>
      <c r="AF3953" s="2">
        <f t="shared" si="584"/>
        <v>0</v>
      </c>
      <c r="AJ3953" s="2">
        <f t="shared" si="585"/>
        <v>0</v>
      </c>
      <c r="AK3953" s="2">
        <f t="shared" si="594"/>
        <v>1163.8</v>
      </c>
      <c r="AL3953" s="5">
        <f t="shared" si="595"/>
        <v>0.47308943089430894</v>
      </c>
    </row>
    <row r="3954" spans="1:38" x14ac:dyDescent="0.2">
      <c r="A3954" s="2">
        <v>2026</v>
      </c>
      <c r="B3954" s="2">
        <v>5</v>
      </c>
      <c r="D3954" s="2" t="s">
        <v>2567</v>
      </c>
      <c r="P3954" s="2" t="s">
        <v>72</v>
      </c>
      <c r="Q3954" s="2" t="s">
        <v>1449</v>
      </c>
      <c r="R3954" s="2" t="s">
        <v>307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593"/>
        <v>0.46762608695652175</v>
      </c>
      <c r="Z3954" s="2" t="s">
        <v>3226</v>
      </c>
      <c r="AA3954" s="2" t="s">
        <v>75</v>
      </c>
      <c r="AB3954" s="2" t="s">
        <v>76</v>
      </c>
      <c r="AC3954" s="2" t="s">
        <v>77</v>
      </c>
      <c r="AF3954" s="2">
        <f t="shared" si="584"/>
        <v>0</v>
      </c>
      <c r="AG3954" s="2">
        <v>122.446</v>
      </c>
      <c r="AH3954" s="2">
        <v>230</v>
      </c>
      <c r="AJ3954" s="2">
        <f t="shared" si="585"/>
        <v>0</v>
      </c>
      <c r="AK3954" s="2">
        <f t="shared" si="594"/>
        <v>107.554</v>
      </c>
      <c r="AL3954" s="5">
        <f t="shared" si="595"/>
        <v>0.46762608695652175</v>
      </c>
    </row>
    <row r="3955" spans="1:38" x14ac:dyDescent="0.2">
      <c r="A3955" s="2">
        <v>2026</v>
      </c>
      <c r="B3955" s="2">
        <v>5</v>
      </c>
      <c r="D3955" s="2" t="s">
        <v>2567</v>
      </c>
      <c r="P3955" s="2" t="s">
        <v>93</v>
      </c>
      <c r="Q3955" s="2" t="s">
        <v>94</v>
      </c>
      <c r="R3955" s="2" t="s">
        <v>95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593"/>
        <v>0</v>
      </c>
      <c r="Z3955" s="2" t="s">
        <v>3226</v>
      </c>
      <c r="AA3955" s="2" t="s">
        <v>96</v>
      </c>
      <c r="AB3955" s="2" t="s">
        <v>76</v>
      </c>
      <c r="AC3955" s="2" t="s">
        <v>93</v>
      </c>
      <c r="AF3955" s="2">
        <f t="shared" si="584"/>
        <v>0</v>
      </c>
      <c r="AJ3955" s="2">
        <f t="shared" si="585"/>
        <v>0</v>
      </c>
      <c r="AK3955" s="2">
        <f t="shared" si="594"/>
        <v>0</v>
      </c>
      <c r="AL3955" s="5">
        <f t="shared" si="595"/>
        <v>0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48</v>
      </c>
      <c r="R3956" s="2" t="s">
        <v>49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593"/>
        <v>0.44777500000000003</v>
      </c>
      <c r="Z3956" s="2" t="s">
        <v>3226</v>
      </c>
      <c r="AA3956" s="2" t="s">
        <v>46</v>
      </c>
      <c r="AB3956" s="2" t="s">
        <v>47</v>
      </c>
      <c r="AC3956" s="2" t="s">
        <v>57</v>
      </c>
      <c r="AF3956" s="2">
        <f t="shared" si="584"/>
        <v>0</v>
      </c>
      <c r="AG3956" s="2">
        <v>6.6266999999999996</v>
      </c>
      <c r="AH3956" s="2">
        <v>12</v>
      </c>
      <c r="AJ3956" s="2">
        <f t="shared" si="585"/>
        <v>0</v>
      </c>
      <c r="AK3956" s="2">
        <f t="shared" si="594"/>
        <v>5.3733000000000004</v>
      </c>
      <c r="AL3956" s="5">
        <f t="shared" si="595"/>
        <v>0.44777500000000003</v>
      </c>
    </row>
    <row r="3957" spans="1:38" x14ac:dyDescent="0.2">
      <c r="A3957" s="2">
        <v>2026</v>
      </c>
      <c r="B3957" s="2">
        <v>5</v>
      </c>
      <c r="D3957" s="2" t="s">
        <v>843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418</v>
      </c>
      <c r="K3957" s="2" t="s">
        <v>844</v>
      </c>
      <c r="L3957" s="2" t="s">
        <v>418</v>
      </c>
      <c r="M3957" s="2" t="s">
        <v>41</v>
      </c>
      <c r="O3957" s="2" t="s">
        <v>2976</v>
      </c>
      <c r="P3957" s="2" t="s">
        <v>43</v>
      </c>
      <c r="Q3957" s="2" t="s">
        <v>54</v>
      </c>
      <c r="R3957" s="2" t="s">
        <v>55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593"/>
        <v>0.41111111111111115</v>
      </c>
      <c r="Z3957" s="2" t="s">
        <v>3226</v>
      </c>
      <c r="AA3957" s="2" t="s">
        <v>46</v>
      </c>
      <c r="AB3957" s="2" t="s">
        <v>56</v>
      </c>
      <c r="AC3957" s="2" t="s">
        <v>57</v>
      </c>
      <c r="AF3957" s="2">
        <f t="shared" si="584"/>
        <v>0</v>
      </c>
      <c r="AG3957" s="2">
        <v>10.6</v>
      </c>
      <c r="AH3957" s="2">
        <v>18</v>
      </c>
      <c r="AJ3957" s="2">
        <f t="shared" si="585"/>
        <v>0</v>
      </c>
      <c r="AK3957" s="2">
        <f t="shared" si="594"/>
        <v>14.8</v>
      </c>
      <c r="AL3957" s="5">
        <f t="shared" si="595"/>
        <v>0.41111111111111115</v>
      </c>
    </row>
    <row r="3958" spans="1:38" x14ac:dyDescent="0.2">
      <c r="A3958" s="2">
        <v>2026</v>
      </c>
      <c r="B3958" s="2">
        <v>5</v>
      </c>
      <c r="C3958" s="2" t="s">
        <v>3369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1383</v>
      </c>
      <c r="R3958" s="2" t="s">
        <v>1384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f>71.381</f>
        <v>71.381</v>
      </c>
      <c r="X3958" s="5">
        <f t="shared" si="593"/>
        <v>0.53165146643921002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584"/>
        <v>0</v>
      </c>
      <c r="AG3958" s="2">
        <v>71.381</v>
      </c>
      <c r="AJ3958" s="2">
        <f t="shared" si="585"/>
        <v>0</v>
      </c>
      <c r="AK3958" s="2">
        <f t="shared" si="594"/>
        <v>81.028999999999996</v>
      </c>
      <c r="AL3958" s="5">
        <f t="shared" si="595"/>
        <v>0.53165146643921002</v>
      </c>
    </row>
    <row r="3959" spans="1:38" x14ac:dyDescent="0.2">
      <c r="A3959" s="2">
        <v>2026</v>
      </c>
      <c r="B3959" s="2">
        <v>5</v>
      </c>
      <c r="C3959" s="2" t="s">
        <v>3369</v>
      </c>
      <c r="D3959" s="2" t="s">
        <v>485</v>
      </c>
      <c r="E3959" s="2" t="s">
        <v>108</v>
      </c>
      <c r="F3959" s="2" t="s">
        <v>39</v>
      </c>
      <c r="G3959" s="2">
        <v>506834689</v>
      </c>
      <c r="H3959" s="2" t="s">
        <v>41</v>
      </c>
      <c r="I3959" s="2" t="s">
        <v>486</v>
      </c>
      <c r="J3959" s="2" t="s">
        <v>487</v>
      </c>
      <c r="K3959" s="2">
        <v>919866237</v>
      </c>
      <c r="L3959" s="2" t="s">
        <v>461</v>
      </c>
      <c r="M3959" s="2" t="s">
        <v>40</v>
      </c>
      <c r="O3959" s="2" t="s">
        <v>2977</v>
      </c>
      <c r="P3959" s="2" t="s">
        <v>114</v>
      </c>
      <c r="Q3959" s="2" t="s">
        <v>735</v>
      </c>
      <c r="R3959" s="2" t="s">
        <v>736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593"/>
        <v>0.51709699930216324</v>
      </c>
      <c r="Z3959" s="2" t="s">
        <v>117</v>
      </c>
      <c r="AA3959" s="2" t="s">
        <v>118</v>
      </c>
      <c r="AB3959" s="2" t="s">
        <v>119</v>
      </c>
      <c r="AC3959" s="2" t="s">
        <v>114</v>
      </c>
      <c r="AF3959" s="2">
        <f t="shared" si="584"/>
        <v>0</v>
      </c>
      <c r="AG3959" s="2">
        <f>9.75+0.63</f>
        <v>10.38</v>
      </c>
      <c r="AJ3959" s="2">
        <f t="shared" si="585"/>
        <v>0</v>
      </c>
      <c r="AK3959" s="2">
        <f t="shared" si="594"/>
        <v>22.23</v>
      </c>
      <c r="AL3959" s="5">
        <f t="shared" si="595"/>
        <v>0.51709699930216324</v>
      </c>
    </row>
    <row r="3960" spans="1:38" x14ac:dyDescent="0.2">
      <c r="A3960" s="2">
        <v>2026</v>
      </c>
      <c r="B3960" s="2">
        <v>5</v>
      </c>
      <c r="D3960" s="2" t="s">
        <v>1255</v>
      </c>
      <c r="P3960" s="2" t="s">
        <v>72</v>
      </c>
      <c r="Q3960" s="2" t="s">
        <v>1449</v>
      </c>
      <c r="R3960" s="2" t="s">
        <v>307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593"/>
        <v>0.46762608695652175</v>
      </c>
      <c r="Z3960" s="2" t="s">
        <v>3226</v>
      </c>
      <c r="AA3960" s="2" t="s">
        <v>75</v>
      </c>
      <c r="AB3960" s="2" t="s">
        <v>76</v>
      </c>
      <c r="AC3960" s="2" t="s">
        <v>77</v>
      </c>
      <c r="AF3960" s="2">
        <f t="shared" si="584"/>
        <v>0</v>
      </c>
      <c r="AG3960" s="2">
        <v>122.446</v>
      </c>
      <c r="AH3960" s="2">
        <v>230</v>
      </c>
      <c r="AJ3960" s="2">
        <f t="shared" si="585"/>
        <v>0</v>
      </c>
      <c r="AK3960" s="2">
        <f t="shared" si="594"/>
        <v>107.554</v>
      </c>
      <c r="AL3960" s="5">
        <f t="shared" si="595"/>
        <v>0.46762608695652175</v>
      </c>
    </row>
    <row r="3961" spans="1:38" x14ac:dyDescent="0.2">
      <c r="A3961" s="2">
        <v>2026</v>
      </c>
      <c r="B3961" s="2">
        <v>5</v>
      </c>
      <c r="D3961" s="2" t="s">
        <v>1255</v>
      </c>
      <c r="P3961" s="2" t="s">
        <v>1038</v>
      </c>
      <c r="Q3961" s="2" t="s">
        <v>2978</v>
      </c>
      <c r="R3961" s="2" t="s">
        <v>2979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593"/>
        <v>0.41537037037037039</v>
      </c>
      <c r="Z3961" s="2" t="s">
        <v>3226</v>
      </c>
      <c r="AA3961" s="2" t="s">
        <v>75</v>
      </c>
      <c r="AB3961" s="2" t="s">
        <v>76</v>
      </c>
      <c r="AC3961" s="2" t="s">
        <v>1038</v>
      </c>
      <c r="AF3961" s="2">
        <f t="shared" si="584"/>
        <v>0</v>
      </c>
      <c r="AJ3961" s="2">
        <f t="shared" si="585"/>
        <v>0</v>
      </c>
      <c r="AK3961" s="2">
        <f t="shared" si="594"/>
        <v>112.15</v>
      </c>
      <c r="AL3961" s="5">
        <f t="shared" si="595"/>
        <v>0.41537037037037039</v>
      </c>
    </row>
    <row r="3962" spans="1:38" x14ac:dyDescent="0.2">
      <c r="A3962" s="2">
        <v>2026</v>
      </c>
      <c r="B3962" s="2">
        <v>5</v>
      </c>
      <c r="D3962" s="2" t="s">
        <v>1255</v>
      </c>
      <c r="P3962" s="2" t="s">
        <v>93</v>
      </c>
      <c r="Q3962" s="2" t="s">
        <v>94</v>
      </c>
      <c r="R3962" s="2" t="s">
        <v>95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593"/>
        <v>0</v>
      </c>
      <c r="Z3962" s="2" t="s">
        <v>3226</v>
      </c>
      <c r="AA3962" s="2" t="s">
        <v>96</v>
      </c>
      <c r="AB3962" s="2" t="s">
        <v>76</v>
      </c>
      <c r="AC3962" s="2" t="s">
        <v>93</v>
      </c>
      <c r="AF3962" s="2">
        <f t="shared" si="584"/>
        <v>0</v>
      </c>
      <c r="AJ3962" s="2">
        <f t="shared" si="585"/>
        <v>0</v>
      </c>
      <c r="AK3962" s="2">
        <f t="shared" si="594"/>
        <v>0</v>
      </c>
      <c r="AL3962" s="5">
        <f t="shared" si="595"/>
        <v>0</v>
      </c>
    </row>
    <row r="3963" spans="1:38" x14ac:dyDescent="0.2">
      <c r="A3963" s="2">
        <v>2026</v>
      </c>
      <c r="B3963" s="2">
        <v>5</v>
      </c>
      <c r="D3963" s="2" t="s">
        <v>488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489</v>
      </c>
      <c r="J3963" s="2" t="s">
        <v>490</v>
      </c>
      <c r="K3963" s="2">
        <v>912293443</v>
      </c>
      <c r="L3963" s="2" t="s">
        <v>99</v>
      </c>
      <c r="M3963" s="2" t="s">
        <v>40</v>
      </c>
      <c r="O3963" s="2" t="s">
        <v>2980</v>
      </c>
      <c r="P3963" s="2" t="s">
        <v>40</v>
      </c>
      <c r="Q3963" s="2" t="s">
        <v>491</v>
      </c>
      <c r="R3963" s="2" t="s">
        <v>492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593"/>
        <v>1</v>
      </c>
      <c r="Z3963" s="2" t="s">
        <v>119</v>
      </c>
      <c r="AA3963" s="2" t="s">
        <v>492</v>
      </c>
      <c r="AF3963" s="2">
        <f t="shared" si="584"/>
        <v>0</v>
      </c>
      <c r="AJ3963" s="2">
        <f t="shared" si="585"/>
        <v>0</v>
      </c>
      <c r="AK3963" s="2">
        <f t="shared" si="594"/>
        <v>1357.82</v>
      </c>
      <c r="AL3963" s="5">
        <f t="shared" si="595"/>
        <v>1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791</v>
      </c>
      <c r="R3964" s="2" t="s">
        <v>792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593"/>
        <v>0.51889101745423583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584"/>
        <v>0</v>
      </c>
      <c r="AG3964" s="2">
        <f>88.6+1.81</f>
        <v>90.41</v>
      </c>
      <c r="AJ3964" s="2">
        <f t="shared" si="585"/>
        <v>0</v>
      </c>
      <c r="AK3964" s="2">
        <f t="shared" si="594"/>
        <v>97.509999999999991</v>
      </c>
      <c r="AL3964" s="5">
        <f t="shared" si="595"/>
        <v>0.51889101745423583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114</v>
      </c>
      <c r="Q3965" s="2" t="s">
        <v>795</v>
      </c>
      <c r="R3965" s="2" t="s">
        <v>2984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f>13.715*S3965</f>
        <v>13.715</v>
      </c>
      <c r="X3965" s="5">
        <f t="shared" si="593"/>
        <v>0.51673713883016203</v>
      </c>
      <c r="Z3965" s="2" t="s">
        <v>117</v>
      </c>
      <c r="AA3965" s="2" t="s">
        <v>118</v>
      </c>
      <c r="AB3965" s="2" t="s">
        <v>119</v>
      </c>
      <c r="AC3965" s="2" t="s">
        <v>114</v>
      </c>
      <c r="AF3965" s="2">
        <f t="shared" si="584"/>
        <v>0</v>
      </c>
      <c r="AG3965" s="2">
        <f>12.87+0.3</f>
        <v>13.17</v>
      </c>
      <c r="AJ3965" s="2">
        <f t="shared" si="585"/>
        <v>0</v>
      </c>
      <c r="AK3965" s="2">
        <f t="shared" si="594"/>
        <v>14.664999999999999</v>
      </c>
      <c r="AL3965" s="5">
        <f t="shared" si="595"/>
        <v>0.51673713883016203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188</v>
      </c>
      <c r="R3966" s="2" t="s">
        <v>189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593"/>
        <v>0.6</v>
      </c>
      <c r="Z3966" s="2" t="s">
        <v>117</v>
      </c>
      <c r="AA3966" s="2" t="s">
        <v>190</v>
      </c>
      <c r="AB3966" s="2" t="s">
        <v>189</v>
      </c>
      <c r="AC3966" s="2" t="s">
        <v>40</v>
      </c>
      <c r="AF3966" s="2">
        <f t="shared" si="584"/>
        <v>0</v>
      </c>
      <c r="AG3966" s="2">
        <f>W3966</f>
        <v>37.6</v>
      </c>
      <c r="AJ3966" s="2">
        <f t="shared" si="585"/>
        <v>0</v>
      </c>
      <c r="AK3966" s="2">
        <f t="shared" si="594"/>
        <v>56.4</v>
      </c>
      <c r="AL3966" s="5">
        <f t="shared" si="595"/>
        <v>0.6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187</v>
      </c>
      <c r="Q3967" s="2" t="s">
        <v>191</v>
      </c>
      <c r="R3967" s="2" t="s">
        <v>190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593"/>
        <v>0.5</v>
      </c>
      <c r="Z3967" s="2" t="s">
        <v>117</v>
      </c>
      <c r="AA3967" s="2" t="s">
        <v>190</v>
      </c>
      <c r="AB3967" s="2" t="s">
        <v>190</v>
      </c>
      <c r="AC3967" s="2" t="s">
        <v>40</v>
      </c>
      <c r="AF3967" s="2">
        <f t="shared" si="584"/>
        <v>0</v>
      </c>
      <c r="AG3967" s="2">
        <f>W3967</f>
        <v>27.5</v>
      </c>
      <c r="AJ3967" s="2">
        <f t="shared" si="585"/>
        <v>0</v>
      </c>
      <c r="AK3967" s="2">
        <f t="shared" si="594"/>
        <v>27.5</v>
      </c>
      <c r="AL3967" s="5">
        <f t="shared" si="595"/>
        <v>0.5</v>
      </c>
    </row>
    <row r="3968" spans="1:38" x14ac:dyDescent="0.2">
      <c r="A3968" s="2">
        <v>2026</v>
      </c>
      <c r="B3968" s="2">
        <v>5</v>
      </c>
      <c r="D3968" s="2" t="s">
        <v>2981</v>
      </c>
      <c r="E3968" s="2" t="s">
        <v>108</v>
      </c>
      <c r="F3968" s="2" t="s">
        <v>39</v>
      </c>
      <c r="G3968" s="2">
        <v>510594778</v>
      </c>
      <c r="H3968" s="2" t="s">
        <v>41</v>
      </c>
      <c r="I3968" s="2" t="s">
        <v>2982</v>
      </c>
      <c r="J3968" s="2" t="s">
        <v>1102</v>
      </c>
      <c r="K3968" s="2">
        <v>934645042</v>
      </c>
      <c r="L3968" s="2" t="s">
        <v>99</v>
      </c>
      <c r="M3968" s="2" t="s">
        <v>40</v>
      </c>
      <c r="O3968" s="2" t="s">
        <v>2983</v>
      </c>
      <c r="P3968" s="2" t="s">
        <v>40</v>
      </c>
      <c r="Q3968" s="2" t="s">
        <v>363</v>
      </c>
      <c r="R3968" s="2" t="s">
        <v>364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593"/>
        <v>1</v>
      </c>
      <c r="Z3968" s="2" t="s">
        <v>117</v>
      </c>
      <c r="AA3968" s="2" t="s">
        <v>1310</v>
      </c>
      <c r="AF3968" s="2">
        <f t="shared" si="584"/>
        <v>0</v>
      </c>
      <c r="AJ3968" s="2">
        <f t="shared" si="585"/>
        <v>0</v>
      </c>
      <c r="AK3968" s="2">
        <f t="shared" si="594"/>
        <v>87.5</v>
      </c>
      <c r="AL3968" s="5">
        <f t="shared" si="595"/>
        <v>1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72</v>
      </c>
      <c r="Q3969" s="2" t="s">
        <v>325</v>
      </c>
      <c r="R3969" s="2" t="s">
        <v>79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593"/>
        <v>0.4729523809523809</v>
      </c>
      <c r="Z3969" s="2" t="s">
        <v>3226</v>
      </c>
      <c r="AA3969" s="2" t="s">
        <v>75</v>
      </c>
      <c r="AB3969" s="2" t="s">
        <v>76</v>
      </c>
      <c r="AC3969" s="2" t="s">
        <v>77</v>
      </c>
      <c r="AF3969" s="2">
        <f t="shared" si="584"/>
        <v>0</v>
      </c>
      <c r="AG3969" s="2">
        <v>110.68</v>
      </c>
      <c r="AH3969" s="2">
        <v>210</v>
      </c>
      <c r="AJ3969" s="2">
        <f t="shared" si="585"/>
        <v>0</v>
      </c>
      <c r="AK3969" s="2">
        <f t="shared" si="594"/>
        <v>198.64</v>
      </c>
      <c r="AL3969" s="5">
        <f t="shared" si="595"/>
        <v>0.4729523809523809</v>
      </c>
    </row>
    <row r="3970" spans="1:38" x14ac:dyDescent="0.2">
      <c r="A3970" s="2">
        <v>2026</v>
      </c>
      <c r="B3970" s="2">
        <v>5</v>
      </c>
      <c r="D3970" s="2" t="s">
        <v>1053</v>
      </c>
      <c r="E3970" s="2" t="s">
        <v>183</v>
      </c>
      <c r="F3970" s="2" t="s">
        <v>1054</v>
      </c>
      <c r="G3970" s="2">
        <v>500199523</v>
      </c>
      <c r="H3970" s="2" t="s">
        <v>290</v>
      </c>
      <c r="I3970" s="2" t="s">
        <v>293</v>
      </c>
      <c r="J3970" s="2" t="s">
        <v>1055</v>
      </c>
      <c r="L3970" s="2" t="s">
        <v>293</v>
      </c>
      <c r="M3970" s="2" t="s">
        <v>80</v>
      </c>
      <c r="O3970" s="2" t="s">
        <v>2985</v>
      </c>
      <c r="P3970" s="2" t="s">
        <v>93</v>
      </c>
      <c r="Q3970" s="2" t="s">
        <v>94</v>
      </c>
      <c r="R3970" s="2" t="s">
        <v>95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593"/>
        <v>0</v>
      </c>
      <c r="Z3970" s="2" t="s">
        <v>3226</v>
      </c>
      <c r="AA3970" s="2" t="s">
        <v>96</v>
      </c>
      <c r="AB3970" s="2" t="s">
        <v>76</v>
      </c>
      <c r="AC3970" s="2" t="s">
        <v>93</v>
      </c>
      <c r="AF3970" s="2">
        <f t="shared" ref="AF3970:AF4033" si="596">AJ3970</f>
        <v>0</v>
      </c>
      <c r="AJ3970" s="2">
        <f t="shared" ref="AJ3970:AJ4033" si="597">AI3970*T3970</f>
        <v>0</v>
      </c>
      <c r="AK3970" s="2">
        <f t="shared" si="594"/>
        <v>0</v>
      </c>
      <c r="AL3970" s="5">
        <f t="shared" si="595"/>
        <v>0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72</v>
      </c>
      <c r="Q3971" s="2" t="s">
        <v>73</v>
      </c>
      <c r="R3971" s="2" t="s">
        <v>74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3226</v>
      </c>
      <c r="AA3971" s="2" t="s">
        <v>75</v>
      </c>
      <c r="AB3971" s="2" t="s">
        <v>76</v>
      </c>
      <c r="AC3971" s="2" t="s">
        <v>77</v>
      </c>
      <c r="AF3971" s="2">
        <f t="shared" si="596"/>
        <v>0</v>
      </c>
      <c r="AG3971" s="2">
        <v>125.51600000000001</v>
      </c>
      <c r="AH3971" s="2">
        <v>220</v>
      </c>
      <c r="AJ3971" s="2">
        <f t="shared" si="597"/>
        <v>0</v>
      </c>
      <c r="AK3971" s="2">
        <f t="shared" si="594"/>
        <v>94.483999999999995</v>
      </c>
      <c r="AL3971" s="5">
        <f t="shared" si="595"/>
        <v>0.42947272727272723</v>
      </c>
    </row>
    <row r="3972" spans="1:38" x14ac:dyDescent="0.2">
      <c r="A3972" s="2">
        <v>2026</v>
      </c>
      <c r="B3972" s="2">
        <v>5</v>
      </c>
      <c r="D3972" s="2" t="s">
        <v>2986</v>
      </c>
      <c r="P3972" s="2" t="s">
        <v>93</v>
      </c>
      <c r="Q3972" s="2" t="s">
        <v>94</v>
      </c>
      <c r="R3972" s="2" t="s">
        <v>95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598">(T3972-W3972)/T3972</f>
        <v>0</v>
      </c>
      <c r="Z3972" s="2" t="s">
        <v>3226</v>
      </c>
      <c r="AA3972" s="2" t="s">
        <v>96</v>
      </c>
      <c r="AB3972" s="2" t="s">
        <v>76</v>
      </c>
      <c r="AC3972" s="2" t="s">
        <v>93</v>
      </c>
      <c r="AF3972" s="2">
        <f t="shared" si="596"/>
        <v>0</v>
      </c>
      <c r="AJ3972" s="2">
        <f t="shared" si="597"/>
        <v>0</v>
      </c>
      <c r="AK3972" s="2">
        <f t="shared" si="594"/>
        <v>0</v>
      </c>
      <c r="AL3972" s="5">
        <f t="shared" si="595"/>
        <v>0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72</v>
      </c>
      <c r="Q3973" s="2" t="s">
        <v>325</v>
      </c>
      <c r="R3973" s="2" t="s">
        <v>79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598"/>
        <v>0.44659999999999994</v>
      </c>
      <c r="Z3973" s="2" t="s">
        <v>3226</v>
      </c>
      <c r="AA3973" s="2" t="s">
        <v>75</v>
      </c>
      <c r="AB3973" s="2" t="s">
        <v>76</v>
      </c>
      <c r="AC3973" s="2" t="s">
        <v>77</v>
      </c>
      <c r="AF3973" s="2">
        <f t="shared" si="596"/>
        <v>0</v>
      </c>
      <c r="AG3973" s="2">
        <v>110.68</v>
      </c>
      <c r="AH3973" s="2">
        <v>210</v>
      </c>
      <c r="AJ3973" s="2">
        <f t="shared" si="597"/>
        <v>0</v>
      </c>
      <c r="AK3973" s="2">
        <f t="shared" si="594"/>
        <v>89.32</v>
      </c>
      <c r="AL3973" s="5">
        <f t="shared" si="595"/>
        <v>0.44659999999999994</v>
      </c>
    </row>
    <row r="3974" spans="1:38" x14ac:dyDescent="0.2">
      <c r="A3974" s="2">
        <v>2026</v>
      </c>
      <c r="B3974" s="2">
        <v>5</v>
      </c>
      <c r="D3974" s="2" t="s">
        <v>2987</v>
      </c>
      <c r="P3974" s="2" t="s">
        <v>93</v>
      </c>
      <c r="Q3974" s="2" t="s">
        <v>94</v>
      </c>
      <c r="R3974" s="2" t="s">
        <v>95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598"/>
        <v>0</v>
      </c>
      <c r="Z3974" s="2" t="s">
        <v>3226</v>
      </c>
      <c r="AA3974" s="2" t="s">
        <v>96</v>
      </c>
      <c r="AB3974" s="2" t="s">
        <v>76</v>
      </c>
      <c r="AC3974" s="2" t="s">
        <v>93</v>
      </c>
      <c r="AF3974" s="2">
        <f t="shared" si="596"/>
        <v>0</v>
      </c>
      <c r="AJ3974" s="2">
        <f t="shared" si="597"/>
        <v>0</v>
      </c>
      <c r="AK3974" s="2">
        <f t="shared" si="594"/>
        <v>0</v>
      </c>
      <c r="AL3974" s="5">
        <f t="shared" si="595"/>
        <v>0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72</v>
      </c>
      <c r="Q3975" s="2" t="s">
        <v>556</v>
      </c>
      <c r="R3975" s="2" t="s">
        <v>381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598"/>
        <v>0.37426086956521742</v>
      </c>
      <c r="Z3975" s="2" t="s">
        <v>3226</v>
      </c>
      <c r="AA3975" s="2" t="s">
        <v>75</v>
      </c>
      <c r="AB3975" s="2" t="s">
        <v>76</v>
      </c>
      <c r="AC3975" s="2" t="s">
        <v>77</v>
      </c>
      <c r="AF3975" s="2">
        <f t="shared" si="596"/>
        <v>0</v>
      </c>
      <c r="AG3975" s="2">
        <v>143.91999999999999</v>
      </c>
      <c r="AJ3975" s="2">
        <f t="shared" si="597"/>
        <v>0</v>
      </c>
      <c r="AK3975" s="2">
        <f t="shared" si="594"/>
        <v>86.080000000000013</v>
      </c>
      <c r="AL3975" s="5">
        <f t="shared" si="595"/>
        <v>0.37426086956521742</v>
      </c>
    </row>
    <row r="3976" spans="1:38" x14ac:dyDescent="0.2">
      <c r="A3976" s="2">
        <v>2026</v>
      </c>
      <c r="B3976" s="2">
        <v>5</v>
      </c>
      <c r="D3976" s="2" t="s">
        <v>1593</v>
      </c>
      <c r="E3976" s="2" t="s">
        <v>108</v>
      </c>
      <c r="F3976" s="2" t="s">
        <v>395</v>
      </c>
      <c r="G3976" s="2">
        <v>500314594</v>
      </c>
      <c r="H3976" s="2" t="s">
        <v>40</v>
      </c>
      <c r="I3976" s="2" t="s">
        <v>1594</v>
      </c>
      <c r="J3976" s="2" t="s">
        <v>1595</v>
      </c>
      <c r="L3976" s="2" t="s">
        <v>201</v>
      </c>
      <c r="M3976" s="2" t="s">
        <v>80</v>
      </c>
      <c r="O3976" s="2" t="s">
        <v>2988</v>
      </c>
      <c r="P3976" s="2" t="s">
        <v>93</v>
      </c>
      <c r="Q3976" s="2" t="s">
        <v>94</v>
      </c>
      <c r="R3976" s="2" t="s">
        <v>95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598"/>
        <v>0</v>
      </c>
      <c r="Z3976" s="2" t="s">
        <v>3226</v>
      </c>
      <c r="AA3976" s="2" t="s">
        <v>96</v>
      </c>
      <c r="AB3976" s="2" t="s">
        <v>76</v>
      </c>
      <c r="AC3976" s="2" t="s">
        <v>93</v>
      </c>
      <c r="AF3976" s="2">
        <f t="shared" si="596"/>
        <v>0</v>
      </c>
      <c r="AG3976" s="2">
        <v>1.48</v>
      </c>
      <c r="AH3976" s="2">
        <v>1.48</v>
      </c>
      <c r="AJ3976" s="2">
        <f t="shared" si="597"/>
        <v>0</v>
      </c>
      <c r="AK3976" s="2">
        <f t="shared" si="594"/>
        <v>0</v>
      </c>
      <c r="AL3976" s="5">
        <f t="shared" si="595"/>
        <v>0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72</v>
      </c>
      <c r="Q3977" s="2" t="s">
        <v>2414</v>
      </c>
      <c r="R3977" s="2" t="s">
        <v>2415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598"/>
        <v>0.53546153846153843</v>
      </c>
      <c r="Z3977" s="2" t="s">
        <v>3226</v>
      </c>
      <c r="AA3977" s="2" t="s">
        <v>75</v>
      </c>
      <c r="AB3977" s="2" t="s">
        <v>76</v>
      </c>
      <c r="AC3977" s="2" t="s">
        <v>77</v>
      </c>
      <c r="AF3977" s="2">
        <f t="shared" si="596"/>
        <v>0</v>
      </c>
      <c r="AG3977" s="2">
        <v>120.78</v>
      </c>
      <c r="AH3977" s="2">
        <v>210</v>
      </c>
      <c r="AJ3977" s="2">
        <f t="shared" si="597"/>
        <v>0</v>
      </c>
      <c r="AK3977" s="2">
        <f t="shared" si="594"/>
        <v>139.22</v>
      </c>
      <c r="AL3977" s="5">
        <f t="shared" si="595"/>
        <v>0.53546153846153843</v>
      </c>
    </row>
    <row r="3978" spans="1:38" x14ac:dyDescent="0.2">
      <c r="A3978" s="2">
        <v>2026</v>
      </c>
      <c r="B3978" s="2">
        <v>5</v>
      </c>
      <c r="D3978" s="2" t="s">
        <v>1719</v>
      </c>
      <c r="E3978" s="2" t="s">
        <v>38</v>
      </c>
      <c r="F3978" s="2" t="s">
        <v>477</v>
      </c>
      <c r="G3978" s="2">
        <v>504997866</v>
      </c>
      <c r="H3978" s="2" t="s">
        <v>290</v>
      </c>
      <c r="I3978" s="2" t="s">
        <v>3233</v>
      </c>
      <c r="J3978" s="2" t="s">
        <v>3234</v>
      </c>
      <c r="L3978" s="2" t="s">
        <v>571</v>
      </c>
      <c r="M3978" s="2" t="s">
        <v>80</v>
      </c>
      <c r="O3978" s="2" t="s">
        <v>3236</v>
      </c>
      <c r="P3978" s="2" t="s">
        <v>93</v>
      </c>
      <c r="Q3978" s="2" t="s">
        <v>94</v>
      </c>
      <c r="R3978" s="2" t="s">
        <v>95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598"/>
        <v>0</v>
      </c>
      <c r="Z3978" s="2" t="s">
        <v>3226</v>
      </c>
      <c r="AA3978" s="2" t="s">
        <v>96</v>
      </c>
      <c r="AB3978" s="2" t="s">
        <v>76</v>
      </c>
      <c r="AC3978" s="2" t="s">
        <v>93</v>
      </c>
      <c r="AF3978" s="2">
        <f t="shared" si="596"/>
        <v>0</v>
      </c>
      <c r="AJ3978" s="2">
        <f t="shared" si="597"/>
        <v>0</v>
      </c>
      <c r="AK3978" s="2">
        <f t="shared" si="594"/>
        <v>0</v>
      </c>
      <c r="AL3978" s="5">
        <f t="shared" si="595"/>
        <v>0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188</v>
      </c>
      <c r="R3979" s="2" t="s">
        <v>189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598"/>
        <v>0.6</v>
      </c>
      <c r="Z3979" s="2" t="s">
        <v>117</v>
      </c>
      <c r="AA3979" s="2" t="s">
        <v>190</v>
      </c>
      <c r="AB3979" s="2" t="s">
        <v>189</v>
      </c>
      <c r="AC3979" s="2" t="s">
        <v>40</v>
      </c>
      <c r="AF3979" s="2">
        <f t="shared" si="596"/>
        <v>0</v>
      </c>
      <c r="AG3979" s="2">
        <f>W3979</f>
        <v>24</v>
      </c>
      <c r="AJ3979" s="2">
        <f t="shared" si="597"/>
        <v>0</v>
      </c>
      <c r="AK3979" s="2">
        <f t="shared" si="594"/>
        <v>36</v>
      </c>
      <c r="AL3979" s="5">
        <f t="shared" si="595"/>
        <v>0.6</v>
      </c>
    </row>
    <row r="3980" spans="1:38" x14ac:dyDescent="0.2">
      <c r="A3980" s="2">
        <v>2026</v>
      </c>
      <c r="B3980" s="2">
        <v>5</v>
      </c>
      <c r="D3980" s="2" t="s">
        <v>873</v>
      </c>
      <c r="M3980" s="2" t="s">
        <v>40</v>
      </c>
      <c r="P3980" s="2" t="s">
        <v>187</v>
      </c>
      <c r="Q3980" s="2" t="s">
        <v>191</v>
      </c>
      <c r="R3980" s="2" t="s">
        <v>190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598"/>
        <v>0.5</v>
      </c>
      <c r="Z3980" s="2" t="s">
        <v>117</v>
      </c>
      <c r="AA3980" s="2" t="s">
        <v>190</v>
      </c>
      <c r="AB3980" s="2" t="s">
        <v>190</v>
      </c>
      <c r="AC3980" s="2" t="s">
        <v>40</v>
      </c>
      <c r="AF3980" s="2">
        <f t="shared" si="596"/>
        <v>0</v>
      </c>
      <c r="AG3980" s="2">
        <f>W3980</f>
        <v>27.5</v>
      </c>
      <c r="AJ3980" s="2">
        <f t="shared" si="597"/>
        <v>0</v>
      </c>
      <c r="AK3980" s="2">
        <f t="shared" si="594"/>
        <v>27.5</v>
      </c>
      <c r="AL3980" s="5">
        <f t="shared" si="595"/>
        <v>0.5</v>
      </c>
    </row>
    <row r="3981" spans="1:38" x14ac:dyDescent="0.2">
      <c r="A3981" s="2">
        <v>2026</v>
      </c>
      <c r="B3981" s="2">
        <v>5</v>
      </c>
      <c r="C3981" s="2" t="s">
        <v>3369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O3981" s="2" t="s">
        <v>2989</v>
      </c>
      <c r="P3981" s="2" t="s">
        <v>1604</v>
      </c>
      <c r="Q3981" s="2" t="s">
        <v>1602</v>
      </c>
      <c r="R3981" s="2" t="s">
        <v>1603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117</v>
      </c>
      <c r="AA3981" s="2" t="s">
        <v>118</v>
      </c>
      <c r="AB3981" s="2" t="s">
        <v>119</v>
      </c>
      <c r="AC3981" s="2" t="s">
        <v>1604</v>
      </c>
      <c r="AF3981" s="2">
        <f t="shared" si="596"/>
        <v>0</v>
      </c>
      <c r="AG3981" s="2">
        <v>10.15</v>
      </c>
      <c r="AJ3981" s="2">
        <f t="shared" si="597"/>
        <v>0</v>
      </c>
      <c r="AK3981" s="2">
        <f t="shared" si="594"/>
        <v>-68.86</v>
      </c>
    </row>
    <row r="3982" spans="1:38" x14ac:dyDescent="0.2">
      <c r="A3982" s="2">
        <v>2026</v>
      </c>
      <c r="B3982" s="2">
        <v>5</v>
      </c>
      <c r="C3982" s="2" t="s">
        <v>3369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188</v>
      </c>
      <c r="R3982" s="2" t="s">
        <v>189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599">(T3982-W3982)/T3982</f>
        <v>0.6</v>
      </c>
      <c r="Z3982" s="2" t="s">
        <v>117</v>
      </c>
      <c r="AA3982" s="2" t="s">
        <v>190</v>
      </c>
      <c r="AB3982" s="2" t="s">
        <v>189</v>
      </c>
      <c r="AC3982" s="2" t="s">
        <v>40</v>
      </c>
      <c r="AF3982" s="2">
        <f t="shared" si="596"/>
        <v>0</v>
      </c>
      <c r="AG3982" s="2">
        <f>W3982</f>
        <v>58.800000000000004</v>
      </c>
      <c r="AJ3982" s="2">
        <f t="shared" si="597"/>
        <v>0</v>
      </c>
      <c r="AK3982" s="2">
        <f t="shared" si="594"/>
        <v>88.199999999999989</v>
      </c>
      <c r="AL3982" s="5">
        <f t="shared" si="595"/>
        <v>0.6</v>
      </c>
    </row>
    <row r="3983" spans="1:38" x14ac:dyDescent="0.2">
      <c r="A3983" s="2">
        <v>2026</v>
      </c>
      <c r="B3983" s="2">
        <v>5</v>
      </c>
      <c r="C3983" s="2" t="s">
        <v>3369</v>
      </c>
      <c r="D3983" s="2" t="s">
        <v>2049</v>
      </c>
      <c r="E3983" s="2" t="s">
        <v>108</v>
      </c>
      <c r="F3983" s="2" t="s">
        <v>39</v>
      </c>
      <c r="G3983" s="2">
        <v>514960337</v>
      </c>
      <c r="H3983" s="2" t="s">
        <v>290</v>
      </c>
      <c r="I3983" s="2" t="s">
        <v>2779</v>
      </c>
      <c r="J3983" s="2" t="s">
        <v>2820</v>
      </c>
      <c r="K3983" s="2">
        <v>914732950</v>
      </c>
      <c r="L3983" s="2" t="s">
        <v>480</v>
      </c>
      <c r="M3983" s="2" t="s">
        <v>40</v>
      </c>
      <c r="P3983" s="2" t="s">
        <v>187</v>
      </c>
      <c r="Q3983" s="2" t="s">
        <v>191</v>
      </c>
      <c r="R3983" s="2" t="s">
        <v>190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599"/>
        <v>0.5</v>
      </c>
      <c r="Z3983" s="2" t="s">
        <v>117</v>
      </c>
      <c r="AA3983" s="2" t="s">
        <v>190</v>
      </c>
      <c r="AB3983" s="2" t="s">
        <v>190</v>
      </c>
      <c r="AC3983" s="2" t="s">
        <v>40</v>
      </c>
      <c r="AF3983" s="2">
        <f t="shared" si="596"/>
        <v>0</v>
      </c>
      <c r="AG3983" s="2">
        <f>W3983</f>
        <v>27.5</v>
      </c>
      <c r="AJ3983" s="2">
        <f t="shared" si="597"/>
        <v>0</v>
      </c>
      <c r="AK3983" s="2">
        <f t="shared" si="594"/>
        <v>27.5</v>
      </c>
      <c r="AL3983" s="5">
        <f t="shared" si="595"/>
        <v>0.5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73</v>
      </c>
      <c r="R3984" s="2" t="s">
        <v>74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599"/>
        <v>0.37321392902323725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596"/>
        <v>0</v>
      </c>
      <c r="AG3984" s="2">
        <v>125.51600000000001</v>
      </c>
      <c r="AH3984" s="2">
        <v>220</v>
      </c>
      <c r="AJ3984" s="2">
        <f t="shared" si="597"/>
        <v>0</v>
      </c>
      <c r="AK3984" s="2">
        <f t="shared" ref="AK3984:AK4015" si="600">T3984-W3984</f>
        <v>224.21199999999999</v>
      </c>
      <c r="AL3984" s="5">
        <f t="shared" ref="AL3984:AL4019" si="601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1345</v>
      </c>
      <c r="R3985" s="2" t="s">
        <v>79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599"/>
        <v>0.56271602692377654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596"/>
        <v>0</v>
      </c>
      <c r="AJ3985" s="2">
        <f t="shared" si="597"/>
        <v>0</v>
      </c>
      <c r="AK3985" s="2">
        <f t="shared" si="600"/>
        <v>123.72999999999999</v>
      </c>
      <c r="AL3985" s="5">
        <f t="shared" si="601"/>
        <v>0.56271602692377654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72</v>
      </c>
      <c r="Q3986" s="2" t="s">
        <v>325</v>
      </c>
      <c r="R3986" s="2" t="s">
        <v>79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599"/>
        <v>0.47693761814744795</v>
      </c>
      <c r="Z3986" s="2" t="s">
        <v>3226</v>
      </c>
      <c r="AA3986" s="2" t="s">
        <v>75</v>
      </c>
      <c r="AB3986" s="2" t="s">
        <v>76</v>
      </c>
      <c r="AC3986" s="2" t="s">
        <v>77</v>
      </c>
      <c r="AF3986" s="2">
        <f t="shared" si="596"/>
        <v>0</v>
      </c>
      <c r="AG3986" s="2">
        <v>110.68</v>
      </c>
      <c r="AH3986" s="2">
        <v>210</v>
      </c>
      <c r="AJ3986" s="2">
        <f t="shared" si="597"/>
        <v>0</v>
      </c>
      <c r="AK3986" s="2">
        <f t="shared" si="600"/>
        <v>100.91999999999999</v>
      </c>
      <c r="AL3986" s="5">
        <f t="shared" si="601"/>
        <v>0.47693761814744795</v>
      </c>
    </row>
    <row r="3987" spans="1:38" x14ac:dyDescent="0.2">
      <c r="A3987" s="2">
        <v>2026</v>
      </c>
      <c r="B3987" s="2">
        <v>5</v>
      </c>
      <c r="D3987" s="2" t="s">
        <v>530</v>
      </c>
      <c r="E3987" s="2" t="s">
        <v>108</v>
      </c>
      <c r="F3987" s="2" t="s">
        <v>531</v>
      </c>
      <c r="G3987" s="2">
        <v>502139552</v>
      </c>
      <c r="H3987" s="2" t="s">
        <v>40</v>
      </c>
      <c r="I3987" s="2" t="s">
        <v>339</v>
      </c>
      <c r="J3987" s="2" t="s">
        <v>532</v>
      </c>
      <c r="L3987" s="2" t="s">
        <v>339</v>
      </c>
      <c r="M3987" s="2" t="s">
        <v>80</v>
      </c>
      <c r="P3987" s="2" t="s">
        <v>93</v>
      </c>
      <c r="Q3987" s="2" t="s">
        <v>94</v>
      </c>
      <c r="R3987" s="2" t="s">
        <v>95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599"/>
        <v>0</v>
      </c>
      <c r="Z3987" s="2" t="s">
        <v>3226</v>
      </c>
      <c r="AA3987" s="2" t="s">
        <v>96</v>
      </c>
      <c r="AB3987" s="2" t="s">
        <v>76</v>
      </c>
      <c r="AC3987" s="2" t="s">
        <v>93</v>
      </c>
      <c r="AF3987" s="2">
        <f t="shared" si="596"/>
        <v>0</v>
      </c>
      <c r="AJ3987" s="2">
        <f t="shared" si="597"/>
        <v>0</v>
      </c>
      <c r="AK3987" s="2">
        <f t="shared" si="600"/>
        <v>0</v>
      </c>
      <c r="AL3987" s="5">
        <f t="shared" si="601"/>
        <v>0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1038</v>
      </c>
      <c r="Q3988" s="2" t="s">
        <v>2990</v>
      </c>
      <c r="R3988" s="2" t="s">
        <v>2991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599"/>
        <v>0.41106099656357398</v>
      </c>
      <c r="Z3988" s="2" t="s">
        <v>3226</v>
      </c>
      <c r="AA3988" s="2" t="s">
        <v>75</v>
      </c>
      <c r="AB3988" s="2" t="s">
        <v>76</v>
      </c>
      <c r="AC3988" s="2" t="s">
        <v>1038</v>
      </c>
      <c r="AF3988" s="2">
        <f t="shared" si="596"/>
        <v>0</v>
      </c>
      <c r="AJ3988" s="2">
        <f t="shared" si="597"/>
        <v>0</v>
      </c>
      <c r="AK3988" s="2">
        <f t="shared" si="600"/>
        <v>191.39000000000004</v>
      </c>
      <c r="AL3988" s="5">
        <f t="shared" si="601"/>
        <v>0.41106099656357398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169</v>
      </c>
      <c r="Q3989" s="2" t="s">
        <v>170</v>
      </c>
      <c r="R3989" s="2" t="s">
        <v>170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599"/>
        <v>0.23333333333333334</v>
      </c>
      <c r="Z3989" s="2" t="s">
        <v>169</v>
      </c>
      <c r="AA3989" s="2" t="s">
        <v>169</v>
      </c>
      <c r="AF3989" s="2">
        <f t="shared" si="596"/>
        <v>0</v>
      </c>
      <c r="AJ3989" s="2">
        <f t="shared" si="597"/>
        <v>0</v>
      </c>
      <c r="AK3989" s="2">
        <f t="shared" si="600"/>
        <v>7</v>
      </c>
      <c r="AL3989" s="5">
        <f t="shared" si="601"/>
        <v>0.23333333333333334</v>
      </c>
    </row>
    <row r="3990" spans="1:38" x14ac:dyDescent="0.2">
      <c r="A3990" s="2">
        <v>2026</v>
      </c>
      <c r="B3990" s="2">
        <v>5</v>
      </c>
      <c r="D3990" s="2" t="s">
        <v>549</v>
      </c>
      <c r="E3990" s="2" t="s">
        <v>108</v>
      </c>
      <c r="F3990" s="2" t="s">
        <v>395</v>
      </c>
      <c r="G3990" s="2">
        <v>503641790</v>
      </c>
      <c r="H3990" s="2" t="s">
        <v>40</v>
      </c>
      <c r="I3990" s="2" t="s">
        <v>550</v>
      </c>
      <c r="J3990" s="2" t="s">
        <v>551</v>
      </c>
      <c r="K3990" s="2">
        <v>917753665</v>
      </c>
      <c r="L3990" s="2" t="s">
        <v>99</v>
      </c>
      <c r="M3990" s="2" t="s">
        <v>80</v>
      </c>
      <c r="P3990" s="2" t="s">
        <v>93</v>
      </c>
      <c r="Q3990" s="2" t="s">
        <v>94</v>
      </c>
      <c r="R3990" s="2" t="s">
        <v>95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599"/>
        <v>0</v>
      </c>
      <c r="Z3990" s="2" t="s">
        <v>3226</v>
      </c>
      <c r="AA3990" s="2" t="s">
        <v>96</v>
      </c>
      <c r="AB3990" s="2" t="s">
        <v>76</v>
      </c>
      <c r="AC3990" s="2" t="s">
        <v>93</v>
      </c>
      <c r="AF3990" s="2">
        <f t="shared" si="596"/>
        <v>0</v>
      </c>
      <c r="AJ3990" s="2">
        <f t="shared" si="597"/>
        <v>0</v>
      </c>
      <c r="AK3990" s="2">
        <f t="shared" si="600"/>
        <v>0</v>
      </c>
      <c r="AL3990" s="5">
        <f t="shared" si="601"/>
        <v>0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72</v>
      </c>
      <c r="Q3991" s="2" t="s">
        <v>325</v>
      </c>
      <c r="R3991" s="2" t="s">
        <v>79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599"/>
        <v>0.12471332542506916</v>
      </c>
      <c r="Z3991" s="2" t="s">
        <v>3226</v>
      </c>
      <c r="AA3991" s="2" t="s">
        <v>75</v>
      </c>
      <c r="AB3991" s="2" t="s">
        <v>76</v>
      </c>
      <c r="AC3991" s="2" t="s">
        <v>77</v>
      </c>
      <c r="AF3991" s="2">
        <f t="shared" si="596"/>
        <v>0</v>
      </c>
      <c r="AG3991" s="2">
        <v>110.68</v>
      </c>
      <c r="AH3991" s="2">
        <v>210</v>
      </c>
      <c r="AJ3991" s="2">
        <f t="shared" si="597"/>
        <v>0</v>
      </c>
      <c r="AK3991" s="2">
        <f t="shared" si="600"/>
        <v>31.539999999999992</v>
      </c>
      <c r="AL3991" s="5">
        <f t="shared" si="601"/>
        <v>0.12471332542506916</v>
      </c>
    </row>
    <row r="3992" spans="1:38" x14ac:dyDescent="0.2">
      <c r="A3992" s="2">
        <v>2026</v>
      </c>
      <c r="B3992" s="2">
        <v>5</v>
      </c>
      <c r="D3992" s="2" t="s">
        <v>558</v>
      </c>
      <c r="E3992" s="2" t="s">
        <v>108</v>
      </c>
      <c r="F3992" s="2" t="s">
        <v>39</v>
      </c>
      <c r="G3992" s="2">
        <v>506517233</v>
      </c>
      <c r="H3992" s="2" t="s">
        <v>80</v>
      </c>
      <c r="I3992" s="2" t="s">
        <v>559</v>
      </c>
      <c r="J3992" s="2" t="s">
        <v>560</v>
      </c>
      <c r="L3992" s="2" t="s">
        <v>133</v>
      </c>
      <c r="M3992" s="2" t="s">
        <v>80</v>
      </c>
      <c r="P3992" s="2" t="s">
        <v>93</v>
      </c>
      <c r="Q3992" s="2" t="s">
        <v>94</v>
      </c>
      <c r="R3992" s="2" t="s">
        <v>95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599"/>
        <v>0</v>
      </c>
      <c r="Z3992" s="2" t="s">
        <v>3226</v>
      </c>
      <c r="AA3992" s="2" t="s">
        <v>96</v>
      </c>
      <c r="AB3992" s="2" t="s">
        <v>76</v>
      </c>
      <c r="AC3992" s="2" t="s">
        <v>93</v>
      </c>
      <c r="AF3992" s="2">
        <f t="shared" si="596"/>
        <v>0</v>
      </c>
      <c r="AJ3992" s="2">
        <f t="shared" si="597"/>
        <v>0</v>
      </c>
      <c r="AK3992" s="2">
        <f t="shared" si="600"/>
        <v>0</v>
      </c>
      <c r="AL3992" s="5">
        <f t="shared" si="601"/>
        <v>0</v>
      </c>
    </row>
    <row r="3993" spans="1:38" x14ac:dyDescent="0.2">
      <c r="A3993" s="2">
        <v>2026</v>
      </c>
      <c r="B3993" s="2">
        <v>5</v>
      </c>
      <c r="D3993" s="2" t="s">
        <v>892</v>
      </c>
      <c r="M3993" s="2" t="s">
        <v>80</v>
      </c>
      <c r="P3993" s="2" t="s">
        <v>72</v>
      </c>
      <c r="Q3993" s="2" t="s">
        <v>73</v>
      </c>
      <c r="R3993" s="2" t="s">
        <v>74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599"/>
        <v>0.42947272727272723</v>
      </c>
      <c r="Z3993" s="2" t="s">
        <v>3226</v>
      </c>
      <c r="AA3993" s="2" t="s">
        <v>75</v>
      </c>
      <c r="AB3993" s="2" t="s">
        <v>76</v>
      </c>
      <c r="AC3993" s="2" t="s">
        <v>77</v>
      </c>
      <c r="AF3993" s="2">
        <f t="shared" si="596"/>
        <v>0</v>
      </c>
      <c r="AG3993" s="2">
        <v>125.51600000000001</v>
      </c>
      <c r="AH3993" s="2">
        <v>220</v>
      </c>
      <c r="AJ3993" s="2">
        <f t="shared" si="597"/>
        <v>0</v>
      </c>
      <c r="AK3993" s="2">
        <f t="shared" si="600"/>
        <v>94.483999999999995</v>
      </c>
      <c r="AL3993" s="5">
        <f t="shared" si="601"/>
        <v>0.42947272727272723</v>
      </c>
    </row>
    <row r="3994" spans="1:38" x14ac:dyDescent="0.2">
      <c r="A3994" s="2">
        <v>2026</v>
      </c>
      <c r="B3994" s="2">
        <v>5</v>
      </c>
      <c r="D3994" s="2" t="s">
        <v>892</v>
      </c>
      <c r="P3994" s="2" t="s">
        <v>93</v>
      </c>
      <c r="Q3994" s="2" t="s">
        <v>94</v>
      </c>
      <c r="R3994" s="2" t="s">
        <v>95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599"/>
        <v>0</v>
      </c>
      <c r="Z3994" s="2" t="s">
        <v>3226</v>
      </c>
      <c r="AA3994" s="2" t="s">
        <v>96</v>
      </c>
      <c r="AB3994" s="2" t="s">
        <v>76</v>
      </c>
      <c r="AC3994" s="2" t="s">
        <v>93</v>
      </c>
      <c r="AF3994" s="2">
        <f t="shared" si="596"/>
        <v>0</v>
      </c>
      <c r="AJ3994" s="2">
        <f t="shared" si="597"/>
        <v>0</v>
      </c>
      <c r="AK3994" s="2">
        <f t="shared" si="600"/>
        <v>0</v>
      </c>
      <c r="AL3994" s="5">
        <f t="shared" si="601"/>
        <v>0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114</v>
      </c>
      <c r="Q3995" s="2" t="s">
        <v>672</v>
      </c>
      <c r="R3995" s="2" t="s">
        <v>673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599"/>
        <v>0.649886287625418</v>
      </c>
      <c r="Z3995" s="2" t="s">
        <v>117</v>
      </c>
      <c r="AA3995" s="2" t="s">
        <v>118</v>
      </c>
      <c r="AB3995" s="2" t="s">
        <v>119</v>
      </c>
      <c r="AC3995" s="2" t="s">
        <v>114</v>
      </c>
      <c r="AF3995" s="2">
        <f t="shared" si="596"/>
        <v>0</v>
      </c>
      <c r="AJ3995" s="2">
        <f t="shared" si="597"/>
        <v>0</v>
      </c>
      <c r="AK3995" s="2">
        <f t="shared" si="600"/>
        <v>9.715799999999998</v>
      </c>
      <c r="AL3995" s="5">
        <f t="shared" si="601"/>
        <v>0.649886287625418</v>
      </c>
    </row>
    <row r="3996" spans="1:38" x14ac:dyDescent="0.2">
      <c r="A3996" s="2">
        <v>2026</v>
      </c>
      <c r="B3996" s="2">
        <v>5</v>
      </c>
      <c r="D3996" s="2" t="s">
        <v>1622</v>
      </c>
      <c r="E3996" s="2" t="s">
        <v>108</v>
      </c>
      <c r="F3996" s="2" t="s">
        <v>477</v>
      </c>
      <c r="G3996" s="2">
        <v>504161342</v>
      </c>
      <c r="H3996" s="2" t="s">
        <v>290</v>
      </c>
      <c r="I3996" s="2" t="s">
        <v>1623</v>
      </c>
      <c r="J3996" s="2" t="s">
        <v>1624</v>
      </c>
      <c r="L3996" s="2" t="s">
        <v>293</v>
      </c>
      <c r="M3996" s="2" t="s">
        <v>40</v>
      </c>
      <c r="O3996" s="2" t="s">
        <v>2992</v>
      </c>
      <c r="P3996" s="2" t="s">
        <v>169</v>
      </c>
      <c r="Q3996" s="2" t="s">
        <v>170</v>
      </c>
      <c r="R3996" s="2" t="s">
        <v>170</v>
      </c>
      <c r="S3996" s="2">
        <v>1</v>
      </c>
      <c r="T3996" s="2">
        <v>5</v>
      </c>
      <c r="U3996" s="2">
        <v>1.1499999999999999</v>
      </c>
      <c r="V3996" s="2">
        <v>6.15</v>
      </c>
      <c r="W3996" s="2">
        <v>6</v>
      </c>
      <c r="X3996" s="5">
        <f t="shared" si="599"/>
        <v>-0.2</v>
      </c>
      <c r="Z3996" s="2" t="s">
        <v>169</v>
      </c>
      <c r="AA3996" s="2" t="s">
        <v>169</v>
      </c>
      <c r="AF3996" s="2">
        <f t="shared" si="596"/>
        <v>0</v>
      </c>
      <c r="AJ3996" s="2">
        <f t="shared" si="597"/>
        <v>0</v>
      </c>
      <c r="AK3996" s="2">
        <f t="shared" si="600"/>
        <v>-1</v>
      </c>
      <c r="AL3996" s="5">
        <f t="shared" si="601"/>
        <v>-0.2</v>
      </c>
    </row>
    <row r="3997" spans="1:38" x14ac:dyDescent="0.2">
      <c r="A3997" s="2">
        <v>2026</v>
      </c>
      <c r="B3997" s="2">
        <v>5</v>
      </c>
      <c r="D3997" s="2" t="s">
        <v>1281</v>
      </c>
      <c r="E3997" s="2" t="s">
        <v>183</v>
      </c>
      <c r="F3997" s="2" t="s">
        <v>2993</v>
      </c>
      <c r="G3997" s="2">
        <v>517805383</v>
      </c>
      <c r="H3997" s="2" t="s">
        <v>40</v>
      </c>
      <c r="I3997" s="2" t="s">
        <v>99</v>
      </c>
      <c r="J3997" s="2" t="s">
        <v>2994</v>
      </c>
      <c r="K3997" s="2">
        <v>964651239</v>
      </c>
      <c r="L3997" s="2" t="s">
        <v>99</v>
      </c>
      <c r="M3997" s="2" t="s">
        <v>40</v>
      </c>
      <c r="O3997" s="2" t="s">
        <v>2995</v>
      </c>
      <c r="P3997" s="2" t="s">
        <v>282</v>
      </c>
      <c r="Q3997" s="2" t="s">
        <v>2996</v>
      </c>
      <c r="R3997" s="2" t="s">
        <v>2997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599"/>
        <v>0.31578947368421051</v>
      </c>
      <c r="Z3997" s="2" t="s">
        <v>117</v>
      </c>
      <c r="AA3997" s="2" t="s">
        <v>181</v>
      </c>
      <c r="AB3997" s="2" t="s">
        <v>3380</v>
      </c>
      <c r="AC3997" s="2" t="s">
        <v>1327</v>
      </c>
      <c r="AF3997" s="2">
        <f t="shared" si="596"/>
        <v>0</v>
      </c>
      <c r="AG3997" s="2">
        <v>773.5</v>
      </c>
      <c r="AJ3997" s="2">
        <f t="shared" si="597"/>
        <v>0</v>
      </c>
      <c r="AK3997" s="2">
        <f t="shared" si="600"/>
        <v>357</v>
      </c>
      <c r="AL3997" s="5">
        <f t="shared" si="601"/>
        <v>0.31578947368421051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1471</v>
      </c>
      <c r="R3998" s="2" t="s">
        <v>1472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599"/>
        <v>0.50278739085735802</v>
      </c>
      <c r="Z3998" s="2" t="s">
        <v>117</v>
      </c>
      <c r="AA3998" s="2" t="s">
        <v>181</v>
      </c>
      <c r="AB3998" s="2" t="s">
        <v>119</v>
      </c>
      <c r="AC3998" s="2" t="s">
        <v>114</v>
      </c>
      <c r="AF3998" s="2">
        <f t="shared" si="596"/>
        <v>0</v>
      </c>
      <c r="AG3998" s="2">
        <v>343.38</v>
      </c>
      <c r="AJ3998" s="2">
        <f t="shared" si="597"/>
        <v>0</v>
      </c>
      <c r="AK3998" s="2">
        <f t="shared" si="600"/>
        <v>347.23</v>
      </c>
      <c r="AL3998" s="5">
        <f t="shared" si="601"/>
        <v>0.50278739085735802</v>
      </c>
    </row>
    <row r="3999" spans="1:38" x14ac:dyDescent="0.2">
      <c r="A3999" s="2">
        <v>2026</v>
      </c>
      <c r="B3999" s="2">
        <v>5</v>
      </c>
      <c r="D3999" s="2" t="s">
        <v>2998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2999</v>
      </c>
      <c r="J3999" s="2" t="s">
        <v>3000</v>
      </c>
      <c r="K3999" s="2">
        <v>969030161</v>
      </c>
      <c r="L3999" s="2" t="s">
        <v>3001</v>
      </c>
      <c r="M3999" s="2" t="s">
        <v>40</v>
      </c>
      <c r="O3999" s="2" t="s">
        <v>3002</v>
      </c>
      <c r="P3999" s="2" t="s">
        <v>114</v>
      </c>
      <c r="Q3999" s="2" t="s">
        <v>1578</v>
      </c>
      <c r="R3999" s="2" t="s">
        <v>1579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599"/>
        <v>0.27550357653791135</v>
      </c>
      <c r="Z3999" s="2" t="s">
        <v>104</v>
      </c>
      <c r="AA3999" s="2" t="s">
        <v>150</v>
      </c>
      <c r="AB3999" s="2" t="s">
        <v>151</v>
      </c>
      <c r="AC3999" s="2" t="s">
        <v>114</v>
      </c>
      <c r="AF3999" s="2">
        <f t="shared" si="596"/>
        <v>0</v>
      </c>
      <c r="AG3999" s="2">
        <f>4893.23+171</f>
        <v>5064.2299999999996</v>
      </c>
      <c r="AJ3999" s="2">
        <f t="shared" si="597"/>
        <v>0</v>
      </c>
      <c r="AK3999" s="2">
        <f t="shared" si="600"/>
        <v>1925.7700000000004</v>
      </c>
      <c r="AL3999" s="5">
        <f t="shared" si="601"/>
        <v>0.27550357653791135</v>
      </c>
    </row>
    <row r="4000" spans="1:38" x14ac:dyDescent="0.2">
      <c r="A4000" s="2">
        <v>2026</v>
      </c>
      <c r="B4000" s="2">
        <v>5</v>
      </c>
      <c r="D4000" s="2" t="s">
        <v>2334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327</v>
      </c>
      <c r="J4000" s="2" t="s">
        <v>3003</v>
      </c>
      <c r="L4000" s="2" t="s">
        <v>177</v>
      </c>
      <c r="M4000" s="2" t="s">
        <v>41</v>
      </c>
      <c r="O4000" s="2" t="s">
        <v>3004</v>
      </c>
      <c r="P4000" s="2" t="s">
        <v>72</v>
      </c>
      <c r="Q4000" s="2" t="s">
        <v>484</v>
      </c>
      <c r="R4000" s="2" t="s">
        <v>74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599"/>
        <v>0.34034999999999999</v>
      </c>
      <c r="Z4000" s="2" t="s">
        <v>3226</v>
      </c>
      <c r="AA4000" s="2" t="s">
        <v>75</v>
      </c>
      <c r="AB4000" s="2" t="s">
        <v>76</v>
      </c>
      <c r="AC4000" s="2" t="s">
        <v>77</v>
      </c>
      <c r="AF4000" s="2">
        <f t="shared" si="596"/>
        <v>0</v>
      </c>
      <c r="AG4000" s="2">
        <v>131.93</v>
      </c>
      <c r="AH4000" s="2">
        <v>220</v>
      </c>
      <c r="AJ4000" s="2">
        <f t="shared" si="597"/>
        <v>0</v>
      </c>
      <c r="AK4000" s="2">
        <f t="shared" si="600"/>
        <v>68.069999999999993</v>
      </c>
      <c r="AL4000" s="5">
        <f t="shared" si="601"/>
        <v>0.34034999999999999</v>
      </c>
    </row>
    <row r="4001" spans="1:38" x14ac:dyDescent="0.2">
      <c r="A4001" s="2">
        <v>2026</v>
      </c>
      <c r="B4001" s="2">
        <v>5</v>
      </c>
      <c r="D4001" s="2" t="s">
        <v>2334</v>
      </c>
      <c r="P4001" s="2" t="s">
        <v>93</v>
      </c>
      <c r="Q4001" s="2" t="s">
        <v>94</v>
      </c>
      <c r="R4001" s="2" t="s">
        <v>95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599"/>
        <v>0</v>
      </c>
      <c r="Z4001" s="2" t="s">
        <v>3226</v>
      </c>
      <c r="AA4001" s="2" t="s">
        <v>96</v>
      </c>
      <c r="AB4001" s="2" t="s">
        <v>76</v>
      </c>
      <c r="AC4001" s="2" t="s">
        <v>93</v>
      </c>
      <c r="AF4001" s="2">
        <f t="shared" si="596"/>
        <v>0</v>
      </c>
      <c r="AJ4001" s="2">
        <f t="shared" si="597"/>
        <v>0</v>
      </c>
      <c r="AK4001" s="2">
        <f t="shared" si="600"/>
        <v>0</v>
      </c>
      <c r="AL4001" s="5">
        <f t="shared" si="601"/>
        <v>0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72</v>
      </c>
      <c r="Q4002" s="2" t="s">
        <v>832</v>
      </c>
      <c r="R4002" s="2" t="s">
        <v>74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599"/>
        <v>0.45165454545454548</v>
      </c>
      <c r="Z4002" s="2" t="s">
        <v>3226</v>
      </c>
      <c r="AA4002" s="2" t="s">
        <v>75</v>
      </c>
      <c r="AB4002" s="2" t="s">
        <v>76</v>
      </c>
      <c r="AC4002" s="2" t="s">
        <v>77</v>
      </c>
      <c r="AF4002" s="2">
        <f t="shared" si="596"/>
        <v>0</v>
      </c>
      <c r="AG4002" s="2">
        <v>120.636</v>
      </c>
      <c r="AH4002" s="2">
        <v>220</v>
      </c>
      <c r="AJ4002" s="2">
        <f t="shared" si="597"/>
        <v>0</v>
      </c>
      <c r="AK4002" s="2">
        <f t="shared" si="600"/>
        <v>99.364000000000004</v>
      </c>
      <c r="AL4002" s="5">
        <f t="shared" si="601"/>
        <v>0.45165454545454548</v>
      </c>
    </row>
    <row r="4003" spans="1:38" x14ac:dyDescent="0.2">
      <c r="A4003" s="2">
        <v>2026</v>
      </c>
      <c r="B4003" s="2">
        <v>5</v>
      </c>
      <c r="D4003" s="2" t="s">
        <v>3005</v>
      </c>
      <c r="E4003" s="2" t="s">
        <v>108</v>
      </c>
      <c r="F4003" s="2" t="s">
        <v>477</v>
      </c>
      <c r="G4003" s="2">
        <v>500228434</v>
      </c>
      <c r="H4003" s="2" t="s">
        <v>109</v>
      </c>
      <c r="I4003" s="2" t="s">
        <v>112</v>
      </c>
      <c r="J4003" s="2" t="s">
        <v>3239</v>
      </c>
      <c r="L4003" s="2" t="s">
        <v>112</v>
      </c>
      <c r="M4003" s="2" t="s">
        <v>109</v>
      </c>
      <c r="O4003" s="2" t="s">
        <v>3240</v>
      </c>
      <c r="P4003" s="2" t="s">
        <v>93</v>
      </c>
      <c r="Q4003" s="2" t="s">
        <v>94</v>
      </c>
      <c r="R4003" s="2" t="s">
        <v>95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599"/>
        <v>0</v>
      </c>
      <c r="Z4003" s="2" t="s">
        <v>3226</v>
      </c>
      <c r="AA4003" s="2" t="s">
        <v>96</v>
      </c>
      <c r="AB4003" s="2" t="s">
        <v>76</v>
      </c>
      <c r="AC4003" s="2" t="s">
        <v>93</v>
      </c>
      <c r="AF4003" s="2">
        <f t="shared" si="596"/>
        <v>0</v>
      </c>
      <c r="AJ4003" s="2">
        <f t="shared" si="597"/>
        <v>0</v>
      </c>
      <c r="AK4003" s="2">
        <f t="shared" si="600"/>
        <v>0</v>
      </c>
      <c r="AL4003" s="5">
        <f t="shared" si="601"/>
        <v>0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O4004" s="2" t="s">
        <v>3006</v>
      </c>
      <c r="P4004" s="2" t="s">
        <v>114</v>
      </c>
      <c r="Q4004" s="2" t="s">
        <v>2211</v>
      </c>
      <c r="R4004" s="2" t="s">
        <v>2212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599"/>
        <v>0.48130963272774802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596"/>
        <v>0</v>
      </c>
      <c r="AG4004" s="2">
        <f>78.74+0.63</f>
        <v>79.36999999999999</v>
      </c>
      <c r="AJ4004" s="2">
        <f t="shared" si="597"/>
        <v>0</v>
      </c>
      <c r="AK4004" s="2">
        <f t="shared" si="600"/>
        <v>73.650000000000006</v>
      </c>
      <c r="AL4004" s="5">
        <f t="shared" si="601"/>
        <v>0.48130963272774802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40</v>
      </c>
      <c r="P4005" s="2" t="s">
        <v>114</v>
      </c>
      <c r="Q4005" s="2" t="s">
        <v>576</v>
      </c>
      <c r="R4005" s="2" t="s">
        <v>577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599"/>
        <v>1.2583364791744597E-3</v>
      </c>
      <c r="Z4005" s="2" t="s">
        <v>117</v>
      </c>
      <c r="AA4005" s="2" t="s">
        <v>118</v>
      </c>
      <c r="AB4005" s="2" t="s">
        <v>119</v>
      </c>
      <c r="AC4005" s="2" t="s">
        <v>114</v>
      </c>
      <c r="AF4005" s="2">
        <f t="shared" si="596"/>
        <v>0</v>
      </c>
      <c r="AG4005" s="2">
        <f>78.74+0.63</f>
        <v>79.36999999999999</v>
      </c>
      <c r="AJ4005" s="2">
        <f t="shared" si="597"/>
        <v>0</v>
      </c>
      <c r="AK4005" s="2">
        <f t="shared" si="600"/>
        <v>9.9999999999994316E-2</v>
      </c>
      <c r="AL4005" s="5">
        <f t="shared" si="601"/>
        <v>1.2583364791744597E-3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P4006" s="2" t="s">
        <v>114</v>
      </c>
      <c r="Q4006" s="2" t="s">
        <v>3007</v>
      </c>
      <c r="R4006" s="2" t="s">
        <v>3008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599"/>
        <v>1</v>
      </c>
      <c r="Z4006" s="2" t="s">
        <v>104</v>
      </c>
      <c r="AA4006" s="2" t="s">
        <v>616</v>
      </c>
      <c r="AB4006" s="2" t="s">
        <v>3436</v>
      </c>
      <c r="AC4006" s="2" t="s">
        <v>114</v>
      </c>
      <c r="AF4006" s="2">
        <f t="shared" si="596"/>
        <v>0</v>
      </c>
      <c r="AJ4006" s="2">
        <f t="shared" si="597"/>
        <v>0</v>
      </c>
      <c r="AK4006" s="2">
        <f t="shared" si="600"/>
        <v>3990</v>
      </c>
      <c r="AL4006" s="5">
        <f t="shared" si="601"/>
        <v>1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O4007" s="2" t="s">
        <v>3009</v>
      </c>
      <c r="P4007" s="2" t="s">
        <v>43</v>
      </c>
      <c r="Q4007" s="2" t="s">
        <v>420</v>
      </c>
      <c r="R4007" s="2" t="s">
        <v>421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599"/>
        <v>0.47838888888888892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596"/>
        <v>0</v>
      </c>
      <c r="AG4007" s="2">
        <v>3.7555999999999998</v>
      </c>
      <c r="AH4007" s="2">
        <v>7.2</v>
      </c>
      <c r="AJ4007" s="2">
        <f t="shared" si="597"/>
        <v>0</v>
      </c>
      <c r="AK4007" s="2">
        <f t="shared" si="600"/>
        <v>51.666000000000004</v>
      </c>
      <c r="AL4007" s="5">
        <f t="shared" si="601"/>
        <v>0.47838888888888892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334</v>
      </c>
      <c r="R4008" s="2" t="s">
        <v>335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599"/>
        <v>0.62926666666666664</v>
      </c>
      <c r="Z4008" s="2" t="s">
        <v>3226</v>
      </c>
      <c r="AA4008" s="2" t="s">
        <v>46</v>
      </c>
      <c r="AB4008" s="2" t="s">
        <v>60</v>
      </c>
      <c r="AC4008" s="2" t="s">
        <v>57</v>
      </c>
      <c r="AF4008" s="2">
        <f t="shared" si="596"/>
        <v>0</v>
      </c>
      <c r="AG4008" s="2">
        <v>1.1122000000000001</v>
      </c>
      <c r="AH4008" s="2">
        <v>3</v>
      </c>
      <c r="AJ4008" s="2">
        <f t="shared" si="597"/>
        <v>0</v>
      </c>
      <c r="AK4008" s="2">
        <f t="shared" si="600"/>
        <v>37.756</v>
      </c>
      <c r="AL4008" s="5">
        <f t="shared" si="601"/>
        <v>0.62926666666666664</v>
      </c>
    </row>
    <row r="4009" spans="1:38" x14ac:dyDescent="0.2">
      <c r="A4009" s="2">
        <v>2026</v>
      </c>
      <c r="B4009" s="2">
        <v>5</v>
      </c>
      <c r="D4009" s="2" t="s">
        <v>574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177</v>
      </c>
      <c r="J4009" s="2" t="s">
        <v>575</v>
      </c>
      <c r="L4009" s="2" t="s">
        <v>177</v>
      </c>
      <c r="M4009" s="2" t="s">
        <v>41</v>
      </c>
      <c r="P4009" s="2" t="s">
        <v>43</v>
      </c>
      <c r="Q4009" s="2" t="s">
        <v>65</v>
      </c>
      <c r="R4009" s="2" t="s">
        <v>66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599"/>
        <v>0.38692653061224486</v>
      </c>
      <c r="Z4009" s="2" t="s">
        <v>3226</v>
      </c>
      <c r="AA4009" s="2" t="s">
        <v>46</v>
      </c>
      <c r="AB4009" s="2" t="s">
        <v>67</v>
      </c>
      <c r="AC4009" s="2" t="s">
        <v>57</v>
      </c>
      <c r="AF4009" s="2">
        <f t="shared" si="596"/>
        <v>0</v>
      </c>
      <c r="AG4009" s="2">
        <v>15.020300000000001</v>
      </c>
      <c r="AH4009" s="2">
        <v>27.6</v>
      </c>
      <c r="AJ4009" s="2">
        <f t="shared" si="597"/>
        <v>0</v>
      </c>
      <c r="AK4009" s="2">
        <f t="shared" si="600"/>
        <v>18.959399999999999</v>
      </c>
      <c r="AL4009" s="5">
        <f t="shared" si="601"/>
        <v>0.38692653061224486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43</v>
      </c>
      <c r="Q4010" s="2" t="s">
        <v>254</v>
      </c>
      <c r="R4010" s="2" t="s">
        <v>255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599"/>
        <v>0.34714285714285725</v>
      </c>
      <c r="Z4010" s="2" t="s">
        <v>3226</v>
      </c>
      <c r="AA4010" s="2" t="s">
        <v>46</v>
      </c>
      <c r="AB4010" s="2" t="s">
        <v>60</v>
      </c>
      <c r="AC4010" s="2" t="s">
        <v>57</v>
      </c>
      <c r="AF4010" s="2">
        <f t="shared" si="596"/>
        <v>0</v>
      </c>
      <c r="AJ4010" s="2">
        <f t="shared" si="597"/>
        <v>0</v>
      </c>
      <c r="AK4010" s="2">
        <f t="shared" si="600"/>
        <v>4.8600000000000012</v>
      </c>
      <c r="AL4010" s="5">
        <f t="shared" si="601"/>
        <v>0.34714285714285725</v>
      </c>
    </row>
    <row r="4011" spans="1:38" x14ac:dyDescent="0.2">
      <c r="A4011" s="2">
        <v>2026</v>
      </c>
      <c r="B4011" s="2">
        <v>5</v>
      </c>
      <c r="D4011" s="2" t="s">
        <v>3010</v>
      </c>
      <c r="P4011" s="2" t="s">
        <v>169</v>
      </c>
      <c r="Q4011" s="2" t="s">
        <v>170</v>
      </c>
      <c r="R4011" s="2" t="s">
        <v>170</v>
      </c>
      <c r="S4011" s="2">
        <v>1</v>
      </c>
      <c r="T4011" s="2">
        <v>5</v>
      </c>
      <c r="U4011" s="2">
        <v>1.1499999999999999</v>
      </c>
      <c r="V4011" s="2">
        <v>6.15</v>
      </c>
      <c r="W4011" s="2">
        <v>6</v>
      </c>
      <c r="X4011" s="5">
        <f t="shared" si="599"/>
        <v>-0.2</v>
      </c>
      <c r="Z4011" s="2" t="s">
        <v>169</v>
      </c>
      <c r="AA4011" s="2" t="s">
        <v>169</v>
      </c>
      <c r="AF4011" s="2">
        <f t="shared" si="596"/>
        <v>0</v>
      </c>
      <c r="AJ4011" s="2">
        <f t="shared" si="597"/>
        <v>0</v>
      </c>
      <c r="AK4011" s="2">
        <f t="shared" si="600"/>
        <v>-1</v>
      </c>
      <c r="AL4011" s="5">
        <f t="shared" si="601"/>
        <v>-0.2</v>
      </c>
    </row>
    <row r="4012" spans="1:38" x14ac:dyDescent="0.2">
      <c r="A4012" s="2">
        <v>2026</v>
      </c>
      <c r="B4012" s="2">
        <v>5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50</v>
      </c>
      <c r="R4012" s="2" t="s">
        <v>51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599"/>
        <v>0.31428571428571428</v>
      </c>
      <c r="Z4012" s="2" t="s">
        <v>3226</v>
      </c>
      <c r="AA4012" s="2" t="s">
        <v>46</v>
      </c>
      <c r="AB4012" s="2" t="s">
        <v>47</v>
      </c>
      <c r="AC4012" s="2" t="s">
        <v>57</v>
      </c>
      <c r="AF4012" s="2">
        <f t="shared" si="596"/>
        <v>0</v>
      </c>
      <c r="AG4012" s="2">
        <v>14.4</v>
      </c>
      <c r="AH4012" s="2">
        <v>21</v>
      </c>
      <c r="AJ4012" s="2">
        <f t="shared" si="597"/>
        <v>0</v>
      </c>
      <c r="AK4012" s="2">
        <f t="shared" si="600"/>
        <v>6.6</v>
      </c>
      <c r="AL4012" s="5">
        <f t="shared" si="601"/>
        <v>0.31428571428571428</v>
      </c>
    </row>
    <row r="4013" spans="1:38" x14ac:dyDescent="0.2">
      <c r="A4013" s="2">
        <v>2026</v>
      </c>
      <c r="B4013" s="2">
        <v>5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43</v>
      </c>
      <c r="Q4013" s="2" t="s">
        <v>61</v>
      </c>
      <c r="R4013" s="2" t="s">
        <v>62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599"/>
        <v>0.25454545454545452</v>
      </c>
      <c r="Z4013" s="2" t="s">
        <v>3226</v>
      </c>
      <c r="AA4013" s="2" t="s">
        <v>46</v>
      </c>
      <c r="AB4013" s="2" t="s">
        <v>60</v>
      </c>
      <c r="AC4013" s="2" t="s">
        <v>57</v>
      </c>
      <c r="AF4013" s="2">
        <f t="shared" si="596"/>
        <v>0</v>
      </c>
      <c r="AG4013" s="2">
        <v>8.1999999999999993</v>
      </c>
      <c r="AH4013" s="2">
        <v>13</v>
      </c>
      <c r="AJ4013" s="2">
        <f t="shared" si="597"/>
        <v>0</v>
      </c>
      <c r="AK4013" s="2">
        <f t="shared" si="600"/>
        <v>28</v>
      </c>
      <c r="AL4013" s="5">
        <f t="shared" si="601"/>
        <v>0.25454545454545452</v>
      </c>
    </row>
    <row r="4014" spans="1:38" x14ac:dyDescent="0.2">
      <c r="A4014" s="2">
        <v>2026</v>
      </c>
      <c r="B4014" s="2">
        <v>5</v>
      </c>
      <c r="D4014" s="2" t="s">
        <v>581</v>
      </c>
      <c r="P4014" s="2" t="s">
        <v>84</v>
      </c>
      <c r="Q4014" s="2" t="s">
        <v>620</v>
      </c>
      <c r="R4014" s="2" t="s">
        <v>621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599"/>
        <v>1</v>
      </c>
      <c r="Z4014" s="2" t="s">
        <v>3226</v>
      </c>
      <c r="AA4014" s="2" t="s">
        <v>87</v>
      </c>
      <c r="AB4014" s="2" t="s">
        <v>60</v>
      </c>
      <c r="AC4014" s="2" t="s">
        <v>84</v>
      </c>
      <c r="AF4014" s="2">
        <f t="shared" si="596"/>
        <v>0</v>
      </c>
      <c r="AJ4014" s="2">
        <f t="shared" si="597"/>
        <v>0</v>
      </c>
      <c r="AK4014" s="2">
        <f t="shared" si="600"/>
        <v>10.15</v>
      </c>
      <c r="AL4014" s="5">
        <f t="shared" si="601"/>
        <v>1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188</v>
      </c>
      <c r="R4015" s="2" t="s">
        <v>189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599"/>
        <v>0.6</v>
      </c>
      <c r="Z4015" s="2" t="s">
        <v>117</v>
      </c>
      <c r="AA4015" s="2" t="s">
        <v>190</v>
      </c>
      <c r="AB4015" s="2" t="s">
        <v>189</v>
      </c>
      <c r="AC4015" s="2" t="s">
        <v>40</v>
      </c>
      <c r="AF4015" s="2">
        <f t="shared" si="596"/>
        <v>0</v>
      </c>
      <c r="AG4015" s="2">
        <f>W4015</f>
        <v>30.400000000000002</v>
      </c>
      <c r="AJ4015" s="2">
        <f t="shared" si="597"/>
        <v>0</v>
      </c>
      <c r="AK4015" s="2">
        <f t="shared" si="600"/>
        <v>45.599999999999994</v>
      </c>
      <c r="AL4015" s="5">
        <f t="shared" si="601"/>
        <v>0.6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M4016" s="2" t="s">
        <v>40</v>
      </c>
      <c r="P4016" s="2" t="s">
        <v>187</v>
      </c>
      <c r="Q4016" s="2" t="s">
        <v>191</v>
      </c>
      <c r="R4016" s="2" t="s">
        <v>190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599"/>
        <v>0.5</v>
      </c>
      <c r="Z4016" s="2" t="s">
        <v>117</v>
      </c>
      <c r="AA4016" s="2" t="s">
        <v>190</v>
      </c>
      <c r="AB4016" s="2" t="s">
        <v>190</v>
      </c>
      <c r="AC4016" s="2" t="s">
        <v>40</v>
      </c>
      <c r="AF4016" s="2">
        <f t="shared" si="596"/>
        <v>0</v>
      </c>
      <c r="AG4016" s="2">
        <f>W4016</f>
        <v>27.5</v>
      </c>
      <c r="AJ4016" s="2">
        <f t="shared" si="597"/>
        <v>0</v>
      </c>
      <c r="AK4016" s="2">
        <f t="shared" ref="AK4016:AK4047" si="602">T4016-W4016</f>
        <v>27.5</v>
      </c>
      <c r="AL4016" s="5">
        <f t="shared" si="601"/>
        <v>0.5</v>
      </c>
    </row>
    <row r="4017" spans="1:38" x14ac:dyDescent="0.2">
      <c r="A4017" s="2">
        <v>2026</v>
      </c>
      <c r="B4017" s="2">
        <v>5</v>
      </c>
      <c r="D4017" s="2" t="s">
        <v>588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177</v>
      </c>
      <c r="J4017" s="2" t="s">
        <v>589</v>
      </c>
      <c r="L4017" s="2" t="s">
        <v>177</v>
      </c>
      <c r="P4017" s="2" t="s">
        <v>40</v>
      </c>
      <c r="Q4017" s="2" t="s">
        <v>363</v>
      </c>
      <c r="R4017" s="2" t="s">
        <v>364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599"/>
        <v>1</v>
      </c>
      <c r="Z4017" s="2" t="s">
        <v>119</v>
      </c>
      <c r="AA4017" s="2" t="s">
        <v>3379</v>
      </c>
      <c r="AF4017" s="2">
        <f t="shared" si="596"/>
        <v>0</v>
      </c>
      <c r="AJ4017" s="2">
        <f t="shared" si="597"/>
        <v>0</v>
      </c>
      <c r="AK4017" s="2">
        <f t="shared" si="602"/>
        <v>5.99</v>
      </c>
      <c r="AL4017" s="5">
        <f t="shared" si="601"/>
        <v>1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114</v>
      </c>
      <c r="Q4018" s="2" t="s">
        <v>1471</v>
      </c>
      <c r="R4018" s="2" t="s">
        <v>1472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599"/>
        <v>0.50896610896610894</v>
      </c>
      <c r="Z4018" s="2" t="s">
        <v>117</v>
      </c>
      <c r="AA4018" s="2" t="s">
        <v>181</v>
      </c>
      <c r="AB4018" s="2" t="s">
        <v>119</v>
      </c>
      <c r="AC4018" s="2" t="s">
        <v>114</v>
      </c>
      <c r="AF4018" s="2">
        <f t="shared" si="596"/>
        <v>0</v>
      </c>
      <c r="AG4018" s="2">
        <v>343.38</v>
      </c>
      <c r="AJ4018" s="2">
        <f t="shared" si="597"/>
        <v>0</v>
      </c>
      <c r="AK4018" s="2">
        <f t="shared" si="602"/>
        <v>355.91999999999996</v>
      </c>
      <c r="AL4018" s="5">
        <f t="shared" si="601"/>
        <v>0.50896610896610894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188</v>
      </c>
      <c r="R4019" s="2" t="s">
        <v>189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599"/>
        <v>0.6</v>
      </c>
      <c r="Z4019" s="2" t="s">
        <v>117</v>
      </c>
      <c r="AA4019" s="2" t="s">
        <v>190</v>
      </c>
      <c r="AB4019" s="2" t="s">
        <v>189</v>
      </c>
      <c r="AC4019" s="2" t="s">
        <v>40</v>
      </c>
      <c r="AF4019" s="2">
        <f t="shared" si="596"/>
        <v>0</v>
      </c>
      <c r="AG4019" s="2">
        <f>W4019</f>
        <v>90</v>
      </c>
      <c r="AJ4019" s="2">
        <f t="shared" si="597"/>
        <v>0</v>
      </c>
      <c r="AK4019" s="2">
        <f t="shared" si="602"/>
        <v>135</v>
      </c>
      <c r="AL4019" s="5">
        <f t="shared" si="601"/>
        <v>0.6</v>
      </c>
    </row>
    <row r="4020" spans="1:38" x14ac:dyDescent="0.2">
      <c r="A4020" s="2">
        <v>2026</v>
      </c>
      <c r="B4020" s="2">
        <v>5</v>
      </c>
      <c r="D4020" s="2" t="s">
        <v>1740</v>
      </c>
      <c r="E4020" s="2" t="s">
        <v>98</v>
      </c>
      <c r="F4020" s="2" t="s">
        <v>39</v>
      </c>
      <c r="G4020" s="2">
        <v>502368519</v>
      </c>
      <c r="H4020" s="2" t="s">
        <v>41</v>
      </c>
      <c r="I4020" s="2" t="s">
        <v>1126</v>
      </c>
      <c r="J4020" s="2" t="s">
        <v>1741</v>
      </c>
      <c r="K4020" s="2">
        <v>968602188</v>
      </c>
      <c r="L4020" s="2" t="s">
        <v>461</v>
      </c>
      <c r="M4020" s="2" t="s">
        <v>40</v>
      </c>
      <c r="O4020" s="2" t="s">
        <v>3011</v>
      </c>
      <c r="P4020" s="2" t="s">
        <v>187</v>
      </c>
      <c r="Q4020" s="2" t="s">
        <v>191</v>
      </c>
      <c r="R4020" s="2" t="s">
        <v>190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117</v>
      </c>
      <c r="AA4020" s="2" t="s">
        <v>190</v>
      </c>
      <c r="AB4020" s="2" t="s">
        <v>190</v>
      </c>
      <c r="AC4020" s="2" t="s">
        <v>40</v>
      </c>
      <c r="AF4020" s="2">
        <f t="shared" si="596"/>
        <v>0</v>
      </c>
      <c r="AG4020" s="2">
        <f>W4020</f>
        <v>0</v>
      </c>
      <c r="AJ4020" s="2">
        <f t="shared" si="597"/>
        <v>0</v>
      </c>
      <c r="AK4020" s="2">
        <f t="shared" si="602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72</v>
      </c>
      <c r="Q4021" s="2" t="s">
        <v>78</v>
      </c>
      <c r="R4021" s="2" t="s">
        <v>79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52" si="603">(T4021-W4021)/T4021</f>
        <v>0.46676190476190477</v>
      </c>
      <c r="Z4021" s="2" t="s">
        <v>3226</v>
      </c>
      <c r="AA4021" s="2" t="s">
        <v>75</v>
      </c>
      <c r="AB4021" s="2" t="s">
        <v>76</v>
      </c>
      <c r="AC4021" s="2" t="s">
        <v>77</v>
      </c>
      <c r="AF4021" s="2">
        <f t="shared" si="596"/>
        <v>0</v>
      </c>
      <c r="AG4021" s="2">
        <v>111.98</v>
      </c>
      <c r="AH4021" s="2">
        <v>210</v>
      </c>
      <c r="AJ4021" s="2">
        <f t="shared" si="597"/>
        <v>0</v>
      </c>
      <c r="AK4021" s="2">
        <f t="shared" si="602"/>
        <v>98.02</v>
      </c>
      <c r="AL4021" s="5">
        <f t="shared" ref="AL4021:AL4047" si="604">(T4021-W4021)/T4021</f>
        <v>0.46676190476190477</v>
      </c>
    </row>
    <row r="4022" spans="1:38" x14ac:dyDescent="0.2">
      <c r="A4022" s="2">
        <v>2026</v>
      </c>
      <c r="B4022" s="2">
        <v>5</v>
      </c>
      <c r="D4022" s="2" t="s">
        <v>1295</v>
      </c>
      <c r="E4022" s="2" t="s">
        <v>183</v>
      </c>
      <c r="F4022" s="2" t="s">
        <v>366</v>
      </c>
      <c r="G4022" s="2">
        <v>500625654</v>
      </c>
      <c r="H4022" s="2" t="s">
        <v>290</v>
      </c>
      <c r="I4022" s="2" t="s">
        <v>339</v>
      </c>
      <c r="J4022" s="2" t="s">
        <v>1296</v>
      </c>
      <c r="L4022" s="2" t="s">
        <v>339</v>
      </c>
      <c r="M4022" s="2" t="s">
        <v>80</v>
      </c>
      <c r="O4022" s="2" t="s">
        <v>3012</v>
      </c>
      <c r="P4022" s="2" t="s">
        <v>93</v>
      </c>
      <c r="Q4022" s="2" t="s">
        <v>94</v>
      </c>
      <c r="R4022" s="2" t="s">
        <v>95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603"/>
        <v>0</v>
      </c>
      <c r="Z4022" s="2" t="s">
        <v>3226</v>
      </c>
      <c r="AA4022" s="2" t="s">
        <v>96</v>
      </c>
      <c r="AB4022" s="2" t="s">
        <v>76</v>
      </c>
      <c r="AC4022" s="2" t="s">
        <v>93</v>
      </c>
      <c r="AF4022" s="2">
        <f t="shared" si="596"/>
        <v>0</v>
      </c>
      <c r="AG4022" s="2">
        <v>1.48</v>
      </c>
      <c r="AH4022" s="2">
        <v>1.48</v>
      </c>
      <c r="AJ4022" s="2">
        <f t="shared" si="597"/>
        <v>0</v>
      </c>
      <c r="AK4022" s="2">
        <f t="shared" si="602"/>
        <v>0</v>
      </c>
      <c r="AL4022" s="5">
        <f t="shared" si="604"/>
        <v>0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1363</v>
      </c>
      <c r="R4023" s="2" t="s">
        <v>1364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W4023" s="2">
        <f>9.75*S4023</f>
        <v>19.5</v>
      </c>
      <c r="X4023" s="5">
        <f t="shared" si="603"/>
        <v>0.71491228070175439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596"/>
        <v>0</v>
      </c>
      <c r="AJ4023" s="2">
        <f t="shared" si="597"/>
        <v>0</v>
      </c>
      <c r="AK4023" s="2">
        <f t="shared" si="602"/>
        <v>48.900000000000006</v>
      </c>
      <c r="AL4023" s="5">
        <f t="shared" si="604"/>
        <v>0.71491228070175439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160</v>
      </c>
      <c r="R4024" s="2" t="s">
        <v>161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603"/>
        <v>0.58491111111111116</v>
      </c>
      <c r="Z4024" s="2" t="s">
        <v>3226</v>
      </c>
      <c r="AA4024" s="2" t="s">
        <v>46</v>
      </c>
      <c r="AB4024" s="2" t="s">
        <v>47</v>
      </c>
      <c r="AC4024" s="2" t="s">
        <v>57</v>
      </c>
      <c r="AF4024" s="2">
        <f t="shared" si="596"/>
        <v>0</v>
      </c>
      <c r="AG4024" s="2">
        <v>3.7357999999999998</v>
      </c>
      <c r="AH4024" s="2">
        <v>9</v>
      </c>
      <c r="AJ4024" s="2">
        <f t="shared" si="597"/>
        <v>0</v>
      </c>
      <c r="AK4024" s="2">
        <f t="shared" si="602"/>
        <v>10.528400000000001</v>
      </c>
      <c r="AL4024" s="5">
        <f t="shared" si="604"/>
        <v>0.58491111111111116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P4025" s="2" t="s">
        <v>43</v>
      </c>
      <c r="Q4025" s="2" t="s">
        <v>54</v>
      </c>
      <c r="R4025" s="2" t="s">
        <v>55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603"/>
        <v>0.26896551724137929</v>
      </c>
      <c r="Z4025" s="2" t="s">
        <v>3226</v>
      </c>
      <c r="AA4025" s="2" t="s">
        <v>46</v>
      </c>
      <c r="AB4025" s="2" t="s">
        <v>56</v>
      </c>
      <c r="AC4025" s="2" t="s">
        <v>57</v>
      </c>
      <c r="AF4025" s="2">
        <f t="shared" si="596"/>
        <v>0</v>
      </c>
      <c r="AG4025" s="2">
        <v>10.6</v>
      </c>
      <c r="AH4025" s="2">
        <v>18</v>
      </c>
      <c r="AJ4025" s="2">
        <f t="shared" si="597"/>
        <v>0</v>
      </c>
      <c r="AK4025" s="2">
        <f t="shared" si="602"/>
        <v>39</v>
      </c>
      <c r="AL4025" s="5">
        <f t="shared" si="604"/>
        <v>0.26896551724137929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O4026" s="2" t="s">
        <v>3013</v>
      </c>
      <c r="P4026" s="2" t="s">
        <v>43</v>
      </c>
      <c r="Q4026" s="2" t="s">
        <v>58</v>
      </c>
      <c r="R4026" s="2" t="s">
        <v>59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603"/>
        <v>0.29692307692307696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596"/>
        <v>0</v>
      </c>
      <c r="AG4026" s="2">
        <v>9.14</v>
      </c>
      <c r="AH4026" s="2">
        <v>16</v>
      </c>
      <c r="AJ4026" s="2">
        <f t="shared" si="597"/>
        <v>0</v>
      </c>
      <c r="AK4026" s="2">
        <f t="shared" si="602"/>
        <v>11.580000000000002</v>
      </c>
      <c r="AL4026" s="5">
        <f t="shared" si="604"/>
        <v>0.29692307692307696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P4027" s="2" t="s">
        <v>43</v>
      </c>
      <c r="Q4027" s="2" t="s">
        <v>61</v>
      </c>
      <c r="R4027" s="2" t="s">
        <v>62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603"/>
        <v>0.3692307692307692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596"/>
        <v>0</v>
      </c>
      <c r="AG4027" s="2">
        <v>8.1999999999999993</v>
      </c>
      <c r="AH4027" s="2">
        <v>13</v>
      </c>
      <c r="AJ4027" s="2">
        <f t="shared" si="597"/>
        <v>0</v>
      </c>
      <c r="AK4027" s="2">
        <f t="shared" si="602"/>
        <v>14.399999999999999</v>
      </c>
      <c r="AL4027" s="5">
        <f t="shared" si="604"/>
        <v>0.3692307692307692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3015</v>
      </c>
      <c r="R4028" s="2" t="s">
        <v>3016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603"/>
        <v>0.62374999999999992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596"/>
        <v>0</v>
      </c>
      <c r="AG4028" s="2">
        <v>0.90300000000000002</v>
      </c>
      <c r="AH4028" s="2">
        <v>2.4</v>
      </c>
      <c r="AJ4028" s="2">
        <f t="shared" si="597"/>
        <v>0</v>
      </c>
      <c r="AK4028" s="2">
        <f t="shared" si="602"/>
        <v>17.963999999999999</v>
      </c>
      <c r="AL4028" s="5">
        <f t="shared" si="604"/>
        <v>0.62374999999999992</v>
      </c>
    </row>
    <row r="4029" spans="1:38" x14ac:dyDescent="0.2">
      <c r="A4029" s="2">
        <v>2026</v>
      </c>
      <c r="B4029" s="2">
        <v>5</v>
      </c>
      <c r="D4029" s="2" t="s">
        <v>617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618</v>
      </c>
      <c r="J4029" s="2" t="s">
        <v>619</v>
      </c>
      <c r="L4029" s="2" t="s">
        <v>418</v>
      </c>
      <c r="M4029" s="2" t="s">
        <v>41</v>
      </c>
      <c r="O4029" s="2" t="s">
        <v>3014</v>
      </c>
      <c r="P4029" s="2" t="s">
        <v>43</v>
      </c>
      <c r="Q4029" s="2" t="s">
        <v>3017</v>
      </c>
      <c r="R4029" s="2" t="s">
        <v>3018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603"/>
        <v>0.62416666666666665</v>
      </c>
      <c r="Z4029" s="2" t="s">
        <v>3226</v>
      </c>
      <c r="AA4029" s="2" t="s">
        <v>46</v>
      </c>
      <c r="AB4029" s="2" t="s">
        <v>60</v>
      </c>
      <c r="AC4029" s="2" t="s">
        <v>57</v>
      </c>
      <c r="AF4029" s="2">
        <f t="shared" si="596"/>
        <v>0</v>
      </c>
      <c r="AG4029" s="2">
        <v>0.90200000000000002</v>
      </c>
      <c r="AH4029" s="2">
        <v>2.8</v>
      </c>
      <c r="AJ4029" s="2">
        <f t="shared" si="597"/>
        <v>0</v>
      </c>
      <c r="AK4029" s="2">
        <f t="shared" si="602"/>
        <v>17.975999999999999</v>
      </c>
      <c r="AL4029" s="5">
        <f t="shared" si="604"/>
        <v>0.62416666666666665</v>
      </c>
    </row>
    <row r="4030" spans="1:38" x14ac:dyDescent="0.2">
      <c r="A4030" s="2">
        <v>2026</v>
      </c>
      <c r="B4030" s="2">
        <v>5</v>
      </c>
      <c r="C4030" s="2" t="s">
        <v>3449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3019</v>
      </c>
      <c r="P4030" s="2" t="s">
        <v>114</v>
      </c>
      <c r="Q4030" s="2" t="s">
        <v>3020</v>
      </c>
      <c r="R4030" s="2" t="s">
        <v>3021</v>
      </c>
      <c r="S4030" s="2">
        <v>2</v>
      </c>
      <c r="T4030" s="2">
        <v>351.42</v>
      </c>
      <c r="V4030" s="2">
        <f>T4030</f>
        <v>351.42</v>
      </c>
      <c r="W4030" s="2">
        <f>106.17*S4030</f>
        <v>212.34</v>
      </c>
      <c r="X4030" s="5">
        <f t="shared" si="603"/>
        <v>0.39576575038415573</v>
      </c>
      <c r="Z4030" s="2" t="s">
        <v>117</v>
      </c>
      <c r="AA4030" s="2" t="s">
        <v>578</v>
      </c>
      <c r="AB4030" s="2" t="s">
        <v>119</v>
      </c>
      <c r="AC4030" s="2" t="s">
        <v>114</v>
      </c>
      <c r="AF4030" s="2">
        <f t="shared" si="596"/>
        <v>0</v>
      </c>
      <c r="AG4030" s="2">
        <f>104.4+1.77</f>
        <v>106.17</v>
      </c>
      <c r="AJ4030" s="2">
        <f t="shared" si="597"/>
        <v>0</v>
      </c>
      <c r="AK4030" s="2">
        <f t="shared" si="602"/>
        <v>139.08000000000001</v>
      </c>
      <c r="AL4030" s="5">
        <f t="shared" si="604"/>
        <v>0.39576575038415573</v>
      </c>
    </row>
    <row r="4031" spans="1:38" x14ac:dyDescent="0.2">
      <c r="A4031" s="2">
        <v>2026</v>
      </c>
      <c r="B4031" s="2">
        <v>5</v>
      </c>
      <c r="C4031" s="2" t="s">
        <v>3371</v>
      </c>
      <c r="D4031" s="2" t="s">
        <v>624</v>
      </c>
      <c r="E4031" s="2" t="s">
        <v>38</v>
      </c>
      <c r="F4031" s="2" t="s">
        <v>39</v>
      </c>
      <c r="G4031" s="2" t="s">
        <v>625</v>
      </c>
      <c r="H4031" s="2" t="s">
        <v>40</v>
      </c>
      <c r="I4031" s="2" t="s">
        <v>626</v>
      </c>
      <c r="J4031" s="2" t="s">
        <v>627</v>
      </c>
      <c r="L4031" s="2" t="s">
        <v>626</v>
      </c>
      <c r="M4031" s="2" t="s">
        <v>40</v>
      </c>
      <c r="O4031" s="2" t="s">
        <v>3022</v>
      </c>
      <c r="P4031" s="2" t="s">
        <v>114</v>
      </c>
      <c r="Q4031" s="2" t="s">
        <v>904</v>
      </c>
      <c r="R4031" s="2" t="s">
        <v>905</v>
      </c>
      <c r="S4031" s="2">
        <v>1</v>
      </c>
      <c r="T4031" s="2">
        <v>465.7</v>
      </c>
      <c r="V4031" s="2">
        <f>T4031</f>
        <v>465.7</v>
      </c>
      <c r="W4031" s="2">
        <v>345.20339999999999</v>
      </c>
      <c r="X4031" s="5">
        <f t="shared" si="603"/>
        <v>0.25874296757569254</v>
      </c>
      <c r="Z4031" s="2" t="s">
        <v>117</v>
      </c>
      <c r="AA4031" s="2" t="s">
        <v>181</v>
      </c>
      <c r="AB4031" s="2" t="s">
        <v>119</v>
      </c>
      <c r="AC4031" s="2" t="s">
        <v>114</v>
      </c>
      <c r="AF4031" s="2">
        <f t="shared" si="596"/>
        <v>0</v>
      </c>
      <c r="AG4031" s="2">
        <v>342.22</v>
      </c>
      <c r="AJ4031" s="2">
        <f t="shared" si="597"/>
        <v>0</v>
      </c>
      <c r="AK4031" s="2">
        <f t="shared" si="602"/>
        <v>120.4966</v>
      </c>
      <c r="AL4031" s="5">
        <f t="shared" si="604"/>
        <v>0.25874296757569254</v>
      </c>
    </row>
    <row r="4032" spans="1:38" x14ac:dyDescent="0.2">
      <c r="A4032" s="2">
        <v>2026</v>
      </c>
      <c r="B4032" s="2">
        <v>5</v>
      </c>
      <c r="D4032" s="2" t="s">
        <v>3023</v>
      </c>
      <c r="M4032" s="2" t="s">
        <v>80</v>
      </c>
      <c r="P4032" s="2" t="s">
        <v>72</v>
      </c>
      <c r="Q4032" s="2" t="s">
        <v>73</v>
      </c>
      <c r="R4032" s="2" t="s">
        <v>74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603"/>
        <v>0.42947272727272723</v>
      </c>
      <c r="Z4032" s="2" t="s">
        <v>3226</v>
      </c>
      <c r="AA4032" s="2" t="s">
        <v>75</v>
      </c>
      <c r="AB4032" s="2" t="s">
        <v>76</v>
      </c>
      <c r="AC4032" s="2" t="s">
        <v>77</v>
      </c>
      <c r="AF4032" s="2">
        <f t="shared" si="596"/>
        <v>0</v>
      </c>
      <c r="AG4032" s="2">
        <v>125.51600000000001</v>
      </c>
      <c r="AH4032" s="2">
        <v>220</v>
      </c>
      <c r="AJ4032" s="2">
        <f t="shared" si="597"/>
        <v>0</v>
      </c>
      <c r="AK4032" s="2">
        <f t="shared" si="602"/>
        <v>94.483999999999995</v>
      </c>
      <c r="AL4032" s="5">
        <f t="shared" si="604"/>
        <v>0.42947272727272723</v>
      </c>
    </row>
    <row r="4033" spans="1:38" x14ac:dyDescent="0.2">
      <c r="A4033" s="2">
        <v>2026</v>
      </c>
      <c r="B4033" s="2">
        <v>5</v>
      </c>
      <c r="D4033" s="2" t="s">
        <v>3023</v>
      </c>
      <c r="P4033" s="2" t="s">
        <v>93</v>
      </c>
      <c r="Q4033" s="2" t="s">
        <v>94</v>
      </c>
      <c r="R4033" s="2" t="s">
        <v>95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603"/>
        <v>0</v>
      </c>
      <c r="Z4033" s="2" t="s">
        <v>3226</v>
      </c>
      <c r="AA4033" s="2" t="s">
        <v>96</v>
      </c>
      <c r="AB4033" s="2" t="s">
        <v>76</v>
      </c>
      <c r="AC4033" s="2" t="s">
        <v>93</v>
      </c>
      <c r="AF4033" s="2">
        <f t="shared" si="596"/>
        <v>0</v>
      </c>
      <c r="AJ4033" s="2">
        <f t="shared" si="597"/>
        <v>0</v>
      </c>
      <c r="AK4033" s="2">
        <f t="shared" si="602"/>
        <v>0</v>
      </c>
      <c r="AL4033" s="5">
        <f t="shared" si="604"/>
        <v>0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O4034" s="2" t="s">
        <v>3025</v>
      </c>
      <c r="P4034" s="2" t="s">
        <v>114</v>
      </c>
      <c r="Q4034" s="2" t="s">
        <v>179</v>
      </c>
      <c r="R4034" s="2" t="s">
        <v>180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603"/>
        <v>0.50440440440440437</v>
      </c>
      <c r="Z4034" s="2" t="s">
        <v>117</v>
      </c>
      <c r="AA4034" s="2" t="s">
        <v>181</v>
      </c>
      <c r="AB4034" s="2" t="s">
        <v>119</v>
      </c>
      <c r="AC4034" s="2" t="s">
        <v>114</v>
      </c>
      <c r="AF4034" s="2">
        <f t="shared" ref="AF4034:AF4042" si="605">AJ4034</f>
        <v>0</v>
      </c>
      <c r="AJ4034" s="2">
        <f t="shared" ref="AJ4034:AJ4047" si="606">AI4034*T4034</f>
        <v>0</v>
      </c>
      <c r="AK4034" s="2">
        <f t="shared" si="602"/>
        <v>352.72999999999996</v>
      </c>
      <c r="AL4034" s="5">
        <f t="shared" si="604"/>
        <v>0.50440440440440437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188</v>
      </c>
      <c r="R4035" s="2" t="s">
        <v>189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603"/>
        <v>0.6</v>
      </c>
      <c r="Z4035" s="2" t="s">
        <v>117</v>
      </c>
      <c r="AA4035" s="2" t="s">
        <v>190</v>
      </c>
      <c r="AB4035" s="2" t="s">
        <v>189</v>
      </c>
      <c r="AC4035" s="2" t="s">
        <v>40</v>
      </c>
      <c r="AF4035" s="2">
        <f t="shared" si="605"/>
        <v>0</v>
      </c>
      <c r="AG4035" s="2">
        <f>W4035</f>
        <v>70</v>
      </c>
      <c r="AJ4035" s="2">
        <f t="shared" si="606"/>
        <v>0</v>
      </c>
      <c r="AK4035" s="2">
        <f t="shared" si="602"/>
        <v>105</v>
      </c>
      <c r="AL4035" s="5">
        <f t="shared" si="604"/>
        <v>0.6</v>
      </c>
    </row>
    <row r="4036" spans="1:38" x14ac:dyDescent="0.2">
      <c r="A4036" s="2">
        <v>2026</v>
      </c>
      <c r="B4036" s="2">
        <v>5</v>
      </c>
      <c r="D4036" s="2" t="s">
        <v>3024</v>
      </c>
      <c r="M4036" s="2" t="s">
        <v>40</v>
      </c>
      <c r="P4036" s="2" t="s">
        <v>187</v>
      </c>
      <c r="Q4036" s="2" t="s">
        <v>191</v>
      </c>
      <c r="R4036" s="2" t="s">
        <v>190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603"/>
        <v>0.5</v>
      </c>
      <c r="Z4036" s="2" t="s">
        <v>117</v>
      </c>
      <c r="AA4036" s="2" t="s">
        <v>190</v>
      </c>
      <c r="AB4036" s="2" t="s">
        <v>190</v>
      </c>
      <c r="AC4036" s="2" t="s">
        <v>40</v>
      </c>
      <c r="AF4036" s="2">
        <f t="shared" si="605"/>
        <v>0</v>
      </c>
      <c r="AG4036" s="2">
        <f>W4036</f>
        <v>110</v>
      </c>
      <c r="AJ4036" s="2">
        <f t="shared" si="606"/>
        <v>0</v>
      </c>
      <c r="AK4036" s="2">
        <f t="shared" si="602"/>
        <v>110</v>
      </c>
      <c r="AL4036" s="5">
        <f t="shared" si="604"/>
        <v>0.5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O4037" s="2" t="s">
        <v>3026</v>
      </c>
      <c r="P4037" s="2" t="s">
        <v>72</v>
      </c>
      <c r="Q4037" s="2" t="s">
        <v>3027</v>
      </c>
      <c r="R4037" s="2" t="s">
        <v>331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603"/>
        <v>0.39445595854922277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05"/>
        <v>0</v>
      </c>
      <c r="AG4037" s="2">
        <v>125.51600000000001</v>
      </c>
      <c r="AH4037" s="2">
        <v>220</v>
      </c>
      <c r="AJ4037" s="2">
        <f t="shared" si="606"/>
        <v>0</v>
      </c>
      <c r="AK4037" s="2">
        <f t="shared" si="602"/>
        <v>76.13</v>
      </c>
      <c r="AL4037" s="5">
        <f t="shared" si="604"/>
        <v>0.39445595854922277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72</v>
      </c>
      <c r="Q4038" s="2" t="s">
        <v>325</v>
      </c>
      <c r="R4038" s="2" t="s">
        <v>79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603"/>
        <v>0.49690909090909086</v>
      </c>
      <c r="Z4038" s="2" t="s">
        <v>3226</v>
      </c>
      <c r="AA4038" s="2" t="s">
        <v>75</v>
      </c>
      <c r="AB4038" s="2" t="s">
        <v>76</v>
      </c>
      <c r="AC4038" s="2" t="s">
        <v>77</v>
      </c>
      <c r="AF4038" s="2">
        <f t="shared" si="605"/>
        <v>0</v>
      </c>
      <c r="AG4038" s="2">
        <v>110.68</v>
      </c>
      <c r="AH4038" s="2">
        <v>210</v>
      </c>
      <c r="AJ4038" s="2">
        <f t="shared" si="606"/>
        <v>0</v>
      </c>
      <c r="AK4038" s="2">
        <f t="shared" si="602"/>
        <v>109.32</v>
      </c>
      <c r="AL4038" s="5">
        <f t="shared" si="604"/>
        <v>0.49690909090909086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1038</v>
      </c>
      <c r="Q4039" s="2" t="s">
        <v>3028</v>
      </c>
      <c r="R4039" s="2" t="s">
        <v>3029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603"/>
        <v>0.45881818181818179</v>
      </c>
      <c r="Z4039" s="2" t="s">
        <v>3226</v>
      </c>
      <c r="AA4039" s="2" t="s">
        <v>75</v>
      </c>
      <c r="AB4039" s="2" t="s">
        <v>76</v>
      </c>
      <c r="AC4039" s="2" t="s">
        <v>1038</v>
      </c>
      <c r="AF4039" s="2">
        <f t="shared" si="605"/>
        <v>0</v>
      </c>
      <c r="AJ4039" s="2">
        <f t="shared" si="606"/>
        <v>0</v>
      </c>
      <c r="AK4039" s="2">
        <f t="shared" si="602"/>
        <v>100.94</v>
      </c>
      <c r="AL4039" s="5">
        <f t="shared" si="604"/>
        <v>0.45881818181818179</v>
      </c>
    </row>
    <row r="4040" spans="1:38" x14ac:dyDescent="0.2">
      <c r="A4040" s="2">
        <v>2026</v>
      </c>
      <c r="B4040" s="2">
        <v>5</v>
      </c>
      <c r="D4040" s="2" t="s">
        <v>660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661</v>
      </c>
      <c r="J4040" s="2" t="s">
        <v>662</v>
      </c>
      <c r="L4040" s="2" t="s">
        <v>344</v>
      </c>
      <c r="M4040" s="2" t="s">
        <v>80</v>
      </c>
      <c r="P4040" s="2" t="s">
        <v>93</v>
      </c>
      <c r="Q4040" s="2" t="s">
        <v>94</v>
      </c>
      <c r="R4040" s="2" t="s">
        <v>95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603"/>
        <v>2.000401846171453E-16</v>
      </c>
      <c r="Z4040" s="2" t="s">
        <v>3226</v>
      </c>
      <c r="AA4040" s="2" t="s">
        <v>96</v>
      </c>
      <c r="AB4040" s="2" t="s">
        <v>76</v>
      </c>
      <c r="AC4040" s="2" t="s">
        <v>93</v>
      </c>
      <c r="AF4040" s="2">
        <f t="shared" si="605"/>
        <v>0</v>
      </c>
      <c r="AJ4040" s="2">
        <f t="shared" si="606"/>
        <v>0</v>
      </c>
      <c r="AK4040" s="2">
        <f t="shared" si="602"/>
        <v>0</v>
      </c>
      <c r="AL4040" s="5">
        <f t="shared" si="604"/>
        <v>2.000401846171453E-16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282</v>
      </c>
      <c r="Q4041" s="2" t="s">
        <v>3031</v>
      </c>
      <c r="R4041" s="2" t="s">
        <v>3032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603"/>
        <v>-0.1875</v>
      </c>
      <c r="Z4041" s="2" t="s">
        <v>104</v>
      </c>
      <c r="AA4041" s="2" t="s">
        <v>387</v>
      </c>
      <c r="AB4041" s="2" t="s">
        <v>388</v>
      </c>
      <c r="AC4041" s="2" t="s">
        <v>389</v>
      </c>
      <c r="AF4041" s="2">
        <f t="shared" si="605"/>
        <v>0</v>
      </c>
      <c r="AG4041" s="2">
        <v>285</v>
      </c>
      <c r="AJ4041" s="2">
        <f t="shared" si="606"/>
        <v>0</v>
      </c>
      <c r="AK4041" s="2">
        <f t="shared" si="602"/>
        <v>-45</v>
      </c>
      <c r="AL4041" s="5">
        <f t="shared" si="604"/>
        <v>-0.1875</v>
      </c>
    </row>
    <row r="4042" spans="1:38" x14ac:dyDescent="0.2">
      <c r="A4042" s="2">
        <v>2026</v>
      </c>
      <c r="B4042" s="2">
        <v>5</v>
      </c>
      <c r="D4042" s="2" t="s">
        <v>2364</v>
      </c>
      <c r="E4042" s="2" t="s">
        <v>108</v>
      </c>
      <c r="F4042" s="2" t="s">
        <v>39</v>
      </c>
      <c r="G4042" s="2">
        <v>503554952</v>
      </c>
      <c r="H4042" s="2" t="s">
        <v>41</v>
      </c>
      <c r="I4042" s="2" t="s">
        <v>2365</v>
      </c>
      <c r="J4042" s="2" t="s">
        <v>2366</v>
      </c>
      <c r="K4042" s="2">
        <v>963062174</v>
      </c>
      <c r="L4042" s="2" t="s">
        <v>418</v>
      </c>
      <c r="M4042" s="2" t="s">
        <v>41</v>
      </c>
      <c r="O4042" s="2" t="s">
        <v>3030</v>
      </c>
      <c r="P4042" s="2" t="s">
        <v>43</v>
      </c>
      <c r="Q4042" s="2" t="s">
        <v>54</v>
      </c>
      <c r="R4042" s="2" t="s">
        <v>55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603"/>
        <v>0.37647058823529411</v>
      </c>
      <c r="Z4042" s="2" t="s">
        <v>3226</v>
      </c>
      <c r="AA4042" s="2" t="s">
        <v>46</v>
      </c>
      <c r="AB4042" s="2" t="s">
        <v>56</v>
      </c>
      <c r="AC4042" s="2" t="s">
        <v>57</v>
      </c>
      <c r="AF4042" s="2">
        <f t="shared" si="605"/>
        <v>0</v>
      </c>
      <c r="AG4042" s="2">
        <v>10.6</v>
      </c>
      <c r="AH4042" s="2">
        <v>18</v>
      </c>
      <c r="AJ4042" s="2">
        <f t="shared" si="606"/>
        <v>0</v>
      </c>
      <c r="AK4042" s="2">
        <f t="shared" si="602"/>
        <v>25.6</v>
      </c>
      <c r="AL4042" s="5">
        <f t="shared" si="604"/>
        <v>0.37647058823529411</v>
      </c>
    </row>
    <row r="4043" spans="1:38" x14ac:dyDescent="0.2">
      <c r="A4043" s="2">
        <v>2026</v>
      </c>
      <c r="B4043" s="2">
        <v>5</v>
      </c>
      <c r="D4043" s="2" t="s">
        <v>462</v>
      </c>
      <c r="E4043" s="2" t="s">
        <v>108</v>
      </c>
      <c r="F4043" s="2" t="s">
        <v>39</v>
      </c>
      <c r="G4043" s="2">
        <v>506531031</v>
      </c>
      <c r="H4043" s="2" t="s">
        <v>109</v>
      </c>
      <c r="I4043" s="2" t="s">
        <v>463</v>
      </c>
      <c r="J4043" s="2" t="s">
        <v>464</v>
      </c>
      <c r="L4043" s="2" t="s">
        <v>112</v>
      </c>
      <c r="O4043" s="2" t="s">
        <v>3033</v>
      </c>
      <c r="P4043" s="2" t="s">
        <v>114</v>
      </c>
      <c r="Q4043" s="2" t="s">
        <v>1578</v>
      </c>
      <c r="R4043" s="2" t="s">
        <v>1579</v>
      </c>
      <c r="S4043" s="2">
        <v>1</v>
      </c>
      <c r="T4043" s="2">
        <v>5490</v>
      </c>
      <c r="U4043" s="2">
        <f t="shared" ref="U4043:U4065" si="607">T4043*23%</f>
        <v>1262.7</v>
      </c>
      <c r="V4043" s="2">
        <f t="shared" ref="V4043:V4065" si="608">T4043+U4043</f>
        <v>6752.7</v>
      </c>
      <c r="W4043" s="2">
        <v>5064.2299999999996</v>
      </c>
      <c r="X4043" s="5">
        <f t="shared" si="603"/>
        <v>7.7553734061930862E-2</v>
      </c>
      <c r="Z4043" s="2" t="s">
        <v>104</v>
      </c>
      <c r="AA4043" s="2" t="s">
        <v>150</v>
      </c>
      <c r="AB4043" s="2" t="s">
        <v>151</v>
      </c>
      <c r="AC4043" s="2" t="s">
        <v>114</v>
      </c>
      <c r="AF4043" s="2">
        <v>0</v>
      </c>
      <c r="AG4043" s="2">
        <f>4893.23+171</f>
        <v>5064.2299999999996</v>
      </c>
      <c r="AJ4043" s="2">
        <f t="shared" si="606"/>
        <v>0</v>
      </c>
      <c r="AK4043" s="2">
        <f t="shared" si="602"/>
        <v>425.77000000000044</v>
      </c>
      <c r="AL4043" s="5">
        <f t="shared" si="604"/>
        <v>7.7553734061930862E-2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188</v>
      </c>
      <c r="R4044" s="2" t="s">
        <v>189</v>
      </c>
      <c r="S4044" s="2">
        <v>1</v>
      </c>
      <c r="T4044" s="2">
        <v>73</v>
      </c>
      <c r="U4044" s="2">
        <f t="shared" si="607"/>
        <v>16.79</v>
      </c>
      <c r="V4044" s="2">
        <f t="shared" si="608"/>
        <v>89.789999999999992</v>
      </c>
      <c r="W4044" s="2">
        <f>T4044*40%</f>
        <v>29.200000000000003</v>
      </c>
      <c r="X4044" s="5">
        <f t="shared" si="603"/>
        <v>0.6</v>
      </c>
      <c r="Z4044" s="2" t="s">
        <v>117</v>
      </c>
      <c r="AA4044" s="2" t="s">
        <v>190</v>
      </c>
      <c r="AB4044" s="2" t="s">
        <v>189</v>
      </c>
      <c r="AC4044" s="2" t="s">
        <v>40</v>
      </c>
      <c r="AF4044" s="2">
        <f>AJ4044</f>
        <v>0</v>
      </c>
      <c r="AG4044" s="2">
        <f>W4044</f>
        <v>29.200000000000003</v>
      </c>
      <c r="AJ4044" s="2">
        <f t="shared" si="606"/>
        <v>0</v>
      </c>
      <c r="AK4044" s="2">
        <f t="shared" si="602"/>
        <v>43.8</v>
      </c>
      <c r="AL4044" s="5">
        <f t="shared" si="604"/>
        <v>0.6</v>
      </c>
    </row>
    <row r="4045" spans="1:38" x14ac:dyDescent="0.2">
      <c r="A4045" s="2">
        <v>2026</v>
      </c>
      <c r="B4045" s="2">
        <v>2</v>
      </c>
      <c r="D4045" s="2" t="s">
        <v>516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279</v>
      </c>
      <c r="J4045" s="2" t="s">
        <v>517</v>
      </c>
      <c r="K4045" s="2">
        <v>967657430</v>
      </c>
      <c r="L4045" s="2" t="s">
        <v>201</v>
      </c>
      <c r="M4045" s="2" t="s">
        <v>40</v>
      </c>
      <c r="O4045" s="2" t="s">
        <v>3034</v>
      </c>
      <c r="P4045" s="2" t="s">
        <v>187</v>
      </c>
      <c r="Q4045" s="2" t="s">
        <v>191</v>
      </c>
      <c r="R4045" s="2" t="s">
        <v>190</v>
      </c>
      <c r="S4045" s="2">
        <v>1.5</v>
      </c>
      <c r="T4045" s="2">
        <v>55</v>
      </c>
      <c r="U4045" s="2">
        <f t="shared" si="607"/>
        <v>12.65</v>
      </c>
      <c r="V4045" s="2">
        <f t="shared" si="608"/>
        <v>67.650000000000006</v>
      </c>
      <c r="W4045" s="2">
        <f>T4045*50%</f>
        <v>27.5</v>
      </c>
      <c r="X4045" s="5">
        <f t="shared" si="603"/>
        <v>0.5</v>
      </c>
      <c r="Z4045" s="2" t="s">
        <v>117</v>
      </c>
      <c r="AA4045" s="2" t="s">
        <v>190</v>
      </c>
      <c r="AB4045" s="2" t="s">
        <v>190</v>
      </c>
      <c r="AC4045" s="2" t="s">
        <v>40</v>
      </c>
      <c r="AF4045" s="2">
        <f>AJ4045</f>
        <v>0</v>
      </c>
      <c r="AG4045" s="2">
        <f>W4045</f>
        <v>27.5</v>
      </c>
      <c r="AJ4045" s="2">
        <f t="shared" si="606"/>
        <v>0</v>
      </c>
      <c r="AK4045" s="2">
        <f t="shared" si="602"/>
        <v>27.5</v>
      </c>
      <c r="AL4045" s="5">
        <f t="shared" si="604"/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72</v>
      </c>
      <c r="Q4046" s="2" t="s">
        <v>202</v>
      </c>
      <c r="R4046" s="2" t="s">
        <v>197</v>
      </c>
      <c r="S4046" s="8">
        <v>1</v>
      </c>
      <c r="T4046" s="10">
        <v>260</v>
      </c>
      <c r="U4046" s="2">
        <f t="shared" si="607"/>
        <v>59.800000000000004</v>
      </c>
      <c r="V4046" s="10">
        <f t="shared" si="608"/>
        <v>319.8</v>
      </c>
      <c r="W4046" s="2">
        <v>152.85</v>
      </c>
      <c r="X4046" s="5">
        <f t="shared" si="603"/>
        <v>0.41211538461538466</v>
      </c>
      <c r="Z4046" s="2" t="s">
        <v>3226</v>
      </c>
      <c r="AA4046" s="2" t="s">
        <v>75</v>
      </c>
      <c r="AB4046" s="2" t="s">
        <v>76</v>
      </c>
      <c r="AC4046" s="2" t="s">
        <v>77</v>
      </c>
      <c r="AF4046" s="2">
        <f>AJ4046</f>
        <v>0</v>
      </c>
      <c r="AG4046" s="2">
        <v>152.85</v>
      </c>
      <c r="AH4046" s="2">
        <v>260</v>
      </c>
      <c r="AI4046" s="2"/>
      <c r="AJ4046" s="2">
        <f t="shared" si="606"/>
        <v>0</v>
      </c>
      <c r="AK4046" s="2">
        <f t="shared" si="602"/>
        <v>107.15</v>
      </c>
      <c r="AL4046" s="5">
        <f t="shared" si="604"/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93</v>
      </c>
      <c r="Q4047" s="2" t="s">
        <v>94</v>
      </c>
      <c r="R4047" s="2" t="s">
        <v>95</v>
      </c>
      <c r="S4047" s="9">
        <v>1</v>
      </c>
      <c r="T4047" s="10">
        <v>1.48</v>
      </c>
      <c r="U4047" s="2">
        <f t="shared" si="607"/>
        <v>0.34040000000000004</v>
      </c>
      <c r="V4047" s="10">
        <f t="shared" si="608"/>
        <v>1.8204</v>
      </c>
      <c r="W4047" s="2">
        <f>1.48*S4047</f>
        <v>1.48</v>
      </c>
      <c r="X4047" s="5">
        <f t="shared" si="603"/>
        <v>0</v>
      </c>
      <c r="Z4047" s="2" t="s">
        <v>3226</v>
      </c>
      <c r="AA4047" s="2" t="s">
        <v>96</v>
      </c>
      <c r="AB4047" s="2" t="s">
        <v>76</v>
      </c>
      <c r="AC4047" s="2" t="s">
        <v>93</v>
      </c>
      <c r="AF4047" s="2">
        <f>AJ4047</f>
        <v>0</v>
      </c>
      <c r="AG4047" s="2">
        <v>1.48</v>
      </c>
      <c r="AH4047" s="2">
        <v>1.48</v>
      </c>
      <c r="AI4047" s="2"/>
      <c r="AJ4047" s="2">
        <f t="shared" si="606"/>
        <v>0</v>
      </c>
      <c r="AK4047" s="2">
        <f t="shared" si="602"/>
        <v>0</v>
      </c>
      <c r="AL4047" s="5">
        <f t="shared" si="604"/>
        <v>0</v>
      </c>
    </row>
    <row r="4048" spans="1:38" x14ac:dyDescent="0.2">
      <c r="A4048" s="8">
        <v>2026</v>
      </c>
      <c r="B4048" s="8">
        <v>6</v>
      </c>
      <c r="C4048" s="8" t="s">
        <v>3322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1079</v>
      </c>
      <c r="R4048" s="2" t="s">
        <v>1080</v>
      </c>
      <c r="S4048" s="9">
        <v>1</v>
      </c>
      <c r="T4048" s="10">
        <v>77.48</v>
      </c>
      <c r="U4048" s="2">
        <f t="shared" si="607"/>
        <v>17.820400000000003</v>
      </c>
      <c r="V4048" s="10">
        <f t="shared" si="608"/>
        <v>95.30040000000001</v>
      </c>
      <c r="X4048" s="5">
        <f t="shared" si="603"/>
        <v>1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L4048" s="2"/>
    </row>
    <row r="4049" spans="1:38" x14ac:dyDescent="0.2">
      <c r="A4049" s="8">
        <v>2026</v>
      </c>
      <c r="B4049" s="8">
        <v>6</v>
      </c>
      <c r="C4049" s="8" t="s">
        <v>3322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114</v>
      </c>
      <c r="Q4049" s="2" t="s">
        <v>2480</v>
      </c>
      <c r="R4049" s="2" t="s">
        <v>1387</v>
      </c>
      <c r="S4049" s="9">
        <v>1</v>
      </c>
      <c r="T4049" s="10">
        <v>466.58</v>
      </c>
      <c r="U4049" s="2">
        <f t="shared" si="607"/>
        <v>107.3134</v>
      </c>
      <c r="V4049" s="10">
        <f t="shared" si="608"/>
        <v>573.89339999999993</v>
      </c>
      <c r="W4049" s="2">
        <v>222.18</v>
      </c>
      <c r="X4049" s="5">
        <f t="shared" si="603"/>
        <v>0.52381156500492942</v>
      </c>
      <c r="Z4049" s="2" t="s">
        <v>117</v>
      </c>
      <c r="AA4049" s="2" t="s">
        <v>118</v>
      </c>
      <c r="AB4049" s="2" t="s">
        <v>119</v>
      </c>
      <c r="AC4049" s="2" t="s">
        <v>114</v>
      </c>
      <c r="AI4049" s="2"/>
      <c r="AK4049" s="2">
        <f t="shared" ref="AK4049" si="609">T4049-W4049</f>
        <v>244.39999999999998</v>
      </c>
      <c r="AL4049" s="5">
        <f t="shared" ref="AL4049" si="610">(T4049-W4049)/T4049</f>
        <v>0.52381156500492942</v>
      </c>
    </row>
    <row r="4050" spans="1:38" x14ac:dyDescent="0.2">
      <c r="A4050" s="8">
        <v>2026</v>
      </c>
      <c r="B4050" s="8">
        <v>6</v>
      </c>
      <c r="C4050" s="8" t="s">
        <v>3322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188</v>
      </c>
      <c r="R4050" s="2" t="s">
        <v>189</v>
      </c>
      <c r="S4050" s="9">
        <v>1</v>
      </c>
      <c r="T4050" s="10">
        <v>125</v>
      </c>
      <c r="U4050" s="2">
        <f t="shared" si="607"/>
        <v>28.75</v>
      </c>
      <c r="V4050" s="2">
        <f t="shared" si="608"/>
        <v>153.75</v>
      </c>
      <c r="W4050" s="2">
        <f>T4050*40%</f>
        <v>50</v>
      </c>
      <c r="X4050" s="5">
        <f t="shared" si="603"/>
        <v>0.6</v>
      </c>
      <c r="Z4050" s="2" t="s">
        <v>117</v>
      </c>
      <c r="AA4050" s="2" t="s">
        <v>190</v>
      </c>
      <c r="AB4050" s="2" t="s">
        <v>189</v>
      </c>
      <c r="AC4050" s="2" t="s">
        <v>40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 t="s">
        <v>3322</v>
      </c>
      <c r="D4051" s="2" t="s">
        <v>1450</v>
      </c>
      <c r="E4051" s="2" t="s">
        <v>108</v>
      </c>
      <c r="F4051" s="2" t="s">
        <v>477</v>
      </c>
      <c r="L4051" s="2" t="s">
        <v>112</v>
      </c>
      <c r="M4051" s="2" t="s">
        <v>40</v>
      </c>
      <c r="P4051" s="2" t="s">
        <v>187</v>
      </c>
      <c r="Q4051" s="2" t="s">
        <v>191</v>
      </c>
      <c r="R4051" s="2" t="s">
        <v>190</v>
      </c>
      <c r="S4051" s="9">
        <v>2</v>
      </c>
      <c r="T4051" s="10">
        <v>110</v>
      </c>
      <c r="U4051" s="2">
        <f t="shared" si="607"/>
        <v>25.3</v>
      </c>
      <c r="V4051" s="2">
        <f t="shared" si="608"/>
        <v>135.30000000000001</v>
      </c>
      <c r="W4051" s="2">
        <f>T4051*50%</f>
        <v>55</v>
      </c>
      <c r="X4051" s="5">
        <f t="shared" si="603"/>
        <v>0.5</v>
      </c>
      <c r="Z4051" s="2" t="s">
        <v>117</v>
      </c>
      <c r="AA4051" s="2" t="s">
        <v>190</v>
      </c>
      <c r="AB4051" s="2" t="s">
        <v>190</v>
      </c>
      <c r="AC4051" s="2" t="s">
        <v>40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54</v>
      </c>
      <c r="R4052" s="2" t="s">
        <v>55</v>
      </c>
      <c r="S4052" s="9">
        <v>1</v>
      </c>
      <c r="T4052" s="10">
        <v>18</v>
      </c>
      <c r="U4052" s="2">
        <f t="shared" si="607"/>
        <v>4.1400000000000006</v>
      </c>
      <c r="V4052" s="10">
        <f t="shared" si="608"/>
        <v>22.14</v>
      </c>
      <c r="W4052" s="2">
        <v>10.6</v>
      </c>
      <c r="X4052" s="5">
        <f t="shared" si="603"/>
        <v>0.41111111111111115</v>
      </c>
      <c r="Z4052" s="2" t="s">
        <v>3226</v>
      </c>
      <c r="AA4052" s="2" t="s">
        <v>46</v>
      </c>
      <c r="AB4052" s="2" t="s">
        <v>56</v>
      </c>
      <c r="AC4052" s="2" t="s">
        <v>57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61</v>
      </c>
      <c r="R4053" s="2" t="s">
        <v>62</v>
      </c>
      <c r="S4053" s="9">
        <v>100</v>
      </c>
      <c r="T4053" s="10">
        <v>13</v>
      </c>
      <c r="U4053" s="2">
        <f t="shared" si="607"/>
        <v>2.99</v>
      </c>
      <c r="V4053" s="10">
        <f t="shared" si="608"/>
        <v>15.99</v>
      </c>
      <c r="W4053" s="2">
        <f>0.082*S4053</f>
        <v>8.2000000000000011</v>
      </c>
      <c r="X4053" s="5">
        <f t="shared" ref="X4053:X4075" si="611">(T4053-W4053)/T4053</f>
        <v>0.36923076923076914</v>
      </c>
      <c r="Z4053" s="2" t="s">
        <v>3226</v>
      </c>
      <c r="AA4053" s="2" t="s">
        <v>46</v>
      </c>
      <c r="AB4053" s="2" t="s">
        <v>60</v>
      </c>
      <c r="AC4053" s="2" t="s">
        <v>57</v>
      </c>
      <c r="AI4053" s="2"/>
      <c r="AK4053" s="2">
        <f>T4053-W4053</f>
        <v>4.7999999999999989</v>
      </c>
      <c r="AL4053" s="5">
        <f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1323</v>
      </c>
      <c r="P4054" s="2" t="s">
        <v>43</v>
      </c>
      <c r="Q4054" s="2" t="s">
        <v>65</v>
      </c>
      <c r="R4054" s="2" t="s">
        <v>66</v>
      </c>
      <c r="S4054" s="9">
        <v>1</v>
      </c>
      <c r="T4054" s="10">
        <v>20</v>
      </c>
      <c r="U4054" s="2">
        <f t="shared" si="607"/>
        <v>4.6000000000000005</v>
      </c>
      <c r="V4054" s="10">
        <f t="shared" si="608"/>
        <v>24.6</v>
      </c>
      <c r="W4054" s="2">
        <f>15.0203*S4054</f>
        <v>15.020300000000001</v>
      </c>
      <c r="X4054" s="5">
        <f t="shared" si="611"/>
        <v>0.24898499999999996</v>
      </c>
      <c r="Z4054" s="2" t="s">
        <v>3226</v>
      </c>
      <c r="AA4054" s="2" t="s">
        <v>46</v>
      </c>
      <c r="AB4054" s="2" t="s">
        <v>67</v>
      </c>
      <c r="AC4054" s="2" t="s">
        <v>57</v>
      </c>
      <c r="AI4054" s="2"/>
      <c r="AK4054" s="2">
        <f t="shared" ref="AK4054" si="612">T4054-W4054</f>
        <v>4.9796999999999993</v>
      </c>
      <c r="AL4054" s="5">
        <f t="shared" ref="AL4054" si="613">(T4054-W4054)/T4054</f>
        <v>0.24898499999999996</v>
      </c>
    </row>
    <row r="4055" spans="1:38" x14ac:dyDescent="0.2">
      <c r="A4055" s="8">
        <v>2026</v>
      </c>
      <c r="B4055" s="8">
        <v>6</v>
      </c>
      <c r="C4055" s="8"/>
      <c r="D4055" s="2" t="s">
        <v>3100</v>
      </c>
      <c r="P4055" s="2" t="s">
        <v>1038</v>
      </c>
      <c r="Q4055" s="2" t="s">
        <v>3035</v>
      </c>
      <c r="R4055" s="2" t="s">
        <v>3036</v>
      </c>
      <c r="S4055" s="9">
        <v>1</v>
      </c>
      <c r="T4055" s="10">
        <v>280</v>
      </c>
      <c r="U4055" s="2">
        <f t="shared" si="607"/>
        <v>64.400000000000006</v>
      </c>
      <c r="V4055" s="2">
        <f t="shared" si="608"/>
        <v>344.4</v>
      </c>
      <c r="W4055" s="2">
        <v>153.4</v>
      </c>
      <c r="X4055" s="5">
        <f t="shared" si="611"/>
        <v>0.45214285714285712</v>
      </c>
      <c r="Z4055" s="2" t="s">
        <v>3226</v>
      </c>
      <c r="AA4055" s="2" t="s">
        <v>75</v>
      </c>
      <c r="AB4055" s="2" t="s">
        <v>76</v>
      </c>
      <c r="AC4055" s="2" t="s">
        <v>1038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3100</v>
      </c>
      <c r="P4056" s="2" t="s">
        <v>93</v>
      </c>
      <c r="Q4056" s="2" t="s">
        <v>94</v>
      </c>
      <c r="R4056" s="2" t="s">
        <v>95</v>
      </c>
      <c r="S4056" s="9">
        <v>1</v>
      </c>
      <c r="T4056" s="10">
        <v>1.48</v>
      </c>
      <c r="U4056" s="2">
        <f t="shared" si="607"/>
        <v>0.34040000000000004</v>
      </c>
      <c r="V4056" s="10">
        <f t="shared" si="608"/>
        <v>1.8204</v>
      </c>
      <c r="W4056" s="2">
        <f>1.48*S4056</f>
        <v>1.48</v>
      </c>
      <c r="X4056" s="5">
        <f t="shared" si="611"/>
        <v>0</v>
      </c>
      <c r="Z4056" s="2" t="s">
        <v>3226</v>
      </c>
      <c r="AA4056" s="2" t="s">
        <v>96</v>
      </c>
      <c r="AB4056" s="2" t="s">
        <v>76</v>
      </c>
      <c r="AC4056" s="2" t="s">
        <v>93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 t="s">
        <v>3293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238</v>
      </c>
      <c r="R4057" s="2" t="s">
        <v>239</v>
      </c>
      <c r="S4057" s="9">
        <v>1</v>
      </c>
      <c r="T4057" s="10">
        <v>21</v>
      </c>
      <c r="U4057" s="2">
        <f t="shared" si="607"/>
        <v>4.83</v>
      </c>
      <c r="V4057" s="10">
        <f t="shared" si="608"/>
        <v>25.83</v>
      </c>
      <c r="W4057" s="2">
        <f>11.045*S4057</f>
        <v>11.045</v>
      </c>
      <c r="X4057" s="5">
        <f t="shared" si="611"/>
        <v>0.47404761904761905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 t="shared" ref="AK4057" si="614">T4057-W4057</f>
        <v>9.9550000000000001</v>
      </c>
      <c r="AL4057" s="5">
        <f t="shared" ref="AL4057" si="615">(T4057-W4057)/T4057</f>
        <v>0.47404761904761905</v>
      </c>
    </row>
    <row r="4058" spans="1:38" x14ac:dyDescent="0.2">
      <c r="A4058" s="8">
        <v>2026</v>
      </c>
      <c r="B4058" s="8">
        <v>6</v>
      </c>
      <c r="C4058" s="8" t="s">
        <v>3293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242</v>
      </c>
      <c r="R4058" s="2" t="s">
        <v>243</v>
      </c>
      <c r="S4058" s="9">
        <v>1</v>
      </c>
      <c r="T4058" s="10">
        <v>30</v>
      </c>
      <c r="U4058" s="2">
        <f t="shared" si="607"/>
        <v>6.9</v>
      </c>
      <c r="V4058" s="10">
        <f t="shared" si="608"/>
        <v>36.9</v>
      </c>
      <c r="W4058" s="2">
        <f>16.2249*S4058</f>
        <v>16.224900000000002</v>
      </c>
      <c r="X4058" s="5">
        <f t="shared" si="611"/>
        <v>0.45916999999999997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>T4058-W4058</f>
        <v>13.775099999999998</v>
      </c>
      <c r="AL4058" s="5">
        <f>(T4058-W4058)/T4058</f>
        <v>0.45916999999999997</v>
      </c>
    </row>
    <row r="4059" spans="1:38" x14ac:dyDescent="0.2">
      <c r="A4059" s="8">
        <v>2026</v>
      </c>
      <c r="B4059" s="8">
        <v>6</v>
      </c>
      <c r="C4059" s="8" t="s">
        <v>3293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246</v>
      </c>
      <c r="R4059" s="2" t="s">
        <v>247</v>
      </c>
      <c r="S4059" s="9">
        <v>1</v>
      </c>
      <c r="T4059" s="10">
        <v>19.8</v>
      </c>
      <c r="U4059" s="2">
        <f t="shared" si="607"/>
        <v>4.5540000000000003</v>
      </c>
      <c r="V4059" s="10">
        <f t="shared" si="608"/>
        <v>24.353999999999999</v>
      </c>
      <c r="W4059" s="2">
        <f>10.5267*S4059</f>
        <v>10.5267</v>
      </c>
      <c r="X4059" s="5">
        <f t="shared" si="611"/>
        <v>0.46834848484848485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K4059" s="2">
        <f t="shared" ref="AK4059" si="616">T4059-W4059</f>
        <v>9.2733000000000008</v>
      </c>
      <c r="AL4059" s="5">
        <f t="shared" ref="AL4059" si="617">(T4059-W4059)/T4059</f>
        <v>0.46834848484848485</v>
      </c>
    </row>
    <row r="4060" spans="1:38" x14ac:dyDescent="0.2">
      <c r="A4060" s="8">
        <v>2026</v>
      </c>
      <c r="B4060" s="8">
        <v>6</v>
      </c>
      <c r="C4060" s="8" t="s">
        <v>3293</v>
      </c>
      <c r="D4060" s="2" t="s">
        <v>278</v>
      </c>
      <c r="E4060" s="2" t="s">
        <v>38</v>
      </c>
      <c r="G4060" s="2">
        <v>203419111</v>
      </c>
      <c r="I4060" s="2" t="s">
        <v>279</v>
      </c>
      <c r="J4060" s="2" t="s">
        <v>280</v>
      </c>
      <c r="L4060" s="2" t="s">
        <v>201</v>
      </c>
      <c r="M4060" s="2" t="s">
        <v>80</v>
      </c>
      <c r="P4060" s="2" t="s">
        <v>43</v>
      </c>
      <c r="Q4060" s="2" t="s">
        <v>54</v>
      </c>
      <c r="R4060" s="2" t="s">
        <v>55</v>
      </c>
      <c r="S4060" s="9">
        <v>2</v>
      </c>
      <c r="T4060" s="10">
        <v>36</v>
      </c>
      <c r="U4060" s="2">
        <f t="shared" si="607"/>
        <v>8.2800000000000011</v>
      </c>
      <c r="V4060" s="10">
        <f t="shared" si="608"/>
        <v>44.28</v>
      </c>
      <c r="W4060" s="2">
        <f>10.6*S4060</f>
        <v>21.2</v>
      </c>
      <c r="X4060" s="5">
        <f t="shared" si="611"/>
        <v>0.41111111111111115</v>
      </c>
      <c r="Z4060" s="2" t="s">
        <v>3226</v>
      </c>
      <c r="AA4060" s="2" t="s">
        <v>46</v>
      </c>
      <c r="AB4060" s="2" t="s">
        <v>56</v>
      </c>
      <c r="AC4060" s="2" t="s">
        <v>57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72</v>
      </c>
      <c r="Q4061" s="2" t="s">
        <v>484</v>
      </c>
      <c r="R4061" s="2" t="s">
        <v>74</v>
      </c>
      <c r="S4061" s="9">
        <v>1</v>
      </c>
      <c r="T4061" s="10">
        <v>220</v>
      </c>
      <c r="U4061" s="2">
        <f t="shared" si="607"/>
        <v>50.6</v>
      </c>
      <c r="V4061" s="10">
        <f t="shared" si="608"/>
        <v>270.60000000000002</v>
      </c>
      <c r="W4061" s="2">
        <v>131.93</v>
      </c>
      <c r="X4061" s="5">
        <f t="shared" si="611"/>
        <v>0.4003181818181818</v>
      </c>
      <c r="Z4061" s="2" t="s">
        <v>3226</v>
      </c>
      <c r="AA4061" s="2" t="s">
        <v>75</v>
      </c>
      <c r="AB4061" s="2" t="s">
        <v>76</v>
      </c>
      <c r="AC4061" s="2" t="s">
        <v>77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1150</v>
      </c>
      <c r="P4062" s="2" t="s">
        <v>93</v>
      </c>
      <c r="Q4062" s="2" t="s">
        <v>94</v>
      </c>
      <c r="R4062" s="2" t="s">
        <v>95</v>
      </c>
      <c r="S4062" s="9">
        <v>1</v>
      </c>
      <c r="T4062" s="10">
        <v>1.48</v>
      </c>
      <c r="U4062" s="2">
        <f t="shared" si="607"/>
        <v>0.34040000000000004</v>
      </c>
      <c r="V4062" s="10">
        <f t="shared" si="608"/>
        <v>1.8204</v>
      </c>
      <c r="W4062" s="2">
        <f>1.48*S4062</f>
        <v>1.48</v>
      </c>
      <c r="X4062" s="5">
        <f t="shared" si="611"/>
        <v>0</v>
      </c>
      <c r="Z4062" s="2" t="s">
        <v>3226</v>
      </c>
      <c r="AA4062" s="2" t="s">
        <v>96</v>
      </c>
      <c r="AB4062" s="2" t="s">
        <v>76</v>
      </c>
      <c r="AC4062" s="2" t="s">
        <v>93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188</v>
      </c>
      <c r="R4063" s="2" t="s">
        <v>189</v>
      </c>
      <c r="S4063" s="9">
        <v>1</v>
      </c>
      <c r="T4063" s="10">
        <v>60</v>
      </c>
      <c r="U4063" s="2">
        <f t="shared" si="607"/>
        <v>13.8</v>
      </c>
      <c r="V4063" s="2">
        <f t="shared" si="608"/>
        <v>73.8</v>
      </c>
      <c r="W4063" s="2">
        <f>T4063*40%</f>
        <v>24</v>
      </c>
      <c r="X4063" s="5">
        <f t="shared" si="611"/>
        <v>0.6</v>
      </c>
      <c r="Z4063" s="2" t="s">
        <v>117</v>
      </c>
      <c r="AA4063" s="2" t="s">
        <v>190</v>
      </c>
      <c r="AB4063" s="2" t="s">
        <v>189</v>
      </c>
      <c r="AC4063" s="2" t="s">
        <v>40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687</v>
      </c>
      <c r="M4064" s="2" t="s">
        <v>40</v>
      </c>
      <c r="P4064" s="2" t="s">
        <v>187</v>
      </c>
      <c r="Q4064" s="2" t="s">
        <v>191</v>
      </c>
      <c r="R4064" s="2" t="s">
        <v>190</v>
      </c>
      <c r="S4064" s="9">
        <v>1</v>
      </c>
      <c r="T4064" s="10">
        <v>55</v>
      </c>
      <c r="U4064" s="2">
        <f t="shared" si="607"/>
        <v>12.65</v>
      </c>
      <c r="V4064" s="2">
        <f t="shared" si="608"/>
        <v>67.650000000000006</v>
      </c>
      <c r="W4064" s="2">
        <f>T4064*50%</f>
        <v>27.5</v>
      </c>
      <c r="X4064" s="5">
        <f t="shared" si="611"/>
        <v>0.5</v>
      </c>
      <c r="Z4064" s="2" t="s">
        <v>117</v>
      </c>
      <c r="AA4064" s="2" t="s">
        <v>190</v>
      </c>
      <c r="AB4064" s="2" t="s">
        <v>190</v>
      </c>
      <c r="AC4064" s="2" t="s">
        <v>40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689</v>
      </c>
      <c r="M4065" s="2" t="s">
        <v>40</v>
      </c>
      <c r="P4065" s="2" t="s">
        <v>114</v>
      </c>
      <c r="Q4065" s="2" t="s">
        <v>904</v>
      </c>
      <c r="R4065" s="2" t="s">
        <v>905</v>
      </c>
      <c r="S4065" s="9">
        <v>1</v>
      </c>
      <c r="T4065" s="10">
        <v>699.3</v>
      </c>
      <c r="U4065" s="2">
        <f t="shared" si="607"/>
        <v>160.839</v>
      </c>
      <c r="V4065" s="10">
        <f t="shared" si="608"/>
        <v>860.1389999999999</v>
      </c>
      <c r="W4065" s="2">
        <v>345.20339999999999</v>
      </c>
      <c r="X4065" s="5">
        <f t="shared" si="611"/>
        <v>0.50635864435864431</v>
      </c>
      <c r="Z4065" s="2" t="s">
        <v>117</v>
      </c>
      <c r="AA4065" s="2" t="s">
        <v>181</v>
      </c>
      <c r="AB4065" s="2" t="s">
        <v>119</v>
      </c>
      <c r="AC4065" s="2" t="s">
        <v>114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1977</v>
      </c>
      <c r="P4066" s="2" t="s">
        <v>282</v>
      </c>
      <c r="Q4066" s="2" t="s">
        <v>528</v>
      </c>
      <c r="R4066" s="2" t="s">
        <v>529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611"/>
        <v>0.25</v>
      </c>
      <c r="Z4066" s="2" t="s">
        <v>3226</v>
      </c>
      <c r="AA4066" s="2" t="s">
        <v>71</v>
      </c>
      <c r="AB4066" s="2" t="s">
        <v>119</v>
      </c>
      <c r="AC4066" s="2" t="s">
        <v>119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1168</v>
      </c>
      <c r="P4067" s="2" t="s">
        <v>43</v>
      </c>
      <c r="Q4067" s="2" t="s">
        <v>971</v>
      </c>
      <c r="R4067" s="2" t="s">
        <v>972</v>
      </c>
      <c r="S4067" s="9">
        <v>4</v>
      </c>
      <c r="T4067" s="10">
        <v>116</v>
      </c>
      <c r="U4067" s="2">
        <f t="shared" ref="U4067:U4075" si="618">T4067*23%</f>
        <v>26.68</v>
      </c>
      <c r="V4067" s="10">
        <f t="shared" ref="V4067:V4075" si="619">T4067+U4067</f>
        <v>142.68</v>
      </c>
      <c r="W4067" s="2">
        <f>18.9342*S4067</f>
        <v>75.736800000000002</v>
      </c>
      <c r="X4067" s="5">
        <f t="shared" si="611"/>
        <v>0.34709655172413789</v>
      </c>
      <c r="Z4067" s="2" t="s">
        <v>3226</v>
      </c>
      <c r="AA4067" s="2" t="s">
        <v>46</v>
      </c>
      <c r="AB4067" s="2" t="s">
        <v>60</v>
      </c>
      <c r="AC4067" s="2" t="s">
        <v>57</v>
      </c>
      <c r="AI4067" s="2"/>
      <c r="AK4067" s="2">
        <f t="shared" ref="AK4067" si="620">T4067-W4067</f>
        <v>40.263199999999998</v>
      </c>
      <c r="AL4067" s="5">
        <f t="shared" ref="AL4067" si="621">(T4067-W4067)/T4067</f>
        <v>0.34709655172413789</v>
      </c>
    </row>
    <row r="4068" spans="1:38" x14ac:dyDescent="0.2">
      <c r="A4068" s="2">
        <v>2026</v>
      </c>
      <c r="B4068" s="2">
        <v>4</v>
      </c>
      <c r="D4068" s="2" t="s">
        <v>3261</v>
      </c>
      <c r="E4068" s="2" t="s">
        <v>38</v>
      </c>
      <c r="F4068" s="2" t="s">
        <v>3419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339</v>
      </c>
      <c r="M4068" s="2" t="s">
        <v>290</v>
      </c>
      <c r="O4068" s="2" t="s">
        <v>3260</v>
      </c>
      <c r="P4068" s="2" t="s">
        <v>114</v>
      </c>
      <c r="Q4068" s="2" t="s">
        <v>412</v>
      </c>
      <c r="R4068" s="2" t="s">
        <v>413</v>
      </c>
      <c r="S4068" s="9">
        <v>1</v>
      </c>
      <c r="T4068" s="10">
        <v>19900</v>
      </c>
      <c r="U4068" s="2">
        <f t="shared" si="618"/>
        <v>4577</v>
      </c>
      <c r="V4068" s="2">
        <f t="shared" si="619"/>
        <v>24477</v>
      </c>
      <c r="W4068" s="2">
        <f>10699.41+285.74</f>
        <v>10985.15</v>
      </c>
      <c r="X4068" s="5">
        <f t="shared" si="611"/>
        <v>0.44798241206030154</v>
      </c>
      <c r="Z4068" s="2" t="s">
        <v>104</v>
      </c>
      <c r="AA4068" s="2" t="s">
        <v>414</v>
      </c>
      <c r="AB4068" s="2" t="s">
        <v>151</v>
      </c>
      <c r="AC4068" s="2" t="s">
        <v>114</v>
      </c>
      <c r="AI4068" s="2"/>
      <c r="AK4068" s="2">
        <f>T4068-W4068</f>
        <v>8914.85</v>
      </c>
      <c r="AL4068" s="5">
        <f>(T4068-W4068)/T4068</f>
        <v>0.44798241206030154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955</v>
      </c>
      <c r="R4069" s="2" t="s">
        <v>956</v>
      </c>
      <c r="S4069" s="9">
        <v>1</v>
      </c>
      <c r="T4069" s="10">
        <v>8930</v>
      </c>
      <c r="U4069" s="2">
        <f t="shared" si="618"/>
        <v>2053.9</v>
      </c>
      <c r="V4069" s="10">
        <f t="shared" si="619"/>
        <v>10983.9</v>
      </c>
      <c r="W4069" s="2">
        <f>6348.73+221.85</f>
        <v>6570.58</v>
      </c>
      <c r="X4069" s="5">
        <f t="shared" si="611"/>
        <v>0.2642127659574468</v>
      </c>
      <c r="Z4069" s="2" t="s">
        <v>104</v>
      </c>
      <c r="AA4069" s="2" t="s">
        <v>616</v>
      </c>
      <c r="AB4069" s="2" t="s">
        <v>3263</v>
      </c>
      <c r="AC4069" s="2" t="s">
        <v>114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3257</v>
      </c>
      <c r="E4070" s="2" t="s">
        <v>38</v>
      </c>
      <c r="G4070" s="2">
        <v>500844321</v>
      </c>
      <c r="H4070" s="2" t="s">
        <v>40</v>
      </c>
      <c r="I4070" s="2" t="s">
        <v>339</v>
      </c>
      <c r="J4070" s="2" t="s">
        <v>2646</v>
      </c>
      <c r="L4070" s="2" t="s">
        <v>418</v>
      </c>
      <c r="M4070" s="2" t="s">
        <v>41</v>
      </c>
      <c r="O4070" s="2" t="s">
        <v>3262</v>
      </c>
      <c r="P4070" s="2" t="s">
        <v>114</v>
      </c>
      <c r="Q4070" s="2" t="s">
        <v>1578</v>
      </c>
      <c r="R4070" s="2" t="s">
        <v>1579</v>
      </c>
      <c r="S4070" s="9">
        <v>1</v>
      </c>
      <c r="T4070" s="10">
        <v>6990</v>
      </c>
      <c r="U4070" s="2">
        <f t="shared" si="618"/>
        <v>1607.7</v>
      </c>
      <c r="V4070" s="10">
        <f t="shared" si="619"/>
        <v>8597.7000000000007</v>
      </c>
      <c r="W4070" s="2">
        <f>4893.23+171</f>
        <v>5064.2299999999996</v>
      </c>
      <c r="X4070" s="5">
        <f t="shared" si="611"/>
        <v>0.27550357653791135</v>
      </c>
      <c r="Z4070" s="2" t="s">
        <v>104</v>
      </c>
      <c r="AA4070" s="2" t="s">
        <v>150</v>
      </c>
      <c r="AB4070" s="2" t="s">
        <v>151</v>
      </c>
      <c r="AC4070" s="2" t="s">
        <v>114</v>
      </c>
      <c r="AI4070" s="2"/>
      <c r="AK4070" s="2">
        <f t="shared" ref="AK4070:AK4075" si="622">T4070-W4070</f>
        <v>1925.7700000000004</v>
      </c>
      <c r="AL4070" s="5">
        <f t="shared" ref="AL4070:AL4075" si="623"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188</v>
      </c>
      <c r="R4071" s="2" t="s">
        <v>189</v>
      </c>
      <c r="S4071" s="9">
        <v>1</v>
      </c>
      <c r="T4071" s="10">
        <v>314</v>
      </c>
      <c r="U4071" s="2">
        <f t="shared" si="618"/>
        <v>72.22</v>
      </c>
      <c r="V4071" s="2">
        <f t="shared" si="619"/>
        <v>386.22</v>
      </c>
      <c r="W4071" s="2">
        <f>T4071*40%</f>
        <v>125.60000000000001</v>
      </c>
      <c r="X4071" s="5">
        <f t="shared" si="611"/>
        <v>0.6</v>
      </c>
      <c r="Z4071" s="2" t="s">
        <v>117</v>
      </c>
      <c r="AA4071" s="2" t="s">
        <v>190</v>
      </c>
      <c r="AB4071" s="2" t="s">
        <v>189</v>
      </c>
      <c r="AC4071" s="2" t="s">
        <v>40</v>
      </c>
      <c r="AG4071" s="2">
        <f>W4071</f>
        <v>125.60000000000001</v>
      </c>
      <c r="AI4071" s="2"/>
      <c r="AJ4071" s="2">
        <f>AI4071*T4071</f>
        <v>0</v>
      </c>
      <c r="AK4071" s="2">
        <f t="shared" si="622"/>
        <v>188.39999999999998</v>
      </c>
      <c r="AL4071" s="5">
        <f t="shared" si="623"/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M4072" s="2" t="s">
        <v>40</v>
      </c>
      <c r="P4072" s="2" t="s">
        <v>187</v>
      </c>
      <c r="Q4072" s="2" t="s">
        <v>191</v>
      </c>
      <c r="R4072" s="2" t="s">
        <v>190</v>
      </c>
      <c r="S4072" s="9">
        <v>4</v>
      </c>
      <c r="T4072" s="10">
        <v>220</v>
      </c>
      <c r="U4072" s="2">
        <f t="shared" si="618"/>
        <v>50.6</v>
      </c>
      <c r="V4072" s="2">
        <f t="shared" si="619"/>
        <v>270.60000000000002</v>
      </c>
      <c r="W4072" s="2">
        <f>T4072*50%</f>
        <v>110</v>
      </c>
      <c r="X4072" s="5">
        <f t="shared" si="611"/>
        <v>0.5</v>
      </c>
      <c r="Z4072" s="2" t="s">
        <v>117</v>
      </c>
      <c r="AA4072" s="2" t="s">
        <v>190</v>
      </c>
      <c r="AB4072" s="2" t="s">
        <v>190</v>
      </c>
      <c r="AC4072" s="2" t="s">
        <v>40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 t="shared" si="622"/>
        <v>110</v>
      </c>
      <c r="AL4072" s="5">
        <f t="shared" si="623"/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3104</v>
      </c>
      <c r="P4073" s="2" t="s">
        <v>40</v>
      </c>
      <c r="Q4073" s="2" t="s">
        <v>363</v>
      </c>
      <c r="R4073" s="2" t="s">
        <v>364</v>
      </c>
      <c r="S4073" s="9">
        <v>1</v>
      </c>
      <c r="T4073" s="10">
        <v>100</v>
      </c>
      <c r="U4073" s="2">
        <f t="shared" si="618"/>
        <v>23</v>
      </c>
      <c r="V4073" s="10">
        <f t="shared" si="619"/>
        <v>123</v>
      </c>
      <c r="X4073" s="5">
        <f t="shared" si="611"/>
        <v>1</v>
      </c>
      <c r="Z4073" s="2" t="s">
        <v>119</v>
      </c>
      <c r="AA4073" s="2" t="s">
        <v>3379</v>
      </c>
      <c r="AI4073" s="2"/>
      <c r="AK4073" s="2">
        <f t="shared" si="622"/>
        <v>100</v>
      </c>
      <c r="AL4073" s="5">
        <f t="shared" si="623"/>
        <v>1</v>
      </c>
    </row>
    <row r="4074" spans="1:38" x14ac:dyDescent="0.2">
      <c r="A4074" s="8">
        <v>2026</v>
      </c>
      <c r="B4074" s="8">
        <v>6</v>
      </c>
      <c r="C4074" s="8"/>
      <c r="D4074" s="2" t="s">
        <v>2123</v>
      </c>
      <c r="P4074" s="2" t="s">
        <v>1038</v>
      </c>
      <c r="Q4074" s="2" t="s">
        <v>3037</v>
      </c>
      <c r="R4074" s="2" t="s">
        <v>3038</v>
      </c>
      <c r="S4074" s="9">
        <v>4</v>
      </c>
      <c r="T4074" s="10">
        <v>560.97</v>
      </c>
      <c r="U4074" s="2">
        <f t="shared" si="618"/>
        <v>129.0231</v>
      </c>
      <c r="V4074" s="2">
        <f t="shared" si="619"/>
        <v>689.99310000000003</v>
      </c>
      <c r="W4074" s="2">
        <f>80.93*4</f>
        <v>323.72000000000003</v>
      </c>
      <c r="X4074" s="5">
        <f t="shared" si="611"/>
        <v>0.4229281423249015</v>
      </c>
      <c r="Z4074" s="2" t="s">
        <v>3226</v>
      </c>
      <c r="AA4074" s="2" t="s">
        <v>1041</v>
      </c>
      <c r="AB4074" s="2" t="s">
        <v>1270</v>
      </c>
      <c r="AC4074" s="2" t="s">
        <v>1038</v>
      </c>
      <c r="AF4074" s="2">
        <f>AJ4074</f>
        <v>0</v>
      </c>
      <c r="AI4074" s="2"/>
      <c r="AJ4074" s="2">
        <f>AI4074*T4074</f>
        <v>0</v>
      </c>
      <c r="AK4074" s="2">
        <f t="shared" si="622"/>
        <v>237.25</v>
      </c>
      <c r="AL4074" s="5">
        <f t="shared" si="623"/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332</v>
      </c>
      <c r="E4075" s="2" t="s">
        <v>108</v>
      </c>
      <c r="F4075" s="2" t="s">
        <v>39</v>
      </c>
      <c r="G4075" s="2">
        <v>513493557</v>
      </c>
      <c r="H4075" s="2" t="s">
        <v>41</v>
      </c>
      <c r="I4075" s="2" t="s">
        <v>279</v>
      </c>
      <c r="J4075" s="2" t="s">
        <v>333</v>
      </c>
      <c r="L4075" s="2" t="s">
        <v>177</v>
      </c>
      <c r="M4075" s="2" t="s">
        <v>41</v>
      </c>
      <c r="P4075" s="2" t="s">
        <v>43</v>
      </c>
      <c r="Q4075" s="2" t="s">
        <v>63</v>
      </c>
      <c r="R4075" s="2" t="s">
        <v>64</v>
      </c>
      <c r="S4075" s="9">
        <v>20</v>
      </c>
      <c r="T4075" s="10">
        <v>36</v>
      </c>
      <c r="U4075" s="2">
        <f t="shared" si="618"/>
        <v>8.2800000000000011</v>
      </c>
      <c r="V4075" s="10">
        <f t="shared" si="619"/>
        <v>44.28</v>
      </c>
      <c r="W4075" s="2">
        <f>0.8561*S4075</f>
        <v>17.122</v>
      </c>
      <c r="X4075" s="5">
        <f t="shared" si="611"/>
        <v>0.5243888888888889</v>
      </c>
      <c r="Z4075" s="2" t="s">
        <v>3226</v>
      </c>
      <c r="AA4075" s="2" t="s">
        <v>46</v>
      </c>
      <c r="AB4075" s="2" t="s">
        <v>60</v>
      </c>
      <c r="AC4075" s="2" t="s">
        <v>57</v>
      </c>
      <c r="AI4075" s="2"/>
      <c r="AK4075" s="2">
        <f t="shared" si="622"/>
        <v>18.878</v>
      </c>
      <c r="AL4075" s="5">
        <f t="shared" si="623"/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3098</v>
      </c>
      <c r="P4076" s="2" t="s">
        <v>114</v>
      </c>
      <c r="Q4076" s="2" t="s">
        <v>834</v>
      </c>
      <c r="R4076" s="2" t="s">
        <v>835</v>
      </c>
      <c r="S4076" s="9">
        <v>1</v>
      </c>
      <c r="T4076" s="10">
        <v>0</v>
      </c>
      <c r="X4076" s="2"/>
      <c r="Z4076" s="2" t="s">
        <v>117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3098</v>
      </c>
      <c r="P4077" s="2" t="s">
        <v>114</v>
      </c>
      <c r="Q4077" s="2" t="s">
        <v>2114</v>
      </c>
      <c r="R4077" s="2" t="s">
        <v>2115</v>
      </c>
      <c r="S4077" s="9">
        <v>1</v>
      </c>
      <c r="T4077" s="10">
        <v>700</v>
      </c>
      <c r="U4077" s="2">
        <f t="shared" ref="U4077:U4108" si="624">T4077*23%</f>
        <v>161</v>
      </c>
      <c r="V4077" s="10">
        <f t="shared" ref="V4077:V4108" si="625">T4077+U4077</f>
        <v>861</v>
      </c>
      <c r="X4077" s="5">
        <f t="shared" ref="X4077:X4092" si="626">(T4077-W4077)/T4077</f>
        <v>1</v>
      </c>
      <c r="AI4077" s="2"/>
      <c r="AK4077" s="2">
        <f t="shared" ref="AK4077:AK4092" si="627">T4077-W4077</f>
        <v>700</v>
      </c>
      <c r="AL4077" s="5">
        <f t="shared" ref="AL4077:AL4092" si="628">(T4077-W4077)/T4077</f>
        <v>1</v>
      </c>
    </row>
    <row r="4078" spans="1:38" x14ac:dyDescent="0.2">
      <c r="A4078" s="8">
        <v>2026</v>
      </c>
      <c r="B4078" s="8">
        <v>6</v>
      </c>
      <c r="C4078" s="8"/>
      <c r="D4078" s="2" t="s">
        <v>3098</v>
      </c>
      <c r="P4078" s="2" t="s">
        <v>114</v>
      </c>
      <c r="Q4078" s="2" t="s">
        <v>1183</v>
      </c>
      <c r="R4078" s="2" t="s">
        <v>1184</v>
      </c>
      <c r="S4078" s="9">
        <v>1</v>
      </c>
      <c r="T4078" s="10">
        <v>11500</v>
      </c>
      <c r="U4078" s="2">
        <f t="shared" si="624"/>
        <v>2645</v>
      </c>
      <c r="V4078" s="10">
        <f t="shared" si="625"/>
        <v>14145</v>
      </c>
      <c r="W4078" s="2">
        <v>7437.5950000000003</v>
      </c>
      <c r="X4078" s="5">
        <f t="shared" si="626"/>
        <v>0.35325260869565217</v>
      </c>
      <c r="Z4078" s="2" t="s">
        <v>104</v>
      </c>
      <c r="AA4078" s="2" t="s">
        <v>414</v>
      </c>
      <c r="AB4078" s="2" t="s">
        <v>151</v>
      </c>
      <c r="AC4078" s="2" t="s">
        <v>114</v>
      </c>
      <c r="AI4078" s="2"/>
      <c r="AK4078" s="2">
        <f t="shared" si="627"/>
        <v>4062.4049999999997</v>
      </c>
      <c r="AL4078" s="5">
        <f t="shared" si="628"/>
        <v>0.35325260869565217</v>
      </c>
    </row>
    <row r="4079" spans="1:38" x14ac:dyDescent="0.2">
      <c r="A4079" s="8">
        <v>2026</v>
      </c>
      <c r="B4079" s="8">
        <v>6</v>
      </c>
      <c r="C4079" s="8" t="s">
        <v>3377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2923</v>
      </c>
      <c r="R4079" s="2" t="s">
        <v>269</v>
      </c>
      <c r="S4079" s="9">
        <v>1</v>
      </c>
      <c r="T4079" s="10">
        <v>10.8</v>
      </c>
      <c r="U4079" s="2">
        <f t="shared" si="624"/>
        <v>2.4840000000000004</v>
      </c>
      <c r="V4079" s="10">
        <f t="shared" si="625"/>
        <v>13.284000000000001</v>
      </c>
      <c r="W4079" s="2">
        <v>5.23</v>
      </c>
      <c r="X4079" s="5">
        <f t="shared" si="626"/>
        <v>0.51574074074074072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27"/>
        <v>5.57</v>
      </c>
      <c r="AL4079" s="5">
        <f t="shared" si="628"/>
        <v>0.51574074074074072</v>
      </c>
    </row>
    <row r="4080" spans="1:38" x14ac:dyDescent="0.2">
      <c r="A4080" s="8">
        <v>2026</v>
      </c>
      <c r="B4080" s="8">
        <v>6</v>
      </c>
      <c r="C4080" s="8" t="s">
        <v>3377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2924</v>
      </c>
      <c r="R4080" s="2" t="s">
        <v>2925</v>
      </c>
      <c r="S4080" s="9">
        <v>1</v>
      </c>
      <c r="T4080" s="10">
        <v>3.6</v>
      </c>
      <c r="U4080" s="2">
        <f t="shared" si="624"/>
        <v>0.82800000000000007</v>
      </c>
      <c r="V4080" s="10">
        <f t="shared" si="625"/>
        <v>4.4279999999999999</v>
      </c>
      <c r="W4080" s="2">
        <f>0.97*S4080</f>
        <v>0.97</v>
      </c>
      <c r="X4080" s="5">
        <f t="shared" si="626"/>
        <v>0.73055555555555551</v>
      </c>
      <c r="Z4080" s="2" t="s">
        <v>3226</v>
      </c>
      <c r="AA4080" s="2" t="s">
        <v>46</v>
      </c>
      <c r="AB4080" s="2" t="s">
        <v>90</v>
      </c>
      <c r="AC4080" s="2" t="s">
        <v>57</v>
      </c>
      <c r="AI4080" s="2"/>
      <c r="AK4080" s="2">
        <f t="shared" si="627"/>
        <v>2.63</v>
      </c>
      <c r="AL4080" s="5">
        <f t="shared" si="628"/>
        <v>0.73055555555555551</v>
      </c>
    </row>
    <row r="4081" spans="1:38" x14ac:dyDescent="0.2">
      <c r="A4081" s="8">
        <v>2026</v>
      </c>
      <c r="B4081" s="8">
        <v>6</v>
      </c>
      <c r="C4081" s="8" t="s">
        <v>3377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351</v>
      </c>
      <c r="R4081" s="2" t="s">
        <v>352</v>
      </c>
      <c r="S4081" s="9">
        <v>1</v>
      </c>
      <c r="T4081" s="10">
        <v>21</v>
      </c>
      <c r="U4081" s="2">
        <f t="shared" si="624"/>
        <v>4.83</v>
      </c>
      <c r="V4081" s="10">
        <f t="shared" si="625"/>
        <v>25.83</v>
      </c>
      <c r="W4081" s="2">
        <f>10.67*S4081</f>
        <v>10.67</v>
      </c>
      <c r="X4081" s="5">
        <f t="shared" si="626"/>
        <v>0.4919047619047619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27"/>
        <v>10.33</v>
      </c>
      <c r="AL4081" s="5">
        <f t="shared" si="628"/>
        <v>0.4919047619047619</v>
      </c>
    </row>
    <row r="4082" spans="1:38" x14ac:dyDescent="0.2">
      <c r="A4082" s="8">
        <v>2026</v>
      </c>
      <c r="B4082" s="8">
        <v>6</v>
      </c>
      <c r="C4082" s="8" t="s">
        <v>3377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158</v>
      </c>
      <c r="R4082" s="2" t="s">
        <v>159</v>
      </c>
      <c r="S4082" s="9">
        <v>1</v>
      </c>
      <c r="T4082" s="10">
        <v>21</v>
      </c>
      <c r="U4082" s="2">
        <f t="shared" si="624"/>
        <v>4.83</v>
      </c>
      <c r="V4082" s="10">
        <f t="shared" si="625"/>
        <v>25.83</v>
      </c>
      <c r="W4082" s="2">
        <f>9.3*S4082</f>
        <v>9.3000000000000007</v>
      </c>
      <c r="X4082" s="5">
        <f t="shared" si="626"/>
        <v>0.55714285714285716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27"/>
        <v>11.7</v>
      </c>
      <c r="AL4082" s="5">
        <f t="shared" si="628"/>
        <v>0.55714285714285716</v>
      </c>
    </row>
    <row r="4083" spans="1:38" x14ac:dyDescent="0.2">
      <c r="A4083" s="8">
        <v>2026</v>
      </c>
      <c r="B4083" s="8">
        <v>6</v>
      </c>
      <c r="C4083" s="8" t="s">
        <v>3377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160</v>
      </c>
      <c r="R4083" s="2" t="s">
        <v>161</v>
      </c>
      <c r="S4083" s="9">
        <v>1</v>
      </c>
      <c r="T4083" s="10">
        <v>9</v>
      </c>
      <c r="U4083" s="2">
        <f t="shared" si="624"/>
        <v>2.0700000000000003</v>
      </c>
      <c r="V4083" s="10">
        <f t="shared" si="625"/>
        <v>11.07</v>
      </c>
      <c r="W4083" s="2">
        <f>3.7358*S4083</f>
        <v>3.7357999999999998</v>
      </c>
      <c r="X4083" s="5">
        <f t="shared" si="626"/>
        <v>0.58491111111111116</v>
      </c>
      <c r="Z4083" s="2" t="s">
        <v>3226</v>
      </c>
      <c r="AA4083" s="2" t="s">
        <v>46</v>
      </c>
      <c r="AB4083" s="2" t="s">
        <v>47</v>
      </c>
      <c r="AC4083" s="2" t="s">
        <v>57</v>
      </c>
      <c r="AI4083" s="2"/>
      <c r="AK4083" s="2">
        <f t="shared" si="627"/>
        <v>5.2642000000000007</v>
      </c>
      <c r="AL4083" s="5">
        <f t="shared" si="628"/>
        <v>0.58491111111111116</v>
      </c>
    </row>
    <row r="4084" spans="1:38" x14ac:dyDescent="0.2">
      <c r="A4084" s="8">
        <v>2026</v>
      </c>
      <c r="B4084" s="8">
        <v>6</v>
      </c>
      <c r="C4084" s="8" t="s">
        <v>3377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234</v>
      </c>
      <c r="R4084" s="2" t="s">
        <v>235</v>
      </c>
      <c r="S4084" s="9">
        <v>1</v>
      </c>
      <c r="T4084" s="10">
        <v>14.4</v>
      </c>
      <c r="U4084" s="2">
        <f t="shared" si="624"/>
        <v>3.3120000000000003</v>
      </c>
      <c r="V4084" s="10">
        <f t="shared" si="625"/>
        <v>17.712</v>
      </c>
      <c r="W4084" s="2">
        <v>7.2217000000000002</v>
      </c>
      <c r="X4084" s="5">
        <f t="shared" si="626"/>
        <v>0.49849305555555556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27"/>
        <v>7.1783000000000001</v>
      </c>
      <c r="AL4084" s="5">
        <f t="shared" si="628"/>
        <v>0.49849305555555556</v>
      </c>
    </row>
    <row r="4085" spans="1:38" x14ac:dyDescent="0.2">
      <c r="A4085" s="8">
        <v>2026</v>
      </c>
      <c r="B4085" s="8">
        <v>6</v>
      </c>
      <c r="C4085" s="8" t="s">
        <v>3377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236</v>
      </c>
      <c r="R4085" s="2" t="s">
        <v>237</v>
      </c>
      <c r="S4085" s="9">
        <v>1</v>
      </c>
      <c r="T4085" s="10">
        <v>17.399999999999999</v>
      </c>
      <c r="U4085" s="2">
        <f t="shared" si="624"/>
        <v>4.0019999999999998</v>
      </c>
      <c r="V4085" s="10">
        <f t="shared" si="625"/>
        <v>21.401999999999997</v>
      </c>
      <c r="W4085" s="2">
        <f>9.075*S4085</f>
        <v>9.0749999999999993</v>
      </c>
      <c r="X4085" s="5">
        <f t="shared" si="626"/>
        <v>0.47844827586206895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27"/>
        <v>8.3249999999999993</v>
      </c>
      <c r="AL4085" s="5">
        <f t="shared" si="628"/>
        <v>0.47844827586206895</v>
      </c>
    </row>
    <row r="4086" spans="1:38" x14ac:dyDescent="0.2">
      <c r="A4086" s="8">
        <v>2026</v>
      </c>
      <c r="B4086" s="8">
        <v>6</v>
      </c>
      <c r="C4086" s="8" t="s">
        <v>3377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238</v>
      </c>
      <c r="R4086" s="2" t="s">
        <v>239</v>
      </c>
      <c r="S4086" s="9">
        <v>1</v>
      </c>
      <c r="T4086" s="10">
        <v>21</v>
      </c>
      <c r="U4086" s="2">
        <f t="shared" si="624"/>
        <v>4.83</v>
      </c>
      <c r="V4086" s="10">
        <f t="shared" si="625"/>
        <v>25.83</v>
      </c>
      <c r="W4086" s="2">
        <f>11.045*S4086</f>
        <v>11.045</v>
      </c>
      <c r="X4086" s="5">
        <f t="shared" si="626"/>
        <v>0.47404761904761905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27"/>
        <v>9.9550000000000001</v>
      </c>
      <c r="AL4086" s="5">
        <f t="shared" si="628"/>
        <v>0.47404761904761905</v>
      </c>
    </row>
    <row r="4087" spans="1:38" x14ac:dyDescent="0.2">
      <c r="A4087" s="8">
        <v>2026</v>
      </c>
      <c r="B4087" s="8">
        <v>6</v>
      </c>
      <c r="C4087" s="8" t="s">
        <v>3377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240</v>
      </c>
      <c r="R4087" s="2" t="s">
        <v>241</v>
      </c>
      <c r="S4087" s="9">
        <v>1</v>
      </c>
      <c r="T4087" s="10">
        <v>25.2</v>
      </c>
      <c r="U4087" s="2">
        <f t="shared" si="624"/>
        <v>5.7960000000000003</v>
      </c>
      <c r="V4087" s="10">
        <f t="shared" si="625"/>
        <v>30.995999999999999</v>
      </c>
      <c r="W4087" s="2">
        <f>13.4067*S4087</f>
        <v>13.406700000000001</v>
      </c>
      <c r="X4087" s="5">
        <f t="shared" si="626"/>
        <v>0.4679880952380952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27"/>
        <v>11.793299999999999</v>
      </c>
      <c r="AL4087" s="5">
        <f t="shared" si="628"/>
        <v>0.4679880952380952</v>
      </c>
    </row>
    <row r="4088" spans="1:38" x14ac:dyDescent="0.2">
      <c r="A4088" s="8">
        <v>2026</v>
      </c>
      <c r="B4088" s="8">
        <v>6</v>
      </c>
      <c r="C4088" s="8" t="s">
        <v>3377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242</v>
      </c>
      <c r="R4088" s="2" t="s">
        <v>243</v>
      </c>
      <c r="S4088" s="9">
        <v>1</v>
      </c>
      <c r="T4088" s="10">
        <v>30</v>
      </c>
      <c r="U4088" s="2">
        <f t="shared" si="624"/>
        <v>6.9</v>
      </c>
      <c r="V4088" s="10">
        <f t="shared" si="625"/>
        <v>36.9</v>
      </c>
      <c r="W4088" s="2">
        <f>16.2249*S4088</f>
        <v>16.224900000000002</v>
      </c>
      <c r="X4088" s="5">
        <f t="shared" si="626"/>
        <v>0.45916999999999997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27"/>
        <v>13.775099999999998</v>
      </c>
      <c r="AL4088" s="5">
        <f t="shared" si="628"/>
        <v>0.45916999999999997</v>
      </c>
    </row>
    <row r="4089" spans="1:38" x14ac:dyDescent="0.2">
      <c r="A4089" s="8">
        <v>2026</v>
      </c>
      <c r="B4089" s="8">
        <v>6</v>
      </c>
      <c r="C4089" s="8" t="s">
        <v>3377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244</v>
      </c>
      <c r="R4089" s="2" t="s">
        <v>245</v>
      </c>
      <c r="S4089" s="9">
        <v>1</v>
      </c>
      <c r="T4089" s="10">
        <v>18</v>
      </c>
      <c r="U4089" s="2">
        <f t="shared" si="624"/>
        <v>4.1400000000000006</v>
      </c>
      <c r="V4089" s="10">
        <f t="shared" si="625"/>
        <v>22.14</v>
      </c>
      <c r="W4089" s="2">
        <f>9.2346*S4089</f>
        <v>9.2346000000000004</v>
      </c>
      <c r="X4089" s="5">
        <f t="shared" si="626"/>
        <v>0.48696666666666666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27"/>
        <v>8.7653999999999996</v>
      </c>
      <c r="AL4089" s="5">
        <f t="shared" si="628"/>
        <v>0.48696666666666666</v>
      </c>
    </row>
    <row r="4090" spans="1:38" x14ac:dyDescent="0.2">
      <c r="A4090" s="8">
        <v>2026</v>
      </c>
      <c r="B4090" s="8">
        <v>6</v>
      </c>
      <c r="C4090" s="8" t="s">
        <v>3377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246</v>
      </c>
      <c r="R4090" s="2" t="s">
        <v>247</v>
      </c>
      <c r="S4090" s="9">
        <v>1</v>
      </c>
      <c r="T4090" s="10">
        <v>19.8</v>
      </c>
      <c r="U4090" s="2">
        <f t="shared" si="624"/>
        <v>4.5540000000000003</v>
      </c>
      <c r="V4090" s="10">
        <f t="shared" si="625"/>
        <v>24.353999999999999</v>
      </c>
      <c r="W4090" s="2">
        <f>10.5267*S4090</f>
        <v>10.5267</v>
      </c>
      <c r="X4090" s="5">
        <f t="shared" si="626"/>
        <v>0.46834848484848485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27"/>
        <v>9.2733000000000008</v>
      </c>
      <c r="AL4090" s="5">
        <f t="shared" si="628"/>
        <v>0.46834848484848485</v>
      </c>
    </row>
    <row r="4091" spans="1:38" x14ac:dyDescent="0.2">
      <c r="A4091" s="8">
        <v>2026</v>
      </c>
      <c r="B4091" s="8">
        <v>6</v>
      </c>
      <c r="C4091" s="8" t="s">
        <v>3377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285</v>
      </c>
      <c r="R4091" s="2" t="s">
        <v>286</v>
      </c>
      <c r="S4091" s="9">
        <v>1</v>
      </c>
      <c r="T4091" s="10">
        <v>22.8</v>
      </c>
      <c r="U4091" s="2">
        <f t="shared" si="624"/>
        <v>5.2440000000000007</v>
      </c>
      <c r="V4091" s="10">
        <f t="shared" si="625"/>
        <v>28.044</v>
      </c>
      <c r="W4091" s="2">
        <f>12.2604*S4091</f>
        <v>12.260400000000001</v>
      </c>
      <c r="X4091" s="5">
        <f t="shared" si="626"/>
        <v>0.46226315789473682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27"/>
        <v>10.5396</v>
      </c>
      <c r="AL4091" s="5">
        <f t="shared" si="628"/>
        <v>0.46226315789473682</v>
      </c>
    </row>
    <row r="4092" spans="1:38" x14ac:dyDescent="0.2">
      <c r="A4092" s="8">
        <v>2026</v>
      </c>
      <c r="B4092" s="8">
        <v>6</v>
      </c>
      <c r="C4092" s="8" t="s">
        <v>3377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248</v>
      </c>
      <c r="R4092" s="2" t="s">
        <v>249</v>
      </c>
      <c r="S4092" s="9">
        <v>1</v>
      </c>
      <c r="T4092" s="10">
        <v>24</v>
      </c>
      <c r="U4092" s="2">
        <f t="shared" si="624"/>
        <v>5.5200000000000005</v>
      </c>
      <c r="V4092" s="10">
        <f t="shared" si="625"/>
        <v>29.52</v>
      </c>
      <c r="W4092" s="2">
        <f>12.71*S4092</f>
        <v>12.71</v>
      </c>
      <c r="X4092" s="5">
        <f t="shared" si="626"/>
        <v>0.47041666666666665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si="627"/>
        <v>11.29</v>
      </c>
      <c r="AL4092" s="5">
        <f t="shared" si="628"/>
        <v>0.47041666666666665</v>
      </c>
    </row>
    <row r="4093" spans="1:38" x14ac:dyDescent="0.2">
      <c r="A4093" s="8">
        <v>2026</v>
      </c>
      <c r="B4093" s="8">
        <v>6</v>
      </c>
      <c r="C4093" s="8" t="s">
        <v>3377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54</v>
      </c>
      <c r="R4093" s="2" t="s">
        <v>55</v>
      </c>
      <c r="S4093" s="9">
        <v>1</v>
      </c>
      <c r="T4093" s="10">
        <v>0</v>
      </c>
      <c r="U4093" s="2">
        <f t="shared" si="624"/>
        <v>0</v>
      </c>
      <c r="V4093" s="10">
        <f t="shared" si="625"/>
        <v>0</v>
      </c>
      <c r="W4093" s="2">
        <v>10.6</v>
      </c>
      <c r="X4093" s="5">
        <v>0</v>
      </c>
      <c r="Z4093" s="2" t="s">
        <v>3226</v>
      </c>
      <c r="AA4093" s="2" t="s">
        <v>46</v>
      </c>
      <c r="AB4093" s="2" t="s">
        <v>56</v>
      </c>
      <c r="AC4093" s="2" t="s">
        <v>57</v>
      </c>
      <c r="AI4093" s="2"/>
      <c r="AK4093" s="2">
        <f t="shared" ref="AK4093" si="629">T4093-W4093</f>
        <v>-10.6</v>
      </c>
    </row>
    <row r="4094" spans="1:38" x14ac:dyDescent="0.2">
      <c r="A4094" s="8">
        <v>2026</v>
      </c>
      <c r="B4094" s="8">
        <v>6</v>
      </c>
      <c r="C4094" s="8" t="s">
        <v>3377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58</v>
      </c>
      <c r="R4094" s="2" t="s">
        <v>59</v>
      </c>
      <c r="S4094" s="2">
        <v>100</v>
      </c>
      <c r="T4094" s="10">
        <v>14</v>
      </c>
      <c r="U4094" s="2">
        <f t="shared" si="624"/>
        <v>3.22</v>
      </c>
      <c r="V4094" s="10">
        <f t="shared" si="625"/>
        <v>17.22</v>
      </c>
      <c r="W4094" s="2">
        <f>0.0914*S4094</f>
        <v>9.1399999999999988</v>
      </c>
      <c r="X4094" s="5">
        <f>(T4094-W4094)/T4094</f>
        <v>0.34714285714285725</v>
      </c>
      <c r="Z4094" s="2" t="s">
        <v>3226</v>
      </c>
      <c r="AA4094" s="2" t="s">
        <v>46</v>
      </c>
      <c r="AB4094" s="2" t="s">
        <v>60</v>
      </c>
      <c r="AC4094" s="2" t="s">
        <v>57</v>
      </c>
      <c r="AF4094" s="2">
        <f>AJ4094</f>
        <v>0</v>
      </c>
      <c r="AG4094" s="2">
        <v>9.14</v>
      </c>
      <c r="AH4094" s="2">
        <v>16</v>
      </c>
      <c r="AI4094" s="2"/>
      <c r="AK4094" s="2">
        <f>T4094-W4094</f>
        <v>4.8600000000000012</v>
      </c>
      <c r="AL4094" s="5">
        <f>(T4094-W4094)/T4094</f>
        <v>0.34714285714285725</v>
      </c>
    </row>
    <row r="4095" spans="1:38" x14ac:dyDescent="0.2">
      <c r="A4095" s="8">
        <v>2026</v>
      </c>
      <c r="B4095" s="8">
        <v>6</v>
      </c>
      <c r="C4095" s="8" t="s">
        <v>3377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61</v>
      </c>
      <c r="R4095" s="2" t="s">
        <v>62</v>
      </c>
      <c r="S4095" s="9">
        <v>100</v>
      </c>
      <c r="T4095" s="10">
        <v>13</v>
      </c>
      <c r="U4095" s="2">
        <f t="shared" si="624"/>
        <v>2.99</v>
      </c>
      <c r="V4095" s="10">
        <f t="shared" si="625"/>
        <v>15.99</v>
      </c>
      <c r="W4095" s="2">
        <f>0.082*S4095</f>
        <v>8.2000000000000011</v>
      </c>
      <c r="X4095" s="5">
        <f>(T4095-W4095)/T4095</f>
        <v>0.36923076923076914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4.7999999999999989</v>
      </c>
      <c r="AL4095" s="5">
        <f>(T4095-W4095)/T4095</f>
        <v>0.36923076923076914</v>
      </c>
    </row>
    <row r="4096" spans="1:38" x14ac:dyDescent="0.2">
      <c r="A4096" s="8">
        <v>2026</v>
      </c>
      <c r="B4096" s="8">
        <v>6</v>
      </c>
      <c r="C4096" s="8" t="s">
        <v>3377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254</v>
      </c>
      <c r="R4096" s="2" t="s">
        <v>255</v>
      </c>
      <c r="S4096" s="9">
        <v>100</v>
      </c>
      <c r="T4096" s="10">
        <v>14</v>
      </c>
      <c r="U4096" s="2">
        <f t="shared" si="624"/>
        <v>3.22</v>
      </c>
      <c r="V4096" s="10">
        <f t="shared" si="625"/>
        <v>17.22</v>
      </c>
      <c r="W4096" s="2">
        <f>0.0914*S4096</f>
        <v>9.1399999999999988</v>
      </c>
      <c r="X4096" s="5">
        <f>(T4096-W4096)/T4096</f>
        <v>0.34714285714285725</v>
      </c>
      <c r="Z4096" s="2" t="s">
        <v>3226</v>
      </c>
      <c r="AA4096" s="2" t="s">
        <v>46</v>
      </c>
      <c r="AB4096" s="2" t="s">
        <v>60</v>
      </c>
      <c r="AC4096" s="2" t="s">
        <v>57</v>
      </c>
      <c r="AI4096" s="2"/>
      <c r="AK4096" s="2">
        <f>T4096-W4096</f>
        <v>4.8600000000000012</v>
      </c>
      <c r="AL4096" s="5">
        <f>(T4096-W4096)/T4096</f>
        <v>0.34714285714285725</v>
      </c>
    </row>
    <row r="4097" spans="1:38" x14ac:dyDescent="0.2">
      <c r="A4097" s="8">
        <v>2026</v>
      </c>
      <c r="B4097" s="8">
        <v>6</v>
      </c>
      <c r="C4097" s="8" t="s">
        <v>3377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2964</v>
      </c>
      <c r="R4097" s="2" t="s">
        <v>2965</v>
      </c>
      <c r="S4097" s="9">
        <v>1</v>
      </c>
      <c r="T4097" s="10">
        <v>0</v>
      </c>
      <c r="U4097" s="2">
        <f t="shared" si="624"/>
        <v>0</v>
      </c>
      <c r="V4097" s="10">
        <f t="shared" si="625"/>
        <v>0</v>
      </c>
      <c r="W4097" s="2">
        <v>19.68</v>
      </c>
      <c r="Z4097" s="2" t="s">
        <v>3226</v>
      </c>
      <c r="AA4097" s="2" t="s">
        <v>46</v>
      </c>
      <c r="AB4097" s="2" t="s">
        <v>90</v>
      </c>
      <c r="AC4097" s="2" t="s">
        <v>57</v>
      </c>
      <c r="AI4097" s="2"/>
      <c r="AK4097" s="2">
        <f>T4097-W4097</f>
        <v>-19.68</v>
      </c>
    </row>
    <row r="4098" spans="1:38" x14ac:dyDescent="0.2">
      <c r="A4098" s="8">
        <v>2026</v>
      </c>
      <c r="B4098" s="8">
        <v>6</v>
      </c>
      <c r="C4098" s="8" t="s">
        <v>3377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2966</v>
      </c>
      <c r="R4098" s="2" t="s">
        <v>2967</v>
      </c>
      <c r="S4098" s="9">
        <v>2</v>
      </c>
      <c r="T4098" s="10">
        <v>40</v>
      </c>
      <c r="U4098" s="2">
        <f t="shared" si="624"/>
        <v>9.2000000000000011</v>
      </c>
      <c r="V4098" s="10">
        <f t="shared" si="625"/>
        <v>49.2</v>
      </c>
      <c r="W4098" s="2">
        <f>11.525*S4098</f>
        <v>23.05</v>
      </c>
      <c r="X4098" s="5">
        <f t="shared" ref="X4098:X4129" si="630">(T4098-W4098)/T4098</f>
        <v>0.42374999999999996</v>
      </c>
      <c r="Z4098" s="2" t="s">
        <v>3226</v>
      </c>
      <c r="AA4098" s="2" t="s">
        <v>46</v>
      </c>
      <c r="AB4098" s="2" t="s">
        <v>56</v>
      </c>
      <c r="AC4098" s="2" t="s">
        <v>57</v>
      </c>
      <c r="AI4098" s="2"/>
      <c r="AK4098" s="2">
        <f t="shared" ref="AK4098:AK4119" si="631">T4098-W4098</f>
        <v>16.95</v>
      </c>
      <c r="AL4098" s="5">
        <f t="shared" ref="AL4098:AL4119" si="632">(T4098-W4098)/T4098</f>
        <v>0.42374999999999996</v>
      </c>
    </row>
    <row r="4099" spans="1:38" x14ac:dyDescent="0.2">
      <c r="A4099" s="8">
        <v>2026</v>
      </c>
      <c r="B4099" s="8">
        <v>6</v>
      </c>
      <c r="C4099" s="8" t="s">
        <v>3377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256</v>
      </c>
      <c r="R4099" s="2" t="s">
        <v>257</v>
      </c>
      <c r="S4099" s="9">
        <v>1</v>
      </c>
      <c r="T4099" s="10">
        <v>3</v>
      </c>
      <c r="U4099" s="2">
        <f t="shared" si="624"/>
        <v>0.69000000000000006</v>
      </c>
      <c r="V4099" s="10">
        <f t="shared" si="625"/>
        <v>3.69</v>
      </c>
      <c r="W4099" s="2">
        <f>0.98*S4099</f>
        <v>0.98</v>
      </c>
      <c r="X4099" s="5">
        <f t="shared" si="630"/>
        <v>0.67333333333333334</v>
      </c>
      <c r="Z4099" s="2" t="s">
        <v>3226</v>
      </c>
      <c r="AA4099" s="2" t="s">
        <v>46</v>
      </c>
      <c r="AB4099" s="2" t="s">
        <v>90</v>
      </c>
      <c r="AC4099" s="2" t="s">
        <v>57</v>
      </c>
      <c r="AI4099" s="2"/>
      <c r="AK4099" s="2">
        <f t="shared" si="631"/>
        <v>2.02</v>
      </c>
      <c r="AL4099" s="5">
        <f t="shared" si="632"/>
        <v>0.67333333333333334</v>
      </c>
    </row>
    <row r="4100" spans="1:38" x14ac:dyDescent="0.2">
      <c r="A4100" s="8">
        <v>2026</v>
      </c>
      <c r="B4100" s="8">
        <v>6</v>
      </c>
      <c r="C4100" s="8" t="s">
        <v>3377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162</v>
      </c>
      <c r="R4100" s="2" t="s">
        <v>163</v>
      </c>
      <c r="S4100" s="9">
        <v>1</v>
      </c>
      <c r="T4100" s="10">
        <v>21</v>
      </c>
      <c r="U4100" s="2">
        <f t="shared" si="624"/>
        <v>4.83</v>
      </c>
      <c r="V4100" s="10">
        <f t="shared" si="625"/>
        <v>25.83</v>
      </c>
      <c r="W4100" s="2">
        <f>8*S4100</f>
        <v>8</v>
      </c>
      <c r="X4100" s="5">
        <f t="shared" si="630"/>
        <v>0.61904761904761907</v>
      </c>
      <c r="Z4100" s="2" t="s">
        <v>3226</v>
      </c>
      <c r="AA4100" s="2" t="s">
        <v>46</v>
      </c>
      <c r="AB4100" s="2" t="s">
        <v>47</v>
      </c>
      <c r="AC4100" s="2" t="s">
        <v>57</v>
      </c>
      <c r="AI4100" s="2"/>
      <c r="AK4100" s="2">
        <f t="shared" si="631"/>
        <v>13</v>
      </c>
      <c r="AL4100" s="5">
        <f t="shared" si="632"/>
        <v>0.61904761904761907</v>
      </c>
    </row>
    <row r="4101" spans="1:38" x14ac:dyDescent="0.2">
      <c r="A4101" s="8">
        <v>2026</v>
      </c>
      <c r="B4101" s="8">
        <v>6</v>
      </c>
      <c r="C4101" s="8" t="s">
        <v>3377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63</v>
      </c>
      <c r="R4101" s="2" t="s">
        <v>64</v>
      </c>
      <c r="S4101" s="9">
        <v>8</v>
      </c>
      <c r="T4101" s="10">
        <v>14.4</v>
      </c>
      <c r="U4101" s="2">
        <f t="shared" si="624"/>
        <v>3.3120000000000003</v>
      </c>
      <c r="V4101" s="10">
        <f t="shared" si="625"/>
        <v>17.712</v>
      </c>
      <c r="W4101" s="2">
        <f>0.8561*S4101</f>
        <v>6.8487999999999998</v>
      </c>
      <c r="X4101" s="5">
        <f t="shared" si="630"/>
        <v>0.5243888888888889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631"/>
        <v>7.5512000000000006</v>
      </c>
      <c r="AL4101" s="5">
        <f t="shared" si="632"/>
        <v>0.5243888888888889</v>
      </c>
    </row>
    <row r="4102" spans="1:38" x14ac:dyDescent="0.2">
      <c r="A4102" s="8">
        <v>2026</v>
      </c>
      <c r="B4102" s="8">
        <v>6</v>
      </c>
      <c r="C4102" s="8" t="s">
        <v>3377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579</v>
      </c>
      <c r="R4102" s="2" t="s">
        <v>580</v>
      </c>
      <c r="S4102" s="9">
        <v>4</v>
      </c>
      <c r="T4102" s="10">
        <v>12</v>
      </c>
      <c r="U4102" s="2">
        <f t="shared" si="624"/>
        <v>2.7600000000000002</v>
      </c>
      <c r="V4102" s="10">
        <f t="shared" si="625"/>
        <v>14.76</v>
      </c>
      <c r="W4102" s="2">
        <f>1.4114*S4102</f>
        <v>5.6456</v>
      </c>
      <c r="X4102" s="5">
        <f t="shared" si="630"/>
        <v>0.5295333333333333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631"/>
        <v>6.3544</v>
      </c>
      <c r="AL4102" s="5">
        <f t="shared" si="632"/>
        <v>0.5295333333333333</v>
      </c>
    </row>
    <row r="4103" spans="1:38" x14ac:dyDescent="0.2">
      <c r="A4103" s="8">
        <v>2026</v>
      </c>
      <c r="B4103" s="8">
        <v>6</v>
      </c>
      <c r="C4103" s="8" t="s">
        <v>3377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505</v>
      </c>
      <c r="R4103" s="2" t="s">
        <v>506</v>
      </c>
      <c r="S4103" s="9">
        <v>10</v>
      </c>
      <c r="T4103" s="10">
        <v>12</v>
      </c>
      <c r="U4103" s="2">
        <f t="shared" si="624"/>
        <v>2.7600000000000002</v>
      </c>
      <c r="V4103" s="10">
        <f t="shared" si="625"/>
        <v>14.76</v>
      </c>
      <c r="W4103" s="2">
        <f>0.677*S4103</f>
        <v>6.7700000000000005</v>
      </c>
      <c r="X4103" s="5">
        <f t="shared" si="630"/>
        <v>0.43583333333333329</v>
      </c>
      <c r="Z4103" s="2" t="s">
        <v>3226</v>
      </c>
      <c r="AA4103" s="2" t="s">
        <v>46</v>
      </c>
      <c r="AB4103" s="2" t="s">
        <v>60</v>
      </c>
      <c r="AC4103" s="2" t="s">
        <v>57</v>
      </c>
      <c r="AI4103" s="2"/>
      <c r="AK4103" s="2">
        <f t="shared" si="631"/>
        <v>5.2299999999999995</v>
      </c>
      <c r="AL4103" s="5">
        <f t="shared" si="632"/>
        <v>0.43583333333333329</v>
      </c>
    </row>
    <row r="4104" spans="1:38" x14ac:dyDescent="0.2">
      <c r="A4104" s="8">
        <v>2026</v>
      </c>
      <c r="B4104" s="8">
        <v>6</v>
      </c>
      <c r="C4104" s="8" t="s">
        <v>3377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65</v>
      </c>
      <c r="R4104" s="2" t="s">
        <v>66</v>
      </c>
      <c r="S4104" s="9">
        <v>1</v>
      </c>
      <c r="T4104" s="10">
        <v>23</v>
      </c>
      <c r="U4104" s="2">
        <f t="shared" si="624"/>
        <v>5.29</v>
      </c>
      <c r="V4104" s="10">
        <f t="shared" si="625"/>
        <v>28.29</v>
      </c>
      <c r="W4104" s="2">
        <f>15.0203*S4104</f>
        <v>15.020300000000001</v>
      </c>
      <c r="X4104" s="5">
        <f t="shared" si="630"/>
        <v>0.34694347826086952</v>
      </c>
      <c r="Z4104" s="2" t="s">
        <v>3226</v>
      </c>
      <c r="AA4104" s="2" t="s">
        <v>46</v>
      </c>
      <c r="AB4104" s="2" t="s">
        <v>67</v>
      </c>
      <c r="AC4104" s="2" t="s">
        <v>57</v>
      </c>
      <c r="AI4104" s="2"/>
      <c r="AK4104" s="2">
        <f t="shared" si="631"/>
        <v>7.9796999999999993</v>
      </c>
      <c r="AL4104" s="5">
        <f t="shared" si="632"/>
        <v>0.34694347826086952</v>
      </c>
    </row>
    <row r="4105" spans="1:38" x14ac:dyDescent="0.2">
      <c r="A4105" s="8">
        <v>2026</v>
      </c>
      <c r="B4105" s="8">
        <v>6</v>
      </c>
      <c r="C4105" s="8" t="s">
        <v>3377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43</v>
      </c>
      <c r="Q4105" s="2" t="s">
        <v>3039</v>
      </c>
      <c r="R4105" s="2" t="s">
        <v>3040</v>
      </c>
      <c r="S4105" s="9">
        <v>1</v>
      </c>
      <c r="T4105" s="10">
        <v>7.8</v>
      </c>
      <c r="U4105" s="2">
        <f t="shared" si="624"/>
        <v>1.794</v>
      </c>
      <c r="V4105" s="10">
        <f t="shared" si="625"/>
        <v>9.5939999999999994</v>
      </c>
      <c r="W4105" s="2">
        <v>5.43</v>
      </c>
      <c r="X4105" s="5">
        <f t="shared" si="630"/>
        <v>0.30384615384615388</v>
      </c>
      <c r="Z4105" s="2" t="s">
        <v>3226</v>
      </c>
      <c r="AA4105" s="2" t="s">
        <v>46</v>
      </c>
      <c r="AB4105" s="2" t="s">
        <v>90</v>
      </c>
      <c r="AC4105" s="2" t="s">
        <v>57</v>
      </c>
      <c r="AI4105" s="2"/>
      <c r="AK4105" s="2">
        <f t="shared" si="631"/>
        <v>2.37</v>
      </c>
      <c r="AL4105" s="5">
        <f t="shared" si="632"/>
        <v>0.30384615384615388</v>
      </c>
    </row>
    <row r="4106" spans="1:38" x14ac:dyDescent="0.2">
      <c r="A4106" s="8">
        <v>2026</v>
      </c>
      <c r="B4106" s="8">
        <v>6</v>
      </c>
      <c r="C4106" s="8" t="s">
        <v>3377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1971</v>
      </c>
      <c r="R4106" s="2" t="s">
        <v>1972</v>
      </c>
      <c r="S4106" s="9">
        <v>1</v>
      </c>
      <c r="T4106" s="10">
        <v>12</v>
      </c>
      <c r="U4106" s="2">
        <f t="shared" si="624"/>
        <v>2.7600000000000002</v>
      </c>
      <c r="V4106" s="2">
        <f t="shared" si="625"/>
        <v>14.76</v>
      </c>
      <c r="X4106" s="5">
        <f t="shared" si="630"/>
        <v>1</v>
      </c>
      <c r="Z4106" s="2" t="s">
        <v>3226</v>
      </c>
      <c r="AA4106" s="2" t="s">
        <v>3378</v>
      </c>
      <c r="AI4106" s="2"/>
      <c r="AK4106" s="2">
        <f t="shared" si="631"/>
        <v>12</v>
      </c>
      <c r="AL4106" s="5">
        <f t="shared" si="632"/>
        <v>1</v>
      </c>
    </row>
    <row r="4107" spans="1:38" x14ac:dyDescent="0.2">
      <c r="A4107" s="8">
        <v>2026</v>
      </c>
      <c r="B4107" s="8">
        <v>6</v>
      </c>
      <c r="C4107" s="8" t="s">
        <v>3377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270</v>
      </c>
      <c r="R4107" s="2" t="s">
        <v>271</v>
      </c>
      <c r="S4107" s="9">
        <v>1</v>
      </c>
      <c r="T4107" s="10">
        <v>12</v>
      </c>
      <c r="U4107" s="2">
        <f t="shared" si="624"/>
        <v>2.7600000000000002</v>
      </c>
      <c r="V4107" s="2">
        <f t="shared" si="625"/>
        <v>14.76</v>
      </c>
      <c r="W4107" s="2">
        <v>6.86</v>
      </c>
      <c r="X4107" s="5">
        <f t="shared" si="630"/>
        <v>0.42833333333333329</v>
      </c>
      <c r="Z4107" s="2" t="s">
        <v>3226</v>
      </c>
      <c r="AA4107" s="2" t="s">
        <v>3378</v>
      </c>
      <c r="AB4107" s="2" t="s">
        <v>90</v>
      </c>
      <c r="AC4107" s="2" t="s">
        <v>84</v>
      </c>
      <c r="AI4107" s="2"/>
      <c r="AK4107" s="2">
        <f t="shared" si="631"/>
        <v>5.14</v>
      </c>
      <c r="AL4107" s="5">
        <f t="shared" si="632"/>
        <v>0.42833333333333329</v>
      </c>
    </row>
    <row r="4108" spans="1:38" x14ac:dyDescent="0.2">
      <c r="A4108" s="8">
        <v>2026</v>
      </c>
      <c r="B4108" s="8">
        <v>6</v>
      </c>
      <c r="C4108" s="8" t="s">
        <v>3377</v>
      </c>
      <c r="D4108" s="2" t="s">
        <v>1355</v>
      </c>
      <c r="E4108" s="2" t="s">
        <v>752</v>
      </c>
      <c r="F4108" s="2" t="s">
        <v>39</v>
      </c>
      <c r="G4108" s="2">
        <v>518238334</v>
      </c>
      <c r="H4108" s="2" t="s">
        <v>41</v>
      </c>
      <c r="I4108" s="2" t="s">
        <v>762</v>
      </c>
      <c r="J4108" s="2" t="s">
        <v>1356</v>
      </c>
      <c r="L4108" s="2" t="s">
        <v>418</v>
      </c>
      <c r="M4108" s="2" t="s">
        <v>41</v>
      </c>
      <c r="P4108" s="2" t="s">
        <v>84</v>
      </c>
      <c r="Q4108" s="2" t="s">
        <v>3041</v>
      </c>
      <c r="R4108" s="2" t="s">
        <v>3042</v>
      </c>
      <c r="S4108" s="9">
        <v>1</v>
      </c>
      <c r="T4108" s="10">
        <v>3</v>
      </c>
      <c r="U4108" s="2">
        <f t="shared" si="624"/>
        <v>0.69000000000000006</v>
      </c>
      <c r="V4108" s="2">
        <f t="shared" si="625"/>
        <v>3.69</v>
      </c>
      <c r="X4108" s="5">
        <f t="shared" si="630"/>
        <v>1</v>
      </c>
      <c r="Z4108" s="2" t="s">
        <v>3226</v>
      </c>
      <c r="AA4108" s="2" t="s">
        <v>3378</v>
      </c>
      <c r="AI4108" s="2"/>
      <c r="AK4108" s="2">
        <f t="shared" si="631"/>
        <v>3</v>
      </c>
      <c r="AL4108" s="5">
        <f t="shared" si="63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P4109" s="2" t="s">
        <v>114</v>
      </c>
      <c r="Q4109" s="2" t="s">
        <v>3043</v>
      </c>
      <c r="R4109" s="2" t="s">
        <v>3044</v>
      </c>
      <c r="S4109" s="9">
        <v>1</v>
      </c>
      <c r="T4109" s="10">
        <v>140.37</v>
      </c>
      <c r="U4109" s="2">
        <f t="shared" ref="U4109:U4140" si="633">T4109*23%</f>
        <v>32.2851</v>
      </c>
      <c r="V4109" s="10">
        <f t="shared" ref="V4109:V4140" si="634">T4109+U4109</f>
        <v>172.6551</v>
      </c>
      <c r="X4109" s="5">
        <f t="shared" si="630"/>
        <v>1</v>
      </c>
      <c r="AI4109" s="2"/>
      <c r="AK4109" s="2">
        <f t="shared" si="631"/>
        <v>140.37</v>
      </c>
      <c r="AL4109" s="5">
        <f t="shared" si="632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188</v>
      </c>
      <c r="R4110" s="2" t="s">
        <v>189</v>
      </c>
      <c r="S4110" s="9">
        <v>1</v>
      </c>
      <c r="T4110" s="10">
        <v>333</v>
      </c>
      <c r="U4110" s="2">
        <f t="shared" si="633"/>
        <v>76.59</v>
      </c>
      <c r="V4110" s="2">
        <f t="shared" si="634"/>
        <v>409.59000000000003</v>
      </c>
      <c r="W4110" s="2">
        <f>T4110*40%</f>
        <v>133.20000000000002</v>
      </c>
      <c r="X4110" s="5">
        <f t="shared" si="630"/>
        <v>0.6</v>
      </c>
      <c r="Z4110" s="2" t="s">
        <v>117</v>
      </c>
      <c r="AA4110" s="2" t="s">
        <v>190</v>
      </c>
      <c r="AB4110" s="2" t="s">
        <v>189</v>
      </c>
      <c r="AC4110" s="2" t="s">
        <v>40</v>
      </c>
      <c r="AG4110" s="2">
        <f>W4110</f>
        <v>133.20000000000002</v>
      </c>
      <c r="AI4110" s="2"/>
      <c r="AJ4110" s="2">
        <f>AI4110*T4110</f>
        <v>0</v>
      </c>
      <c r="AK4110" s="2">
        <f t="shared" si="631"/>
        <v>199.79999999999998</v>
      </c>
      <c r="AL4110" s="5">
        <f t="shared" si="632"/>
        <v>0.6</v>
      </c>
    </row>
    <row r="4111" spans="1:38" x14ac:dyDescent="0.2">
      <c r="A4111" s="8">
        <v>2026</v>
      </c>
      <c r="B4111" s="8">
        <v>6</v>
      </c>
      <c r="C4111" s="8"/>
      <c r="D4111" s="2" t="s">
        <v>2557</v>
      </c>
      <c r="M4111" s="2" t="s">
        <v>40</v>
      </c>
      <c r="P4111" s="2" t="s">
        <v>187</v>
      </c>
      <c r="Q4111" s="2" t="s">
        <v>191</v>
      </c>
      <c r="R4111" s="2" t="s">
        <v>190</v>
      </c>
      <c r="S4111" s="9">
        <v>2</v>
      </c>
      <c r="T4111" s="10">
        <v>110</v>
      </c>
      <c r="U4111" s="2">
        <f t="shared" si="633"/>
        <v>25.3</v>
      </c>
      <c r="V4111" s="2">
        <f t="shared" si="634"/>
        <v>135.30000000000001</v>
      </c>
      <c r="W4111" s="2">
        <f>T4111*50%</f>
        <v>55</v>
      </c>
      <c r="X4111" s="5">
        <f t="shared" si="630"/>
        <v>0.5</v>
      </c>
      <c r="Z4111" s="2" t="s">
        <v>117</v>
      </c>
      <c r="AA4111" s="2" t="s">
        <v>190</v>
      </c>
      <c r="AB4111" s="2" t="s">
        <v>190</v>
      </c>
      <c r="AC4111" s="2" t="s">
        <v>40</v>
      </c>
      <c r="AF4111" s="2">
        <f>AJ4111</f>
        <v>0</v>
      </c>
      <c r="AG4111" s="2">
        <f>W4111</f>
        <v>55</v>
      </c>
      <c r="AI4111" s="2"/>
      <c r="AJ4111" s="2">
        <f>AI4111*T4111</f>
        <v>0</v>
      </c>
      <c r="AK4111" s="2">
        <f t="shared" si="631"/>
        <v>55</v>
      </c>
      <c r="AL4111" s="5">
        <f t="shared" si="632"/>
        <v>0.5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P4112" s="2" t="s">
        <v>114</v>
      </c>
      <c r="Q4112" s="2" t="s">
        <v>3045</v>
      </c>
      <c r="R4112" s="2" t="s">
        <v>3046</v>
      </c>
      <c r="S4112" s="9">
        <v>1</v>
      </c>
      <c r="T4112" s="10">
        <v>76.150000000000006</v>
      </c>
      <c r="U4112" s="2">
        <f t="shared" si="633"/>
        <v>17.514500000000002</v>
      </c>
      <c r="V4112" s="10">
        <f t="shared" si="634"/>
        <v>93.664500000000004</v>
      </c>
      <c r="X4112" s="5">
        <f t="shared" si="630"/>
        <v>1</v>
      </c>
      <c r="AI4112" s="2"/>
      <c r="AK4112" s="2">
        <f t="shared" si="631"/>
        <v>76.150000000000006</v>
      </c>
      <c r="AL4112" s="5">
        <f t="shared" si="632"/>
        <v>1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179</v>
      </c>
      <c r="R4113" s="2" t="s">
        <v>180</v>
      </c>
      <c r="S4113" s="9">
        <v>2</v>
      </c>
      <c r="T4113" s="10">
        <v>1198.8</v>
      </c>
      <c r="U4113" s="2">
        <f t="shared" si="633"/>
        <v>275.72399999999999</v>
      </c>
      <c r="V4113" s="10">
        <f t="shared" si="634"/>
        <v>1474.5239999999999</v>
      </c>
      <c r="W4113" s="2">
        <f>346.57*S4113</f>
        <v>693.14</v>
      </c>
      <c r="X4113" s="5">
        <f t="shared" si="630"/>
        <v>0.42180513847180512</v>
      </c>
      <c r="Z4113" s="2" t="s">
        <v>117</v>
      </c>
      <c r="AA4113" s="2" t="s">
        <v>181</v>
      </c>
      <c r="AB4113" s="2" t="s">
        <v>119</v>
      </c>
      <c r="AC4113" s="2" t="s">
        <v>114</v>
      </c>
      <c r="AI4113" s="2"/>
      <c r="AK4113" s="2">
        <f t="shared" si="631"/>
        <v>505.65999999999997</v>
      </c>
      <c r="AL4113" s="5">
        <f t="shared" si="632"/>
        <v>0.42180513847180512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M4114" s="2" t="s">
        <v>40</v>
      </c>
      <c r="P4114" s="2" t="s">
        <v>114</v>
      </c>
      <c r="Q4114" s="2" t="s">
        <v>467</v>
      </c>
      <c r="R4114" s="2" t="s">
        <v>468</v>
      </c>
      <c r="S4114" s="9">
        <v>1</v>
      </c>
      <c r="T4114" s="10">
        <v>418.99</v>
      </c>
      <c r="U4114" s="2">
        <f t="shared" si="633"/>
        <v>96.367699999999999</v>
      </c>
      <c r="V4114" s="10">
        <f t="shared" si="634"/>
        <v>515.35770000000002</v>
      </c>
      <c r="W4114" s="2">
        <v>237.8466</v>
      </c>
      <c r="X4114" s="5">
        <f t="shared" si="630"/>
        <v>0.43233346857920241</v>
      </c>
      <c r="Z4114" s="2" t="s">
        <v>117</v>
      </c>
      <c r="AA4114" s="2" t="s">
        <v>118</v>
      </c>
      <c r="AB4114" s="2" t="s">
        <v>119</v>
      </c>
      <c r="AC4114" s="2" t="s">
        <v>114</v>
      </c>
      <c r="AI4114" s="2"/>
      <c r="AK4114" s="2">
        <f t="shared" si="631"/>
        <v>181.14340000000001</v>
      </c>
      <c r="AL4114" s="5">
        <f t="shared" si="632"/>
        <v>0.43233346857920241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P4115" s="2" t="s">
        <v>114</v>
      </c>
      <c r="Q4115" s="2" t="s">
        <v>2211</v>
      </c>
      <c r="R4115" s="2" t="s">
        <v>2212</v>
      </c>
      <c r="S4115" s="9">
        <v>1</v>
      </c>
      <c r="T4115" s="10">
        <v>131.16</v>
      </c>
      <c r="U4115" s="2">
        <f t="shared" si="633"/>
        <v>30.166800000000002</v>
      </c>
      <c r="V4115" s="10">
        <f t="shared" si="634"/>
        <v>161.32679999999999</v>
      </c>
      <c r="X4115" s="5">
        <f t="shared" si="630"/>
        <v>1</v>
      </c>
      <c r="AI4115" s="2"/>
      <c r="AK4115" s="2">
        <f t="shared" si="631"/>
        <v>131.16</v>
      </c>
      <c r="AL4115" s="5">
        <f t="shared" si="632"/>
        <v>1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188</v>
      </c>
      <c r="R4116" s="2" t="s">
        <v>189</v>
      </c>
      <c r="S4116" s="9">
        <v>1</v>
      </c>
      <c r="T4116" s="10">
        <v>238</v>
      </c>
      <c r="U4116" s="2">
        <f t="shared" si="633"/>
        <v>54.74</v>
      </c>
      <c r="V4116" s="2">
        <f t="shared" si="634"/>
        <v>292.74</v>
      </c>
      <c r="W4116" s="2">
        <f>T4116*40%</f>
        <v>95.2</v>
      </c>
      <c r="X4116" s="5">
        <f t="shared" si="630"/>
        <v>0.60000000000000009</v>
      </c>
      <c r="Z4116" s="2" t="s">
        <v>117</v>
      </c>
      <c r="AA4116" s="2" t="s">
        <v>190</v>
      </c>
      <c r="AB4116" s="2" t="s">
        <v>189</v>
      </c>
      <c r="AC4116" s="2" t="s">
        <v>40</v>
      </c>
      <c r="AG4116" s="2">
        <f>W4116</f>
        <v>95.2</v>
      </c>
      <c r="AI4116" s="2"/>
      <c r="AJ4116" s="2">
        <f>AI4116*T4116</f>
        <v>0</v>
      </c>
      <c r="AK4116" s="2">
        <f t="shared" si="631"/>
        <v>142.80000000000001</v>
      </c>
      <c r="AL4116" s="5">
        <f t="shared" si="632"/>
        <v>0.60000000000000009</v>
      </c>
    </row>
    <row r="4117" spans="1:38" x14ac:dyDescent="0.2">
      <c r="A4117" s="8">
        <v>2026</v>
      </c>
      <c r="B4117" s="8">
        <v>6</v>
      </c>
      <c r="C4117" s="8"/>
      <c r="D4117" s="2" t="s">
        <v>749</v>
      </c>
      <c r="M4117" s="2" t="s">
        <v>40</v>
      </c>
      <c r="P4117" s="2" t="s">
        <v>187</v>
      </c>
      <c r="Q4117" s="2" t="s">
        <v>191</v>
      </c>
      <c r="R4117" s="2" t="s">
        <v>190</v>
      </c>
      <c r="S4117" s="9">
        <v>1</v>
      </c>
      <c r="T4117" s="10">
        <v>55</v>
      </c>
      <c r="U4117" s="2">
        <f t="shared" si="633"/>
        <v>12.65</v>
      </c>
      <c r="V4117" s="2">
        <f t="shared" si="634"/>
        <v>67.650000000000006</v>
      </c>
      <c r="W4117" s="2">
        <f>T4117*50%</f>
        <v>27.5</v>
      </c>
      <c r="X4117" s="5">
        <f t="shared" si="630"/>
        <v>0.5</v>
      </c>
      <c r="Z4117" s="2" t="s">
        <v>117</v>
      </c>
      <c r="AA4117" s="2" t="s">
        <v>190</v>
      </c>
      <c r="AB4117" s="2" t="s">
        <v>190</v>
      </c>
      <c r="AC4117" s="2" t="s">
        <v>40</v>
      </c>
      <c r="AF4117" s="2">
        <f>AJ4117</f>
        <v>0</v>
      </c>
      <c r="AG4117" s="2">
        <f>W4117</f>
        <v>27.5</v>
      </c>
      <c r="AI4117" s="2"/>
      <c r="AJ4117" s="2">
        <f>AI4117*T4117</f>
        <v>0</v>
      </c>
      <c r="AK4117" s="2">
        <f t="shared" si="631"/>
        <v>27.5</v>
      </c>
      <c r="AL4117" s="5">
        <f t="shared" si="632"/>
        <v>0.5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282</v>
      </c>
      <c r="Q4118" s="2" t="s">
        <v>3047</v>
      </c>
      <c r="R4118" s="2" t="s">
        <v>3048</v>
      </c>
      <c r="S4118" s="9">
        <v>1</v>
      </c>
      <c r="T4118" s="10">
        <v>17.5</v>
      </c>
      <c r="U4118" s="2">
        <f t="shared" si="633"/>
        <v>4.0250000000000004</v>
      </c>
      <c r="V4118" s="10">
        <f t="shared" si="634"/>
        <v>21.524999999999999</v>
      </c>
      <c r="X4118" s="5">
        <f t="shared" si="630"/>
        <v>1</v>
      </c>
      <c r="AI4118" s="2"/>
      <c r="AK4118" s="2">
        <f t="shared" si="631"/>
        <v>17.5</v>
      </c>
      <c r="AL4118" s="5">
        <f t="shared" si="632"/>
        <v>1</v>
      </c>
    </row>
    <row r="4119" spans="1:38" x14ac:dyDescent="0.2">
      <c r="A4119" s="8">
        <v>2026</v>
      </c>
      <c r="B4119" s="8">
        <v>6</v>
      </c>
      <c r="C4119" s="8"/>
      <c r="D4119" s="2" t="s">
        <v>1524</v>
      </c>
      <c r="P4119" s="2" t="s">
        <v>169</v>
      </c>
      <c r="Q4119" s="2" t="s">
        <v>170</v>
      </c>
      <c r="R4119" s="2" t="s">
        <v>170</v>
      </c>
      <c r="S4119" s="9">
        <v>1</v>
      </c>
      <c r="T4119" s="10">
        <v>8</v>
      </c>
      <c r="U4119" s="2">
        <f t="shared" si="633"/>
        <v>1.84</v>
      </c>
      <c r="V4119" s="10">
        <f t="shared" si="634"/>
        <v>9.84</v>
      </c>
      <c r="W4119" s="2">
        <v>6</v>
      </c>
      <c r="X4119" s="5">
        <f t="shared" si="630"/>
        <v>0.25</v>
      </c>
      <c r="Z4119" s="2" t="s">
        <v>169</v>
      </c>
      <c r="AA4119" s="2" t="s">
        <v>169</v>
      </c>
      <c r="AI4119" s="2"/>
      <c r="AK4119" s="2">
        <f t="shared" si="631"/>
        <v>2</v>
      </c>
      <c r="AL4119" s="5">
        <f t="shared" si="632"/>
        <v>0.25</v>
      </c>
    </row>
    <row r="4120" spans="1:38" x14ac:dyDescent="0.2">
      <c r="A4120" s="8">
        <v>2026</v>
      </c>
      <c r="B4120" s="8">
        <v>6</v>
      </c>
      <c r="C4120" s="8"/>
      <c r="D4120" s="2" t="s">
        <v>2513</v>
      </c>
      <c r="Q4120" s="2" t="s">
        <v>2974</v>
      </c>
      <c r="R4120" s="2" t="s">
        <v>2975</v>
      </c>
      <c r="S4120" s="9">
        <v>1</v>
      </c>
      <c r="T4120" s="10">
        <v>2460</v>
      </c>
      <c r="U4120" s="2">
        <f t="shared" si="633"/>
        <v>565.80000000000007</v>
      </c>
      <c r="V4120" s="10">
        <f t="shared" si="634"/>
        <v>3025.8</v>
      </c>
      <c r="X4120" s="5">
        <f t="shared" si="630"/>
        <v>1</v>
      </c>
      <c r="Z4120" s="2" t="s">
        <v>104</v>
      </c>
      <c r="AI4120" s="2"/>
      <c r="AL4120" s="2"/>
    </row>
    <row r="4121" spans="1:38" x14ac:dyDescent="0.2">
      <c r="A4121" s="8">
        <v>2026</v>
      </c>
      <c r="B4121" s="8">
        <v>6</v>
      </c>
      <c r="C4121" s="8"/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P4121" s="2" t="s">
        <v>282</v>
      </c>
      <c r="Q4121" s="2" t="s">
        <v>3049</v>
      </c>
      <c r="R4121" s="2" t="s">
        <v>3050</v>
      </c>
      <c r="S4121" s="9">
        <v>2</v>
      </c>
      <c r="T4121" s="10">
        <v>17.8</v>
      </c>
      <c r="U4121" s="2">
        <f t="shared" si="633"/>
        <v>4.0940000000000003</v>
      </c>
      <c r="V4121" s="10">
        <f t="shared" si="634"/>
        <v>21.894000000000002</v>
      </c>
      <c r="W4121" s="2">
        <f>6.23*2</f>
        <v>12.46</v>
      </c>
      <c r="X4121" s="5">
        <f t="shared" si="630"/>
        <v>0.3</v>
      </c>
      <c r="Z4121" s="2" t="s">
        <v>3226</v>
      </c>
      <c r="AA4121" s="2" t="s">
        <v>155</v>
      </c>
      <c r="AB4121" s="2" t="s">
        <v>3402</v>
      </c>
      <c r="AC4121" s="2" t="s">
        <v>1327</v>
      </c>
      <c r="AI4121" s="2"/>
      <c r="AK4121" s="2">
        <f>T4121-W4121</f>
        <v>5.34</v>
      </c>
      <c r="AL4121" s="5">
        <f>(T4121-W4121)/T4121</f>
        <v>0.3</v>
      </c>
    </row>
    <row r="4122" spans="1:38" x14ac:dyDescent="0.2">
      <c r="A4122" s="8">
        <v>2026</v>
      </c>
      <c r="B4122" s="8">
        <v>6</v>
      </c>
      <c r="C4122" s="8"/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P4122" s="2" t="s">
        <v>282</v>
      </c>
      <c r="Q4122" s="2" t="s">
        <v>1779</v>
      </c>
      <c r="R4122" s="2" t="s">
        <v>1780</v>
      </c>
      <c r="S4122" s="9">
        <v>1</v>
      </c>
      <c r="T4122" s="10">
        <v>2150</v>
      </c>
      <c r="U4122" s="2">
        <f t="shared" si="633"/>
        <v>494.5</v>
      </c>
      <c r="V4122" s="10">
        <f t="shared" si="634"/>
        <v>2644.5</v>
      </c>
      <c r="X4122" s="5">
        <f t="shared" si="630"/>
        <v>1</v>
      </c>
      <c r="Z4122" s="2" t="s">
        <v>104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P4123" s="2" t="s">
        <v>282</v>
      </c>
      <c r="Q4123" s="2" t="s">
        <v>1328</v>
      </c>
      <c r="R4123" s="2" t="s">
        <v>1329</v>
      </c>
      <c r="S4123" s="9">
        <v>1</v>
      </c>
      <c r="T4123" s="10">
        <v>2190</v>
      </c>
      <c r="U4123" s="2">
        <f t="shared" si="633"/>
        <v>503.70000000000005</v>
      </c>
      <c r="V4123" s="10">
        <f t="shared" si="634"/>
        <v>2693.7</v>
      </c>
      <c r="W4123" s="2">
        <v>1578</v>
      </c>
      <c r="X4123" s="5">
        <f t="shared" si="630"/>
        <v>0.27945205479452057</v>
      </c>
      <c r="Z4123" s="2" t="s">
        <v>104</v>
      </c>
      <c r="AA4123" s="2" t="s">
        <v>387</v>
      </c>
      <c r="AB4123" s="2" t="s">
        <v>1330</v>
      </c>
      <c r="AC4123" s="2" t="s">
        <v>1327</v>
      </c>
      <c r="AI4123" s="2"/>
      <c r="AK4123" s="2">
        <f>T4123-W4123</f>
        <v>612</v>
      </c>
      <c r="AL4123" s="5">
        <f>(T4123-W4123)/T4123</f>
        <v>0.27945205479452057</v>
      </c>
    </row>
    <row r="4124" spans="1:38" x14ac:dyDescent="0.2">
      <c r="A4124" s="8">
        <v>2026</v>
      </c>
      <c r="B4124" s="8">
        <v>6</v>
      </c>
      <c r="C4124" s="8"/>
      <c r="D4124" s="2" t="s">
        <v>359</v>
      </c>
      <c r="E4124" s="2" t="s">
        <v>108</v>
      </c>
      <c r="F4124" s="2" t="s">
        <v>39</v>
      </c>
      <c r="G4124" s="2">
        <v>503413909</v>
      </c>
      <c r="H4124" s="2" t="s">
        <v>109</v>
      </c>
      <c r="I4124" s="2" t="s">
        <v>360</v>
      </c>
      <c r="J4124" s="2" t="s">
        <v>361</v>
      </c>
      <c r="L4124" s="2" t="s">
        <v>360</v>
      </c>
      <c r="P4124" s="2" t="s">
        <v>40</v>
      </c>
      <c r="Q4124" s="2" t="s">
        <v>363</v>
      </c>
      <c r="R4124" s="2" t="s">
        <v>364</v>
      </c>
      <c r="S4124" s="9">
        <v>4</v>
      </c>
      <c r="T4124" s="10">
        <v>701.35</v>
      </c>
      <c r="U4124" s="2">
        <f t="shared" si="633"/>
        <v>161.31050000000002</v>
      </c>
      <c r="V4124" s="10">
        <f t="shared" si="634"/>
        <v>862.66050000000007</v>
      </c>
      <c r="X4124" s="5">
        <f t="shared" si="630"/>
        <v>1</v>
      </c>
      <c r="Z4124" s="2" t="s">
        <v>119</v>
      </c>
      <c r="AA4124" s="2" t="s">
        <v>3379</v>
      </c>
      <c r="AI4124" s="2"/>
      <c r="AK4124" s="2">
        <f>T4124-W4124</f>
        <v>701.35</v>
      </c>
      <c r="AL4124" s="5">
        <f>(T4124-W4124)/T4124</f>
        <v>1</v>
      </c>
    </row>
    <row r="4125" spans="1:38" x14ac:dyDescent="0.2">
      <c r="A4125" s="8">
        <v>2026</v>
      </c>
      <c r="B4125" s="8">
        <v>6</v>
      </c>
      <c r="C4125" s="8" t="s">
        <v>3391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72</v>
      </c>
      <c r="Q4125" s="2" t="s">
        <v>1134</v>
      </c>
      <c r="R4125" s="2" t="s">
        <v>534</v>
      </c>
      <c r="S4125" s="9">
        <v>1</v>
      </c>
      <c r="T4125" s="10">
        <v>230</v>
      </c>
      <c r="U4125" s="2">
        <f t="shared" si="633"/>
        <v>52.900000000000006</v>
      </c>
      <c r="V4125" s="10">
        <f t="shared" si="634"/>
        <v>282.89999999999998</v>
      </c>
      <c r="W4125" s="2">
        <v>122.25</v>
      </c>
      <c r="X4125" s="5">
        <f t="shared" si="630"/>
        <v>0.46847826086956523</v>
      </c>
      <c r="Z4125" s="2" t="s">
        <v>3226</v>
      </c>
      <c r="AA4125" s="2" t="s">
        <v>75</v>
      </c>
      <c r="AB4125" s="2" t="s">
        <v>76</v>
      </c>
      <c r="AC4125" s="2" t="s">
        <v>77</v>
      </c>
      <c r="AF4125" s="2">
        <f>AJ4125</f>
        <v>0</v>
      </c>
      <c r="AG4125" s="2">
        <v>125.51600000000001</v>
      </c>
      <c r="AH4125" s="2">
        <v>220</v>
      </c>
      <c r="AI4125" s="2"/>
      <c r="AJ4125" s="2">
        <f>AI4125*T4125</f>
        <v>0</v>
      </c>
      <c r="AK4125" s="2">
        <f>T4125-W4125</f>
        <v>107.75</v>
      </c>
      <c r="AL4125" s="5">
        <f>(T4125-W4125)/T4125</f>
        <v>0.46847826086956523</v>
      </c>
    </row>
    <row r="4126" spans="1:38" x14ac:dyDescent="0.2">
      <c r="A4126" s="8">
        <v>2026</v>
      </c>
      <c r="B4126" s="8">
        <v>6</v>
      </c>
      <c r="C4126" s="8" t="s">
        <v>3391</v>
      </c>
      <c r="D4126" s="2" t="s">
        <v>2944</v>
      </c>
      <c r="E4126" s="2" t="s">
        <v>752</v>
      </c>
      <c r="F4126" s="2" t="s">
        <v>39</v>
      </c>
      <c r="L4126" s="2" t="s">
        <v>480</v>
      </c>
      <c r="M4126" s="2" t="s">
        <v>80</v>
      </c>
      <c r="P4126" s="2" t="s">
        <v>93</v>
      </c>
      <c r="Q4126" s="2" t="s">
        <v>94</v>
      </c>
      <c r="R4126" s="2" t="s">
        <v>95</v>
      </c>
      <c r="S4126" s="9">
        <v>1</v>
      </c>
      <c r="T4126" s="10">
        <v>1.48</v>
      </c>
      <c r="U4126" s="2">
        <f t="shared" si="633"/>
        <v>0.34040000000000004</v>
      </c>
      <c r="V4126" s="10">
        <f t="shared" si="634"/>
        <v>1.8204</v>
      </c>
      <c r="W4126" s="2">
        <f>1.48*S4126</f>
        <v>1.48</v>
      </c>
      <c r="X4126" s="5">
        <f t="shared" si="630"/>
        <v>0</v>
      </c>
      <c r="Z4126" s="2" t="s">
        <v>3226</v>
      </c>
      <c r="AA4126" s="2" t="s">
        <v>96</v>
      </c>
      <c r="AB4126" s="2" t="s">
        <v>76</v>
      </c>
      <c r="AC4126" s="2" t="s">
        <v>93</v>
      </c>
      <c r="AF4126" s="2">
        <f>AJ4126</f>
        <v>0</v>
      </c>
      <c r="AG4126" s="2">
        <v>1.48</v>
      </c>
      <c r="AH4126" s="2">
        <v>1.48</v>
      </c>
      <c r="AI4126" s="2"/>
      <c r="AJ4126" s="2">
        <f>AI4126*T4126</f>
        <v>0</v>
      </c>
      <c r="AK4126" s="2">
        <f>T4126-W4126</f>
        <v>0</v>
      </c>
      <c r="AL4126" s="5">
        <f>(T4126-W4126)/T4126</f>
        <v>0</v>
      </c>
    </row>
    <row r="4127" spans="1:38" x14ac:dyDescent="0.2">
      <c r="A4127" s="8">
        <v>2026</v>
      </c>
      <c r="B4127" s="8">
        <v>6</v>
      </c>
      <c r="C4127" s="8"/>
      <c r="D4127" s="2" t="s">
        <v>3105</v>
      </c>
      <c r="P4127" s="2" t="s">
        <v>114</v>
      </c>
      <c r="Q4127" s="2" t="s">
        <v>955</v>
      </c>
      <c r="R4127" s="2" t="s">
        <v>956</v>
      </c>
      <c r="S4127" s="9">
        <v>1</v>
      </c>
      <c r="T4127" s="10">
        <v>8930</v>
      </c>
      <c r="U4127" s="2">
        <f t="shared" si="633"/>
        <v>2053.9</v>
      </c>
      <c r="V4127" s="10">
        <f t="shared" si="634"/>
        <v>10983.9</v>
      </c>
      <c r="X4127" s="5">
        <f t="shared" si="630"/>
        <v>1</v>
      </c>
      <c r="Z4127" s="2" t="s">
        <v>104</v>
      </c>
      <c r="AI4127" s="2"/>
      <c r="AL4127" s="2"/>
    </row>
    <row r="4128" spans="1:38" x14ac:dyDescent="0.2">
      <c r="A4128" s="8">
        <v>2026</v>
      </c>
      <c r="B4128" s="8">
        <v>6</v>
      </c>
      <c r="C4128" s="8"/>
      <c r="D4128" s="2" t="s">
        <v>3105</v>
      </c>
      <c r="P4128" s="2" t="s">
        <v>114</v>
      </c>
      <c r="Q4128" s="2" t="s">
        <v>1578</v>
      </c>
      <c r="R4128" s="2" t="s">
        <v>1579</v>
      </c>
      <c r="S4128" s="9">
        <v>1</v>
      </c>
      <c r="T4128" s="10">
        <v>7490</v>
      </c>
      <c r="U4128" s="2">
        <f t="shared" si="633"/>
        <v>1722.7</v>
      </c>
      <c r="V4128" s="10">
        <f t="shared" si="634"/>
        <v>9212.7000000000007</v>
      </c>
      <c r="X4128" s="5">
        <f t="shared" si="630"/>
        <v>1</v>
      </c>
      <c r="Z4128" s="2" t="s">
        <v>104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P4129" s="2" t="s">
        <v>3481</v>
      </c>
      <c r="Q4129" s="2" t="s">
        <v>3051</v>
      </c>
      <c r="R4129" s="2" t="s">
        <v>3052</v>
      </c>
      <c r="S4129" s="9">
        <v>1</v>
      </c>
      <c r="T4129" s="10">
        <v>10</v>
      </c>
      <c r="U4129" s="2">
        <f t="shared" si="633"/>
        <v>2.3000000000000003</v>
      </c>
      <c r="V4129" s="10">
        <f t="shared" si="634"/>
        <v>12.3</v>
      </c>
      <c r="X4129" s="5">
        <f t="shared" si="630"/>
        <v>1</v>
      </c>
      <c r="Z4129" s="2" t="s">
        <v>3226</v>
      </c>
      <c r="AA4129" s="2" t="s">
        <v>87</v>
      </c>
      <c r="AB4129" s="2" t="s">
        <v>90</v>
      </c>
      <c r="AC4129" s="2" t="s">
        <v>3481</v>
      </c>
      <c r="AI4129" s="2"/>
      <c r="AK4129" s="2">
        <f t="shared" ref="AK4129:AK4140" si="635">T4129-W4129</f>
        <v>10</v>
      </c>
      <c r="AL4129" s="5">
        <f t="shared" ref="AL4129:AL4140" si="636">(T4129-W4129)/T4129</f>
        <v>1</v>
      </c>
    </row>
    <row r="4130" spans="1:38" x14ac:dyDescent="0.2">
      <c r="A4130" s="8">
        <v>2026</v>
      </c>
      <c r="B4130" s="8">
        <v>6</v>
      </c>
      <c r="C4130" s="8"/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P4130" s="2" t="s">
        <v>166</v>
      </c>
      <c r="Q4130" s="2" t="s">
        <v>2181</v>
      </c>
      <c r="R4130" s="2" t="s">
        <v>2182</v>
      </c>
      <c r="S4130" s="9">
        <v>4</v>
      </c>
      <c r="T4130" s="10">
        <v>12</v>
      </c>
      <c r="U4130" s="2">
        <f t="shared" si="633"/>
        <v>2.7600000000000002</v>
      </c>
      <c r="V4130" s="10">
        <f t="shared" si="634"/>
        <v>14.76</v>
      </c>
      <c r="X4130" s="5">
        <f t="shared" ref="X4130:X4150" si="637">(T4130-W4130)/T4130</f>
        <v>1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635"/>
        <v>12</v>
      </c>
      <c r="AL4130" s="5">
        <f t="shared" si="636"/>
        <v>1</v>
      </c>
    </row>
    <row r="4131" spans="1:38" x14ac:dyDescent="0.2">
      <c r="A4131" s="8">
        <v>2026</v>
      </c>
      <c r="B4131" s="8">
        <v>6</v>
      </c>
      <c r="C4131" s="8"/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P4131" s="2" t="s">
        <v>166</v>
      </c>
      <c r="Q4131" s="2" t="s">
        <v>3053</v>
      </c>
      <c r="R4131" s="2" t="s">
        <v>3054</v>
      </c>
      <c r="S4131" s="9">
        <v>2</v>
      </c>
      <c r="T4131" s="10">
        <v>4</v>
      </c>
      <c r="U4131" s="2">
        <f t="shared" si="633"/>
        <v>0.92</v>
      </c>
      <c r="V4131" s="10">
        <f t="shared" si="634"/>
        <v>4.92</v>
      </c>
      <c r="X4131" s="5">
        <f t="shared" si="637"/>
        <v>1</v>
      </c>
      <c r="Z4131" s="2" t="s">
        <v>3226</v>
      </c>
      <c r="AA4131" s="2" t="s">
        <v>87</v>
      </c>
      <c r="AB4131" s="2" t="s">
        <v>119</v>
      </c>
      <c r="AC4131" s="2" t="s">
        <v>166</v>
      </c>
      <c r="AF4131" s="2">
        <f>AJ4131</f>
        <v>0</v>
      </c>
      <c r="AI4131" s="2"/>
      <c r="AJ4131" s="2">
        <f>AI4131*T4131</f>
        <v>0</v>
      </c>
      <c r="AK4131" s="2">
        <f t="shared" si="635"/>
        <v>4</v>
      </c>
      <c r="AL4131" s="5">
        <f t="shared" si="636"/>
        <v>1</v>
      </c>
    </row>
    <row r="4132" spans="1:38" x14ac:dyDescent="0.2">
      <c r="A4132" s="8">
        <v>2026</v>
      </c>
      <c r="B4132" s="8">
        <v>6</v>
      </c>
      <c r="C4132" s="8"/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P4132" s="2" t="s">
        <v>169</v>
      </c>
      <c r="Q4132" s="2" t="s">
        <v>170</v>
      </c>
      <c r="R4132" s="2" t="s">
        <v>170</v>
      </c>
      <c r="S4132" s="9">
        <v>1</v>
      </c>
      <c r="T4132" s="10">
        <v>5</v>
      </c>
      <c r="U4132" s="2">
        <f t="shared" si="633"/>
        <v>1.1500000000000001</v>
      </c>
      <c r="V4132" s="10">
        <f t="shared" si="634"/>
        <v>6.15</v>
      </c>
      <c r="W4132" s="2">
        <v>6</v>
      </c>
      <c r="X4132" s="5">
        <f t="shared" si="637"/>
        <v>-0.2</v>
      </c>
      <c r="Z4132" s="2" t="s">
        <v>169</v>
      </c>
      <c r="AA4132" s="2" t="s">
        <v>169</v>
      </c>
      <c r="AI4132" s="2"/>
      <c r="AK4132" s="2">
        <f t="shared" si="635"/>
        <v>-1</v>
      </c>
      <c r="AL4132" s="5">
        <f t="shared" si="636"/>
        <v>-0.2</v>
      </c>
    </row>
    <row r="4133" spans="1:38" x14ac:dyDescent="0.2">
      <c r="A4133" s="8">
        <v>2026</v>
      </c>
      <c r="B4133" s="8">
        <v>6</v>
      </c>
      <c r="C4133" s="8"/>
      <c r="D4133" s="2" t="s">
        <v>382</v>
      </c>
      <c r="E4133" s="2" t="s">
        <v>38</v>
      </c>
      <c r="F4133" s="2" t="s">
        <v>39</v>
      </c>
      <c r="G4133" s="2">
        <v>212196260</v>
      </c>
      <c r="H4133" s="2" t="s">
        <v>109</v>
      </c>
      <c r="I4133" s="2" t="s">
        <v>383</v>
      </c>
      <c r="J4133" s="2" t="s">
        <v>384</v>
      </c>
      <c r="K4133" s="2">
        <v>926769894</v>
      </c>
      <c r="L4133" s="2" t="s">
        <v>112</v>
      </c>
      <c r="M4133" s="2" t="s">
        <v>40</v>
      </c>
      <c r="P4133" s="2" t="s">
        <v>187</v>
      </c>
      <c r="Q4133" s="2" t="s">
        <v>1308</v>
      </c>
      <c r="R4133" s="2" t="s">
        <v>1309</v>
      </c>
      <c r="S4133" s="9">
        <v>1</v>
      </c>
      <c r="T4133" s="10">
        <v>50.85</v>
      </c>
      <c r="U4133" s="2">
        <f t="shared" si="633"/>
        <v>11.695500000000001</v>
      </c>
      <c r="V4133" s="2">
        <f t="shared" si="634"/>
        <v>62.545500000000004</v>
      </c>
      <c r="X4133" s="5">
        <f t="shared" si="637"/>
        <v>1</v>
      </c>
      <c r="Z4133" s="2" t="s">
        <v>117</v>
      </c>
      <c r="AA4133" s="2" t="s">
        <v>1310</v>
      </c>
      <c r="AI4133" s="2"/>
      <c r="AK4133" s="2">
        <f t="shared" si="635"/>
        <v>50.85</v>
      </c>
      <c r="AL4133" s="5">
        <f t="shared" si="636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P4134" s="2" t="s">
        <v>114</v>
      </c>
      <c r="Q4134" s="2" t="s">
        <v>1875</v>
      </c>
      <c r="R4134" s="2" t="s">
        <v>1876</v>
      </c>
      <c r="S4134" s="9">
        <v>1</v>
      </c>
      <c r="T4134" s="10">
        <v>219.45</v>
      </c>
      <c r="U4134" s="2">
        <f t="shared" si="633"/>
        <v>50.473500000000001</v>
      </c>
      <c r="V4134" s="10">
        <f t="shared" si="634"/>
        <v>269.92349999999999</v>
      </c>
      <c r="X4134" s="5">
        <f t="shared" si="637"/>
        <v>1</v>
      </c>
      <c r="AI4134" s="2"/>
      <c r="AK4134" s="2">
        <f t="shared" si="635"/>
        <v>219.45</v>
      </c>
      <c r="AL4134" s="5">
        <f t="shared" si="636"/>
        <v>1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188</v>
      </c>
      <c r="R4135" s="2" t="s">
        <v>189</v>
      </c>
      <c r="S4135" s="9">
        <v>1</v>
      </c>
      <c r="T4135" s="10">
        <v>60</v>
      </c>
      <c r="U4135" s="2">
        <f t="shared" si="633"/>
        <v>13.8</v>
      </c>
      <c r="V4135" s="2">
        <f t="shared" si="634"/>
        <v>73.8</v>
      </c>
      <c r="W4135" s="2">
        <f>T4135*40%</f>
        <v>24</v>
      </c>
      <c r="X4135" s="5">
        <f t="shared" si="637"/>
        <v>0.6</v>
      </c>
      <c r="Z4135" s="2" t="s">
        <v>117</v>
      </c>
      <c r="AA4135" s="2" t="s">
        <v>190</v>
      </c>
      <c r="AB4135" s="2" t="s">
        <v>189</v>
      </c>
      <c r="AC4135" s="2" t="s">
        <v>40</v>
      </c>
      <c r="AG4135" s="2">
        <f>W4135</f>
        <v>24</v>
      </c>
      <c r="AI4135" s="2"/>
      <c r="AJ4135" s="2">
        <f>AI4135*T4135</f>
        <v>0</v>
      </c>
      <c r="AK4135" s="2">
        <f t="shared" si="635"/>
        <v>36</v>
      </c>
      <c r="AL4135" s="5">
        <f t="shared" si="636"/>
        <v>0.6</v>
      </c>
    </row>
    <row r="4136" spans="1:38" x14ac:dyDescent="0.2">
      <c r="A4136" s="8">
        <v>2026</v>
      </c>
      <c r="B4136" s="8">
        <v>6</v>
      </c>
      <c r="C4136" s="8"/>
      <c r="D4136" s="2" t="s">
        <v>775</v>
      </c>
      <c r="M4136" s="2" t="s">
        <v>40</v>
      </c>
      <c r="P4136" s="2" t="s">
        <v>187</v>
      </c>
      <c r="Q4136" s="2" t="s">
        <v>191</v>
      </c>
      <c r="R4136" s="2" t="s">
        <v>190</v>
      </c>
      <c r="S4136" s="9">
        <v>1</v>
      </c>
      <c r="T4136" s="10">
        <v>55</v>
      </c>
      <c r="U4136" s="2">
        <f t="shared" si="633"/>
        <v>12.65</v>
      </c>
      <c r="V4136" s="2">
        <f t="shared" si="634"/>
        <v>67.650000000000006</v>
      </c>
      <c r="W4136" s="2">
        <f>T4136*50%</f>
        <v>27.5</v>
      </c>
      <c r="X4136" s="5">
        <f t="shared" si="637"/>
        <v>0.5</v>
      </c>
      <c r="Z4136" s="2" t="s">
        <v>117</v>
      </c>
      <c r="AA4136" s="2" t="s">
        <v>190</v>
      </c>
      <c r="AB4136" s="2" t="s">
        <v>190</v>
      </c>
      <c r="AC4136" s="2" t="s">
        <v>40</v>
      </c>
      <c r="AF4136" s="2">
        <f>AJ4136</f>
        <v>0</v>
      </c>
      <c r="AG4136" s="2">
        <f>W4136</f>
        <v>27.5</v>
      </c>
      <c r="AI4136" s="2"/>
      <c r="AJ4136" s="2">
        <f>AI4136*T4136</f>
        <v>0</v>
      </c>
      <c r="AK4136" s="2">
        <f t="shared" si="635"/>
        <v>27.5</v>
      </c>
      <c r="AL4136" s="5">
        <f t="shared" si="636"/>
        <v>0.5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1038</v>
      </c>
      <c r="Q4137" s="2" t="s">
        <v>2889</v>
      </c>
      <c r="R4137" s="2" t="s">
        <v>2890</v>
      </c>
      <c r="S4137" s="9">
        <v>1</v>
      </c>
      <c r="T4137" s="10">
        <v>223.1</v>
      </c>
      <c r="U4137" s="2">
        <f t="shared" si="633"/>
        <v>51.313000000000002</v>
      </c>
      <c r="V4137" s="2">
        <f t="shared" si="634"/>
        <v>274.41300000000001</v>
      </c>
      <c r="W4137" s="2">
        <v>141.18</v>
      </c>
      <c r="X4137" s="5">
        <f t="shared" si="637"/>
        <v>0.36718960107575072</v>
      </c>
      <c r="Z4137" s="2" t="s">
        <v>3226</v>
      </c>
      <c r="AA4137" s="2" t="s">
        <v>75</v>
      </c>
      <c r="AB4137" s="2" t="s">
        <v>76</v>
      </c>
      <c r="AC4137" s="2" t="s">
        <v>1038</v>
      </c>
      <c r="AF4137" s="2">
        <f>AJ4137</f>
        <v>0</v>
      </c>
      <c r="AI4137" s="2"/>
      <c r="AJ4137" s="2">
        <f>AI4137*T4137</f>
        <v>0</v>
      </c>
      <c r="AK4137" s="2">
        <f t="shared" si="635"/>
        <v>81.919999999999987</v>
      </c>
      <c r="AL4137" s="5">
        <f t="shared" si="636"/>
        <v>0.36718960107575072</v>
      </c>
    </row>
    <row r="4138" spans="1:38" x14ac:dyDescent="0.2">
      <c r="A4138" s="8">
        <v>2026</v>
      </c>
      <c r="B4138" s="8">
        <v>6</v>
      </c>
      <c r="C4138" s="8"/>
      <c r="D4138" s="2" t="s">
        <v>2578</v>
      </c>
      <c r="E4138" s="2" t="s">
        <v>183</v>
      </c>
      <c r="F4138" s="2" t="s">
        <v>2579</v>
      </c>
      <c r="G4138" s="2">
        <v>515259144</v>
      </c>
      <c r="H4138" s="2" t="s">
        <v>80</v>
      </c>
      <c r="I4138" s="2" t="s">
        <v>156</v>
      </c>
      <c r="J4138" s="2" t="s">
        <v>2580</v>
      </c>
      <c r="K4138" s="2">
        <v>968626165</v>
      </c>
      <c r="L4138" s="2" t="s">
        <v>99</v>
      </c>
      <c r="M4138" s="2" t="s">
        <v>80</v>
      </c>
      <c r="P4138" s="2" t="s">
        <v>93</v>
      </c>
      <c r="Q4138" s="2" t="s">
        <v>94</v>
      </c>
      <c r="R4138" s="2" t="s">
        <v>95</v>
      </c>
      <c r="S4138" s="9">
        <v>1</v>
      </c>
      <c r="T4138" s="10">
        <v>1.48</v>
      </c>
      <c r="U4138" s="2">
        <f t="shared" si="633"/>
        <v>0.34040000000000004</v>
      </c>
      <c r="V4138" s="10">
        <f t="shared" si="634"/>
        <v>1.8204</v>
      </c>
      <c r="W4138" s="2">
        <f>1.48*S4138</f>
        <v>1.48</v>
      </c>
      <c r="X4138" s="5">
        <f t="shared" si="637"/>
        <v>0</v>
      </c>
      <c r="Z4138" s="2" t="s">
        <v>3226</v>
      </c>
      <c r="AA4138" s="2" t="s">
        <v>96</v>
      </c>
      <c r="AB4138" s="2" t="s">
        <v>76</v>
      </c>
      <c r="AC4138" s="2" t="s">
        <v>93</v>
      </c>
      <c r="AF4138" s="2">
        <f>AJ4138</f>
        <v>0</v>
      </c>
      <c r="AG4138" s="2">
        <v>1.48</v>
      </c>
      <c r="AH4138" s="2">
        <v>1.48</v>
      </c>
      <c r="AI4138" s="2"/>
      <c r="AJ4138" s="2">
        <f>AI4138*T4138</f>
        <v>0</v>
      </c>
      <c r="AK4138" s="2">
        <f t="shared" si="635"/>
        <v>0</v>
      </c>
      <c r="AL4138" s="5">
        <f t="shared" si="636"/>
        <v>0</v>
      </c>
    </row>
    <row r="4139" spans="1:38" x14ac:dyDescent="0.2">
      <c r="A4139" s="8">
        <v>2026</v>
      </c>
      <c r="B4139" s="8">
        <v>6</v>
      </c>
      <c r="C4139" s="8"/>
      <c r="D4139" s="2" t="s">
        <v>781</v>
      </c>
      <c r="E4139" s="2" t="s">
        <v>38</v>
      </c>
      <c r="F4139" s="2" t="s">
        <v>39</v>
      </c>
      <c r="G4139" s="2">
        <v>510219675</v>
      </c>
      <c r="H4139" s="2" t="s">
        <v>40</v>
      </c>
      <c r="I4139" s="2" t="s">
        <v>782</v>
      </c>
      <c r="J4139" s="2" t="s">
        <v>783</v>
      </c>
      <c r="K4139" s="2">
        <v>917341136</v>
      </c>
      <c r="L4139" s="2" t="s">
        <v>99</v>
      </c>
      <c r="P4139" s="2" t="s">
        <v>43</v>
      </c>
      <c r="Q4139" s="2" t="s">
        <v>54</v>
      </c>
      <c r="R4139" s="2" t="s">
        <v>55</v>
      </c>
      <c r="S4139" s="9">
        <v>1</v>
      </c>
      <c r="T4139" s="10">
        <v>18</v>
      </c>
      <c r="U4139" s="2">
        <f t="shared" si="633"/>
        <v>4.1400000000000006</v>
      </c>
      <c r="V4139" s="10">
        <f t="shared" si="634"/>
        <v>22.14</v>
      </c>
      <c r="W4139" s="2">
        <v>10.6</v>
      </c>
      <c r="X4139" s="5">
        <f t="shared" si="637"/>
        <v>0.41111111111111115</v>
      </c>
      <c r="Z4139" s="2" t="s">
        <v>3226</v>
      </c>
      <c r="AA4139" s="2" t="s">
        <v>46</v>
      </c>
      <c r="AB4139" s="2" t="s">
        <v>56</v>
      </c>
      <c r="AC4139" s="2" t="s">
        <v>57</v>
      </c>
      <c r="AI4139" s="2"/>
      <c r="AK4139" s="2">
        <f t="shared" si="635"/>
        <v>7.4</v>
      </c>
      <c r="AL4139" s="5">
        <f t="shared" si="636"/>
        <v>0.41111111111111115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351</v>
      </c>
      <c r="R4140" s="2" t="s">
        <v>352</v>
      </c>
      <c r="S4140" s="9">
        <v>1</v>
      </c>
      <c r="T4140" s="10">
        <v>21</v>
      </c>
      <c r="U4140" s="2">
        <f t="shared" si="633"/>
        <v>4.83</v>
      </c>
      <c r="V4140" s="10">
        <f t="shared" si="634"/>
        <v>25.83</v>
      </c>
      <c r="W4140" s="2">
        <f>10.67*S4140</f>
        <v>10.67</v>
      </c>
      <c r="X4140" s="5">
        <f t="shared" si="637"/>
        <v>0.4919047619047619</v>
      </c>
      <c r="Z4140" s="2" t="s">
        <v>3226</v>
      </c>
      <c r="AA4140" s="2" t="s">
        <v>46</v>
      </c>
      <c r="AB4140" s="2" t="s">
        <v>47</v>
      </c>
      <c r="AC4140" s="2" t="s">
        <v>57</v>
      </c>
      <c r="AI4140" s="2"/>
      <c r="AK4140" s="2">
        <f t="shared" si="635"/>
        <v>10.33</v>
      </c>
      <c r="AL4140" s="5">
        <f t="shared" si="636"/>
        <v>0.4919047619047619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72</v>
      </c>
      <c r="Q4141" s="2" t="s">
        <v>912</v>
      </c>
      <c r="R4141" s="2" t="s">
        <v>74</v>
      </c>
      <c r="S4141" s="9">
        <v>1</v>
      </c>
      <c r="T4141" s="10">
        <v>230</v>
      </c>
      <c r="U4141" s="2">
        <f t="shared" ref="U4141:U4172" si="638">T4141*23%</f>
        <v>52.900000000000006</v>
      </c>
      <c r="V4141" s="10">
        <f t="shared" ref="V4141:V4172" si="639">T4141+U4141</f>
        <v>282.89999999999998</v>
      </c>
      <c r="W4141" s="2">
        <f>115.92+6.06</f>
        <v>121.98</v>
      </c>
      <c r="X4141" s="5">
        <f t="shared" si="637"/>
        <v>0.46965217391304348</v>
      </c>
      <c r="Z4141" s="2" t="s">
        <v>3226</v>
      </c>
      <c r="AA4141" s="2" t="s">
        <v>75</v>
      </c>
      <c r="AB4141" s="2" t="s">
        <v>76</v>
      </c>
      <c r="AC4141" s="2" t="s">
        <v>77</v>
      </c>
      <c r="AF4141" s="2">
        <f>AJ4141</f>
        <v>0</v>
      </c>
      <c r="AG4141" s="2">
        <v>125.51600000000001</v>
      </c>
      <c r="AH4141" s="2">
        <v>220</v>
      </c>
      <c r="AI4141" s="2"/>
      <c r="AJ4141" s="2">
        <f>AI4141*T4141</f>
        <v>0</v>
      </c>
      <c r="AK4141" s="2">
        <f t="shared" ref="AK4141:AK4150" si="640">T4141-W4141</f>
        <v>108.02</v>
      </c>
      <c r="AL4141" s="5">
        <f t="shared" ref="AL4141:AL4150" si="641">(T4141-W4141)/T4141</f>
        <v>0.46965217391304348</v>
      </c>
    </row>
    <row r="4142" spans="1:38" x14ac:dyDescent="0.2">
      <c r="A4142" s="8">
        <v>2026</v>
      </c>
      <c r="B4142" s="8">
        <v>6</v>
      </c>
      <c r="C4142" s="8"/>
      <c r="D4142" s="2" t="s">
        <v>2008</v>
      </c>
      <c r="E4142" s="2" t="s">
        <v>38</v>
      </c>
      <c r="F4142" s="2" t="s">
        <v>39</v>
      </c>
      <c r="L4142" s="2" t="s">
        <v>571</v>
      </c>
      <c r="M4142" s="2" t="s">
        <v>80</v>
      </c>
      <c r="P4142" s="2" t="s">
        <v>93</v>
      </c>
      <c r="Q4142" s="2" t="s">
        <v>94</v>
      </c>
      <c r="R4142" s="2" t="s">
        <v>95</v>
      </c>
      <c r="S4142" s="9">
        <v>1</v>
      </c>
      <c r="T4142" s="10">
        <v>1.48</v>
      </c>
      <c r="U4142" s="2">
        <f t="shared" si="638"/>
        <v>0.34040000000000004</v>
      </c>
      <c r="V4142" s="10">
        <f t="shared" si="639"/>
        <v>1.8204</v>
      </c>
      <c r="W4142" s="2">
        <f>1.48*S4142</f>
        <v>1.48</v>
      </c>
      <c r="X4142" s="5">
        <f t="shared" si="637"/>
        <v>0</v>
      </c>
      <c r="Z4142" s="2" t="s">
        <v>3226</v>
      </c>
      <c r="AA4142" s="2" t="s">
        <v>96</v>
      </c>
      <c r="AB4142" s="2" t="s">
        <v>76</v>
      </c>
      <c r="AC4142" s="2" t="s">
        <v>93</v>
      </c>
      <c r="AF4142" s="2">
        <f>AJ4142</f>
        <v>0</v>
      </c>
      <c r="AG4142" s="2">
        <v>1.48</v>
      </c>
      <c r="AH4142" s="2">
        <v>1.48</v>
      </c>
      <c r="AI4142" s="2"/>
      <c r="AJ4142" s="2">
        <f>AI4142*T4142</f>
        <v>0</v>
      </c>
      <c r="AK4142" s="2">
        <f t="shared" si="640"/>
        <v>0</v>
      </c>
      <c r="AL4142" s="5">
        <f t="shared" si="641"/>
        <v>0</v>
      </c>
    </row>
    <row r="4143" spans="1:38" x14ac:dyDescent="0.2">
      <c r="A4143" s="8">
        <v>2026</v>
      </c>
      <c r="B4143" s="8">
        <v>6</v>
      </c>
      <c r="C4143" s="8" t="s">
        <v>3322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72</v>
      </c>
      <c r="Q4143" s="2" t="s">
        <v>3055</v>
      </c>
      <c r="R4143" s="2" t="s">
        <v>207</v>
      </c>
      <c r="S4143" s="9">
        <v>1</v>
      </c>
      <c r="T4143" s="10">
        <v>400</v>
      </c>
      <c r="U4143" s="2">
        <f t="shared" si="638"/>
        <v>92</v>
      </c>
      <c r="V4143" s="10">
        <f t="shared" si="639"/>
        <v>492</v>
      </c>
      <c r="W4143" s="2">
        <f>271.66+19.93</f>
        <v>291.59000000000003</v>
      </c>
      <c r="X4143" s="5">
        <f t="shared" si="637"/>
        <v>0.2710249999999999</v>
      </c>
      <c r="Z4143" s="2" t="s">
        <v>3226</v>
      </c>
      <c r="AA4143" s="2" t="s">
        <v>75</v>
      </c>
      <c r="AB4143" s="2" t="s">
        <v>76</v>
      </c>
      <c r="AC4143" s="2" t="s">
        <v>77</v>
      </c>
      <c r="AF4143" s="2">
        <f>AJ4143</f>
        <v>0</v>
      </c>
      <c r="AG4143" s="2">
        <v>125.51600000000001</v>
      </c>
      <c r="AH4143" s="2">
        <v>220</v>
      </c>
      <c r="AI4143" s="2"/>
      <c r="AJ4143" s="2">
        <f>AI4143*T4143</f>
        <v>0</v>
      </c>
      <c r="AK4143" s="2">
        <f t="shared" si="640"/>
        <v>108.40999999999997</v>
      </c>
      <c r="AL4143" s="5">
        <f t="shared" si="641"/>
        <v>0.2710249999999999</v>
      </c>
    </row>
    <row r="4144" spans="1:38" x14ac:dyDescent="0.2">
      <c r="A4144" s="8">
        <v>2026</v>
      </c>
      <c r="B4144" s="8">
        <v>6</v>
      </c>
      <c r="C4144" s="8" t="s">
        <v>3322</v>
      </c>
      <c r="D4144" s="2" t="s">
        <v>1009</v>
      </c>
      <c r="E4144" s="2" t="s">
        <v>108</v>
      </c>
      <c r="F4144" s="2" t="s">
        <v>39</v>
      </c>
      <c r="J4144" s="2" t="s">
        <v>471</v>
      </c>
      <c r="L4144" s="2" t="s">
        <v>293</v>
      </c>
      <c r="M4144" s="2" t="s">
        <v>80</v>
      </c>
      <c r="P4144" s="2" t="s">
        <v>93</v>
      </c>
      <c r="Q4144" s="2" t="s">
        <v>94</v>
      </c>
      <c r="R4144" s="2" t="s">
        <v>95</v>
      </c>
      <c r="S4144" s="9">
        <v>1</v>
      </c>
      <c r="T4144" s="10">
        <v>1.48</v>
      </c>
      <c r="U4144" s="2">
        <f t="shared" si="638"/>
        <v>0.34040000000000004</v>
      </c>
      <c r="V4144" s="10">
        <f t="shared" si="639"/>
        <v>1.8204</v>
      </c>
      <c r="W4144" s="2">
        <f>1.48*S4144</f>
        <v>1.48</v>
      </c>
      <c r="X4144" s="5">
        <f t="shared" si="637"/>
        <v>0</v>
      </c>
      <c r="Z4144" s="2" t="s">
        <v>3226</v>
      </c>
      <c r="AA4144" s="2" t="s">
        <v>96</v>
      </c>
      <c r="AB4144" s="2" t="s">
        <v>76</v>
      </c>
      <c r="AC4144" s="2" t="s">
        <v>93</v>
      </c>
      <c r="AF4144" s="2">
        <f>AJ4144</f>
        <v>0</v>
      </c>
      <c r="AG4144" s="2">
        <v>1.48</v>
      </c>
      <c r="AH4144" s="2">
        <v>1.48</v>
      </c>
      <c r="AI4144" s="2"/>
      <c r="AJ4144" s="2">
        <f>AI4144*T4144</f>
        <v>0</v>
      </c>
      <c r="AK4144" s="2">
        <f t="shared" si="640"/>
        <v>0</v>
      </c>
      <c r="AL4144" s="5">
        <f t="shared" si="641"/>
        <v>0</v>
      </c>
    </row>
    <row r="4145" spans="1:38" x14ac:dyDescent="0.2">
      <c r="A4145" s="8">
        <v>2026</v>
      </c>
      <c r="B4145" s="8">
        <v>6</v>
      </c>
      <c r="C4145" s="8"/>
      <c r="D4145" s="2" t="s">
        <v>394</v>
      </c>
      <c r="E4145" s="2" t="s">
        <v>108</v>
      </c>
      <c r="F4145" s="2" t="s">
        <v>395</v>
      </c>
      <c r="G4145" s="2">
        <v>501787160</v>
      </c>
      <c r="H4145" s="2" t="s">
        <v>41</v>
      </c>
      <c r="I4145" s="2" t="s">
        <v>396</v>
      </c>
      <c r="J4145" s="2" t="s">
        <v>397</v>
      </c>
      <c r="L4145" s="2" t="s">
        <v>398</v>
      </c>
      <c r="P4145" s="2" t="s">
        <v>282</v>
      </c>
      <c r="Q4145" s="2" t="s">
        <v>401</v>
      </c>
      <c r="R4145" s="2" t="s">
        <v>402</v>
      </c>
      <c r="S4145" s="9">
        <v>20</v>
      </c>
      <c r="T4145" s="10">
        <v>400</v>
      </c>
      <c r="U4145" s="2">
        <f t="shared" si="638"/>
        <v>92</v>
      </c>
      <c r="V4145" s="10">
        <f t="shared" si="639"/>
        <v>492</v>
      </c>
      <c r="W4145" s="2">
        <v>290</v>
      </c>
      <c r="X4145" s="5">
        <f t="shared" si="637"/>
        <v>0.27500000000000002</v>
      </c>
      <c r="Z4145" s="2" t="s">
        <v>3226</v>
      </c>
      <c r="AA4145" s="2" t="s">
        <v>46</v>
      </c>
      <c r="AB4145" s="2" t="s">
        <v>60</v>
      </c>
      <c r="AC4145" s="2" t="s">
        <v>3331</v>
      </c>
      <c r="AI4145" s="2"/>
      <c r="AK4145" s="2">
        <f t="shared" si="640"/>
        <v>110</v>
      </c>
      <c r="AL4145" s="5">
        <f t="shared" si="641"/>
        <v>0.27500000000000002</v>
      </c>
    </row>
    <row r="4146" spans="1:38" x14ac:dyDescent="0.2">
      <c r="A4146" s="8">
        <v>2026</v>
      </c>
      <c r="B4146" s="8">
        <v>6</v>
      </c>
      <c r="C4146" s="8" t="s">
        <v>3293</v>
      </c>
      <c r="D4146" s="2" t="s">
        <v>3328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287</v>
      </c>
      <c r="R4146" s="2" t="s">
        <v>288</v>
      </c>
      <c r="S4146" s="9">
        <v>1</v>
      </c>
      <c r="T4146" s="10">
        <v>5590</v>
      </c>
      <c r="U4146" s="2">
        <f t="shared" si="638"/>
        <v>1285.7</v>
      </c>
      <c r="V4146" s="10">
        <f t="shared" si="639"/>
        <v>6875.7</v>
      </c>
      <c r="W4146" s="2">
        <v>4275.9799999999996</v>
      </c>
      <c r="X4146" s="5">
        <f t="shared" si="637"/>
        <v>0.23506618962432924</v>
      </c>
      <c r="Z4146" s="2" t="s">
        <v>104</v>
      </c>
      <c r="AA4146" s="2" t="s">
        <v>616</v>
      </c>
      <c r="AB4146" s="2" t="s">
        <v>3172</v>
      </c>
      <c r="AC4146" s="2" t="s">
        <v>114</v>
      </c>
      <c r="AF4146" s="2">
        <f>AJ4146</f>
        <v>0</v>
      </c>
      <c r="AG4146" s="2">
        <f>4131.6+144.38</f>
        <v>4275.9800000000005</v>
      </c>
      <c r="AI4146" s="2"/>
      <c r="AJ4146" s="2">
        <f>AI4146*T4146</f>
        <v>0</v>
      </c>
      <c r="AK4146" s="2">
        <f t="shared" si="640"/>
        <v>1314.0200000000004</v>
      </c>
      <c r="AL4146" s="5">
        <f t="shared" si="641"/>
        <v>0.23506618962432924</v>
      </c>
    </row>
    <row r="4147" spans="1:38" x14ac:dyDescent="0.2">
      <c r="A4147" s="8">
        <v>2026</v>
      </c>
      <c r="B4147" s="8">
        <v>6</v>
      </c>
      <c r="C4147" s="8" t="s">
        <v>3293</v>
      </c>
      <c r="D4147" s="2" t="s">
        <v>3328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114</v>
      </c>
      <c r="Q4147" s="2" t="s">
        <v>838</v>
      </c>
      <c r="R4147" s="2" t="s">
        <v>839</v>
      </c>
      <c r="S4147" s="9">
        <v>1</v>
      </c>
      <c r="T4147" s="10">
        <v>4440</v>
      </c>
      <c r="U4147" s="2">
        <f t="shared" si="638"/>
        <v>1021.2</v>
      </c>
      <c r="V4147" s="10">
        <f t="shared" si="639"/>
        <v>5461.2</v>
      </c>
      <c r="W4147" s="2">
        <v>3345.125</v>
      </c>
      <c r="X4147" s="5">
        <f t="shared" si="637"/>
        <v>0.24659346846846847</v>
      </c>
      <c r="Z4147" s="2" t="s">
        <v>104</v>
      </c>
      <c r="AA4147" s="2" t="s">
        <v>150</v>
      </c>
      <c r="AB4147" s="2" t="s">
        <v>151</v>
      </c>
      <c r="AC4147" s="2" t="s">
        <v>114</v>
      </c>
      <c r="AF4147" s="2">
        <f>AJ4147</f>
        <v>0</v>
      </c>
      <c r="AG4147" s="2">
        <v>3345.125</v>
      </c>
      <c r="AI4147" s="2"/>
      <c r="AJ4147" s="2">
        <f>AI4147*T4147</f>
        <v>0</v>
      </c>
      <c r="AK4147" s="2">
        <f t="shared" si="640"/>
        <v>1094.875</v>
      </c>
      <c r="AL4147" s="5">
        <f t="shared" si="641"/>
        <v>0.24659346846846847</v>
      </c>
    </row>
    <row r="4148" spans="1:38" x14ac:dyDescent="0.2">
      <c r="A4148" s="8">
        <v>2026</v>
      </c>
      <c r="B4148" s="8">
        <v>6</v>
      </c>
      <c r="C4148" s="8" t="s">
        <v>3293</v>
      </c>
      <c r="D4148" s="2" t="s">
        <v>3328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1608</v>
      </c>
      <c r="Q4148" s="2" t="s">
        <v>3056</v>
      </c>
      <c r="R4148" s="2" t="s">
        <v>3057</v>
      </c>
      <c r="S4148" s="9">
        <v>2</v>
      </c>
      <c r="T4148" s="10">
        <v>10000</v>
      </c>
      <c r="U4148" s="2">
        <f t="shared" si="638"/>
        <v>2300</v>
      </c>
      <c r="V4148" s="10">
        <f t="shared" si="639"/>
        <v>12300</v>
      </c>
      <c r="W4148" s="2">
        <f>3681.98*2</f>
        <v>7363.96</v>
      </c>
      <c r="X4148" s="5">
        <f t="shared" si="637"/>
        <v>0.263604</v>
      </c>
      <c r="Z4148" s="2" t="s">
        <v>104</v>
      </c>
      <c r="AA4148" s="2" t="s">
        <v>264</v>
      </c>
      <c r="AB4148" s="2" t="s">
        <v>1095</v>
      </c>
      <c r="AC4148" s="2" t="s">
        <v>1608</v>
      </c>
      <c r="AF4148" s="2">
        <f>AJ4148</f>
        <v>0</v>
      </c>
      <c r="AG4148" s="2">
        <v>3681.98</v>
      </c>
      <c r="AI4148" s="2"/>
      <c r="AJ4148" s="2">
        <f>AI4148*T4148</f>
        <v>0</v>
      </c>
      <c r="AK4148" s="2">
        <f t="shared" si="640"/>
        <v>2636.04</v>
      </c>
      <c r="AL4148" s="5">
        <f t="shared" si="641"/>
        <v>0.263604</v>
      </c>
    </row>
    <row r="4149" spans="1:38" x14ac:dyDescent="0.2">
      <c r="A4149" s="8">
        <v>2026</v>
      </c>
      <c r="B4149" s="8">
        <v>6</v>
      </c>
      <c r="C4149" s="8" t="s">
        <v>3293</v>
      </c>
      <c r="D4149" s="2" t="s">
        <v>3328</v>
      </c>
      <c r="E4149" s="2" t="s">
        <v>38</v>
      </c>
      <c r="F4149" s="2" t="s">
        <v>39</v>
      </c>
      <c r="L4149" s="2" t="s">
        <v>99</v>
      </c>
      <c r="M4149" s="2" t="s">
        <v>41</v>
      </c>
      <c r="O4149" s="2" t="s">
        <v>3168</v>
      </c>
      <c r="P4149" s="2" t="s">
        <v>101</v>
      </c>
      <c r="Q4149" s="2" t="s">
        <v>1096</v>
      </c>
      <c r="R4149" s="2" t="s">
        <v>1097</v>
      </c>
      <c r="S4149" s="9">
        <v>1</v>
      </c>
      <c r="T4149" s="10">
        <v>2620</v>
      </c>
      <c r="U4149" s="2">
        <f t="shared" si="638"/>
        <v>602.6</v>
      </c>
      <c r="V4149" s="10">
        <f t="shared" si="639"/>
        <v>3222.6</v>
      </c>
      <c r="W4149" s="2">
        <v>1978.46</v>
      </c>
      <c r="X4149" s="5">
        <f t="shared" si="637"/>
        <v>0.24486259541984731</v>
      </c>
      <c r="Z4149" s="2" t="s">
        <v>104</v>
      </c>
      <c r="AA4149" s="2" t="s">
        <v>105</v>
      </c>
      <c r="AB4149" s="2" t="s">
        <v>106</v>
      </c>
      <c r="AC4149" s="2" t="s">
        <v>101</v>
      </c>
      <c r="AF4149" s="2">
        <f>AJ4149</f>
        <v>0</v>
      </c>
      <c r="AG4149" s="2">
        <v>1978.46</v>
      </c>
      <c r="AI4149" s="2"/>
      <c r="AJ4149" s="2">
        <f>AI4149*T4149</f>
        <v>0</v>
      </c>
      <c r="AK4149" s="2">
        <f t="shared" si="640"/>
        <v>641.54</v>
      </c>
      <c r="AL4149" s="5">
        <f t="shared" si="641"/>
        <v>0.24486259541984731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1547</v>
      </c>
      <c r="R4150" s="2" t="s">
        <v>1548</v>
      </c>
      <c r="S4150" s="9">
        <v>1</v>
      </c>
      <c r="T4150" s="10">
        <v>499</v>
      </c>
      <c r="U4150" s="2">
        <f t="shared" si="638"/>
        <v>114.77000000000001</v>
      </c>
      <c r="V4150" s="10">
        <f t="shared" si="639"/>
        <v>613.77</v>
      </c>
      <c r="W4150" s="2">
        <v>297</v>
      </c>
      <c r="X4150" s="5">
        <f t="shared" si="637"/>
        <v>0.40480961923847697</v>
      </c>
      <c r="Z4150" s="2" t="s">
        <v>104</v>
      </c>
      <c r="AA4150" s="2" t="s">
        <v>387</v>
      </c>
      <c r="AB4150" s="2" t="s">
        <v>388</v>
      </c>
      <c r="AC4150" s="2" t="s">
        <v>389</v>
      </c>
      <c r="AI4150" s="2"/>
      <c r="AK4150" s="2">
        <f t="shared" si="640"/>
        <v>202</v>
      </c>
      <c r="AL4150" s="5">
        <f t="shared" si="641"/>
        <v>0.40480961923847697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399</v>
      </c>
      <c r="R4151" s="2" t="s">
        <v>400</v>
      </c>
      <c r="S4151" s="9">
        <v>2</v>
      </c>
      <c r="T4151" s="10">
        <v>0</v>
      </c>
      <c r="U4151" s="2">
        <f t="shared" si="638"/>
        <v>0</v>
      </c>
      <c r="V4151" s="10">
        <f t="shared" si="639"/>
        <v>0</v>
      </c>
      <c r="W4151" s="2">
        <f>14.5099*S4151</f>
        <v>29.0198</v>
      </c>
      <c r="X4151" s="18">
        <v>-1</v>
      </c>
      <c r="Z4151" s="2" t="s">
        <v>3226</v>
      </c>
      <c r="AA4151" s="2" t="s">
        <v>46</v>
      </c>
      <c r="AB4151" s="2" t="s">
        <v>60</v>
      </c>
      <c r="AC4151" s="2" t="s">
        <v>3331</v>
      </c>
      <c r="AI4151" s="2"/>
      <c r="AK4151" s="2">
        <f>T4151+(W4151)</f>
        <v>29.0198</v>
      </c>
      <c r="AL4151" s="18">
        <v>-1</v>
      </c>
    </row>
    <row r="4152" spans="1:38" x14ac:dyDescent="0.2">
      <c r="A4152" s="8">
        <v>2026</v>
      </c>
      <c r="B4152" s="8">
        <v>6</v>
      </c>
      <c r="C4152" s="8"/>
      <c r="D4152" s="2" t="s">
        <v>797</v>
      </c>
      <c r="P4152" s="2" t="s">
        <v>282</v>
      </c>
      <c r="Q4152" s="2" t="s">
        <v>401</v>
      </c>
      <c r="R4152" s="2" t="s">
        <v>402</v>
      </c>
      <c r="S4152" s="9">
        <v>2</v>
      </c>
      <c r="T4152" s="10">
        <v>0</v>
      </c>
      <c r="U4152" s="2">
        <f t="shared" si="638"/>
        <v>0</v>
      </c>
      <c r="V4152" s="10">
        <f t="shared" si="639"/>
        <v>0</v>
      </c>
      <c r="W4152" s="2">
        <f>14.5099*S4152</f>
        <v>29.0198</v>
      </c>
      <c r="X4152" s="19">
        <v>-1</v>
      </c>
      <c r="Z4152" s="2" t="s">
        <v>3226</v>
      </c>
      <c r="AA4152" s="2" t="s">
        <v>46</v>
      </c>
      <c r="AB4152" s="2" t="s">
        <v>60</v>
      </c>
      <c r="AC4152" s="2" t="s">
        <v>3331</v>
      </c>
      <c r="AI4152" s="2"/>
      <c r="AK4152" s="2">
        <f>T4152-W4152</f>
        <v>-29.0198</v>
      </c>
      <c r="AL4152" s="19">
        <v>-1</v>
      </c>
    </row>
    <row r="4153" spans="1:38" x14ac:dyDescent="0.2">
      <c r="A4153" s="8">
        <v>2026</v>
      </c>
      <c r="B4153" s="8">
        <v>6</v>
      </c>
      <c r="C4153" s="8"/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P4153" s="2" t="s">
        <v>43</v>
      </c>
      <c r="Q4153" s="2" t="s">
        <v>54</v>
      </c>
      <c r="R4153" s="2" t="s">
        <v>55</v>
      </c>
      <c r="S4153" s="9">
        <v>2</v>
      </c>
      <c r="T4153" s="10">
        <v>36</v>
      </c>
      <c r="U4153" s="2">
        <f t="shared" si="638"/>
        <v>8.2800000000000011</v>
      </c>
      <c r="V4153" s="10">
        <f t="shared" si="639"/>
        <v>44.28</v>
      </c>
      <c r="W4153" s="2">
        <f>10.6*S4153</f>
        <v>21.2</v>
      </c>
      <c r="X4153" s="5">
        <f t="shared" ref="X4153:X4189" si="642">(T4153-W4153)/T4153</f>
        <v>0.41111111111111115</v>
      </c>
      <c r="Z4153" s="2" t="s">
        <v>3226</v>
      </c>
      <c r="AA4153" s="2" t="s">
        <v>46</v>
      </c>
      <c r="AB4153" s="2" t="s">
        <v>56</v>
      </c>
      <c r="AC4153" s="2" t="s">
        <v>57</v>
      </c>
      <c r="AI4153" s="2"/>
      <c r="AK4153" s="2">
        <f t="shared" ref="AK4153" si="643">T4153-W4153</f>
        <v>14.8</v>
      </c>
      <c r="AL4153" s="5">
        <f t="shared" ref="AL4153" si="644">(T4153-W4153)/T4153</f>
        <v>0.41111111111111115</v>
      </c>
    </row>
    <row r="4154" spans="1:38" x14ac:dyDescent="0.2">
      <c r="A4154" s="8">
        <v>2026</v>
      </c>
      <c r="B4154" s="8">
        <v>6</v>
      </c>
      <c r="C4154" s="8"/>
      <c r="D4154" s="2" t="s">
        <v>415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416</v>
      </c>
      <c r="J4154" s="2" t="s">
        <v>417</v>
      </c>
      <c r="L4154" s="2" t="s">
        <v>418</v>
      </c>
      <c r="P4154" s="2" t="s">
        <v>169</v>
      </c>
      <c r="Q4154" s="2" t="s">
        <v>170</v>
      </c>
      <c r="R4154" s="2" t="s">
        <v>170</v>
      </c>
      <c r="S4154" s="9">
        <v>1</v>
      </c>
      <c r="T4154" s="10">
        <v>8</v>
      </c>
      <c r="U4154" s="2">
        <f t="shared" si="638"/>
        <v>1.84</v>
      </c>
      <c r="V4154" s="10">
        <f t="shared" si="639"/>
        <v>9.84</v>
      </c>
      <c r="W4154" s="2">
        <v>6</v>
      </c>
      <c r="X4154" s="5">
        <f t="shared" si="642"/>
        <v>0.25</v>
      </c>
      <c r="Z4154" s="2" t="s">
        <v>169</v>
      </c>
      <c r="AA4154" s="2" t="s">
        <v>169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351</v>
      </c>
      <c r="R4155" s="2" t="s">
        <v>352</v>
      </c>
      <c r="S4155" s="9">
        <v>3</v>
      </c>
      <c r="T4155" s="10">
        <v>63</v>
      </c>
      <c r="U4155" s="2">
        <f t="shared" si="638"/>
        <v>14.49</v>
      </c>
      <c r="V4155" s="10">
        <f t="shared" si="639"/>
        <v>77.489999999999995</v>
      </c>
      <c r="W4155" s="2">
        <f>10.67*S4155</f>
        <v>32.01</v>
      </c>
      <c r="X4155" s="5">
        <f t="shared" si="642"/>
        <v>0.49190476190476196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ref="AK4155:AK4172" si="645">T4155-W4155</f>
        <v>30.990000000000002</v>
      </c>
      <c r="AL4155" s="5">
        <f t="shared" ref="AL4155:AL4172" si="646">(T4155-W4155)/T4155</f>
        <v>0.49190476190476196</v>
      </c>
    </row>
    <row r="4156" spans="1:38" x14ac:dyDescent="0.2">
      <c r="A4156" s="8">
        <v>2026</v>
      </c>
      <c r="B4156" s="8">
        <v>6</v>
      </c>
      <c r="C4156" s="8"/>
      <c r="D4156" s="2" t="s">
        <v>1015</v>
      </c>
      <c r="E4156" s="2" t="s">
        <v>108</v>
      </c>
      <c r="F4156" s="2" t="s">
        <v>477</v>
      </c>
      <c r="G4156" s="2">
        <v>503815284</v>
      </c>
      <c r="H4156" s="2" t="s">
        <v>40</v>
      </c>
      <c r="I4156" s="2" t="s">
        <v>156</v>
      </c>
      <c r="J4156" s="2" t="s">
        <v>2538</v>
      </c>
      <c r="L4156" s="2" t="s">
        <v>99</v>
      </c>
      <c r="M4156" s="2" t="s">
        <v>80</v>
      </c>
      <c r="P4156" s="2" t="s">
        <v>43</v>
      </c>
      <c r="Q4156" s="2" t="s">
        <v>160</v>
      </c>
      <c r="R4156" s="2" t="s">
        <v>161</v>
      </c>
      <c r="S4156" s="9">
        <v>3</v>
      </c>
      <c r="T4156" s="10">
        <v>27</v>
      </c>
      <c r="U4156" s="2">
        <f t="shared" si="638"/>
        <v>6.21</v>
      </c>
      <c r="V4156" s="10">
        <f t="shared" si="639"/>
        <v>33.21</v>
      </c>
      <c r="W4156" s="2">
        <f>3.7358*S4156</f>
        <v>11.2074</v>
      </c>
      <c r="X4156" s="5">
        <f t="shared" si="642"/>
        <v>0.58491111111111116</v>
      </c>
      <c r="Z4156" s="2" t="s">
        <v>3226</v>
      </c>
      <c r="AA4156" s="2" t="s">
        <v>46</v>
      </c>
      <c r="AB4156" s="2" t="s">
        <v>47</v>
      </c>
      <c r="AC4156" s="2" t="s">
        <v>57</v>
      </c>
      <c r="AI4156" s="2"/>
      <c r="AK4156" s="2">
        <f t="shared" si="645"/>
        <v>15.7926</v>
      </c>
      <c r="AL4156" s="5">
        <f t="shared" si="646"/>
        <v>0.58491111111111116</v>
      </c>
    </row>
    <row r="4157" spans="1:38" x14ac:dyDescent="0.2">
      <c r="A4157" s="8">
        <v>2026</v>
      </c>
      <c r="B4157" s="8">
        <v>6</v>
      </c>
      <c r="C4157" s="8"/>
      <c r="D4157" s="2" t="s">
        <v>1373</v>
      </c>
      <c r="M4157" s="2" t="s">
        <v>40</v>
      </c>
      <c r="P4157" s="2" t="s">
        <v>114</v>
      </c>
      <c r="Q4157" s="2" t="s">
        <v>373</v>
      </c>
      <c r="R4157" s="2" t="s">
        <v>374</v>
      </c>
      <c r="S4157" s="9">
        <v>1</v>
      </c>
      <c r="T4157" s="10">
        <v>41.96</v>
      </c>
      <c r="U4157" s="2">
        <f t="shared" si="638"/>
        <v>9.6508000000000003</v>
      </c>
      <c r="V4157" s="10">
        <f t="shared" si="639"/>
        <v>51.610799999999998</v>
      </c>
      <c r="W4157" s="2">
        <f>23.042*S4157</f>
        <v>23.042000000000002</v>
      </c>
      <c r="X4157" s="5">
        <f t="shared" si="642"/>
        <v>0.45085795996186839</v>
      </c>
      <c r="Z4157" s="2" t="s">
        <v>117</v>
      </c>
      <c r="AA4157" s="2" t="s">
        <v>118</v>
      </c>
      <c r="AB4157" s="2" t="s">
        <v>119</v>
      </c>
      <c r="AC4157" s="2" t="s">
        <v>114</v>
      </c>
      <c r="AI4157" s="2"/>
      <c r="AK4157" s="2">
        <f t="shared" si="645"/>
        <v>18.917999999999999</v>
      </c>
      <c r="AL4157" s="5">
        <f t="shared" si="646"/>
        <v>0.45085795996186839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399</v>
      </c>
      <c r="R4158" s="2" t="s">
        <v>400</v>
      </c>
      <c r="S4158" s="9">
        <v>20</v>
      </c>
      <c r="T4158" s="10">
        <v>400</v>
      </c>
      <c r="U4158" s="2">
        <f t="shared" si="638"/>
        <v>92</v>
      </c>
      <c r="V4158" s="10">
        <f t="shared" si="639"/>
        <v>492</v>
      </c>
      <c r="W4158" s="2">
        <f>14.5099*S4158</f>
        <v>290.19799999999998</v>
      </c>
      <c r="X4158" s="5">
        <f t="shared" si="642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3331</v>
      </c>
      <c r="AI4158" s="2"/>
      <c r="AK4158" s="2">
        <f t="shared" si="645"/>
        <v>109.80200000000002</v>
      </c>
      <c r="AL4158" s="5">
        <f t="shared" si="646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1553</v>
      </c>
      <c r="E4159" s="2" t="s">
        <v>108</v>
      </c>
      <c r="F4159" s="2" t="s">
        <v>717</v>
      </c>
      <c r="G4159" s="2">
        <v>500975914</v>
      </c>
      <c r="H4159" s="2" t="s">
        <v>41</v>
      </c>
      <c r="I4159" s="2" t="s">
        <v>1554</v>
      </c>
      <c r="J4159" s="2" t="s">
        <v>1555</v>
      </c>
      <c r="L4159" s="2" t="s">
        <v>177</v>
      </c>
      <c r="M4159" s="2" t="s">
        <v>41</v>
      </c>
      <c r="P4159" s="2" t="s">
        <v>282</v>
      </c>
      <c r="Q4159" s="2" t="s">
        <v>401</v>
      </c>
      <c r="R4159" s="2" t="s">
        <v>402</v>
      </c>
      <c r="S4159" s="9">
        <v>20</v>
      </c>
      <c r="T4159" s="10">
        <v>400</v>
      </c>
      <c r="U4159" s="2">
        <f t="shared" si="638"/>
        <v>92</v>
      </c>
      <c r="V4159" s="10">
        <f t="shared" si="639"/>
        <v>492</v>
      </c>
      <c r="W4159" s="2">
        <f>14.5099*S4159</f>
        <v>290.19799999999998</v>
      </c>
      <c r="X4159" s="5">
        <f t="shared" si="642"/>
        <v>0.27450500000000005</v>
      </c>
      <c r="Z4159" s="2" t="s">
        <v>3226</v>
      </c>
      <c r="AA4159" s="2" t="s">
        <v>46</v>
      </c>
      <c r="AB4159" s="2" t="s">
        <v>60</v>
      </c>
      <c r="AC4159" s="2" t="s">
        <v>3331</v>
      </c>
      <c r="AI4159" s="2"/>
      <c r="AK4159" s="2">
        <f t="shared" si="645"/>
        <v>109.80200000000002</v>
      </c>
      <c r="AL4159" s="5">
        <f t="shared" si="646"/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O4160" s="2" t="s">
        <v>3194</v>
      </c>
      <c r="P4160" s="2" t="s">
        <v>72</v>
      </c>
      <c r="Q4160" s="2" t="s">
        <v>533</v>
      </c>
      <c r="R4160" s="2" t="s">
        <v>534</v>
      </c>
      <c r="S4160" s="9">
        <v>1</v>
      </c>
      <c r="T4160" s="10">
        <v>200</v>
      </c>
      <c r="U4160" s="2">
        <f t="shared" si="638"/>
        <v>46</v>
      </c>
      <c r="V4160" s="10">
        <f t="shared" si="639"/>
        <v>246</v>
      </c>
      <c r="W4160" s="2">
        <f>110.125+11.77</f>
        <v>121.895</v>
      </c>
      <c r="X4160" s="5">
        <f t="shared" si="642"/>
        <v>0.39052500000000001</v>
      </c>
      <c r="Z4160" s="2" t="s">
        <v>3226</v>
      </c>
      <c r="AA4160" s="2" t="s">
        <v>75</v>
      </c>
      <c r="AB4160" s="2" t="s">
        <v>76</v>
      </c>
      <c r="AC4160" s="2" t="s">
        <v>77</v>
      </c>
      <c r="AF4160" s="2">
        <f>AJ4160</f>
        <v>0</v>
      </c>
      <c r="AG4160" s="2">
        <f>110.125+11.77</f>
        <v>121.895</v>
      </c>
      <c r="AH4160" s="2">
        <v>220</v>
      </c>
      <c r="AI4160" s="2"/>
      <c r="AJ4160" s="2">
        <f t="shared" ref="AJ4160:AJ4165" si="647">AI4160*T4160</f>
        <v>0</v>
      </c>
      <c r="AK4160" s="2">
        <f t="shared" si="645"/>
        <v>78.105000000000004</v>
      </c>
      <c r="AL4160" s="5">
        <f t="shared" si="646"/>
        <v>0.39052500000000001</v>
      </c>
    </row>
    <row r="4161" spans="1:38" x14ac:dyDescent="0.2">
      <c r="A4161" s="8">
        <v>2026</v>
      </c>
      <c r="B4161" s="8">
        <v>6</v>
      </c>
      <c r="C4161" s="8"/>
      <c r="D4161" s="2" t="s">
        <v>1376</v>
      </c>
      <c r="E4161" s="2" t="s">
        <v>183</v>
      </c>
      <c r="F4161" s="2" t="s">
        <v>366</v>
      </c>
      <c r="L4161" s="2" t="s">
        <v>571</v>
      </c>
      <c r="M4161" s="2" t="s">
        <v>80</v>
      </c>
      <c r="P4161" s="2" t="s">
        <v>93</v>
      </c>
      <c r="Q4161" s="2" t="s">
        <v>94</v>
      </c>
      <c r="R4161" s="2" t="s">
        <v>95</v>
      </c>
      <c r="S4161" s="9">
        <v>1</v>
      </c>
      <c r="T4161" s="10">
        <v>1.48</v>
      </c>
      <c r="U4161" s="2">
        <f t="shared" si="638"/>
        <v>0.34040000000000004</v>
      </c>
      <c r="V4161" s="10">
        <f t="shared" si="639"/>
        <v>1.8204</v>
      </c>
      <c r="W4161" s="2">
        <f>1.48*S4161</f>
        <v>1.48</v>
      </c>
      <c r="X4161" s="5">
        <f t="shared" si="642"/>
        <v>0</v>
      </c>
      <c r="Z4161" s="2" t="s">
        <v>3226</v>
      </c>
      <c r="AA4161" s="2" t="s">
        <v>96</v>
      </c>
      <c r="AB4161" s="2" t="s">
        <v>76</v>
      </c>
      <c r="AC4161" s="2" t="s">
        <v>93</v>
      </c>
      <c r="AF4161" s="2">
        <f>AJ4161</f>
        <v>0</v>
      </c>
      <c r="AG4161" s="2">
        <v>1.48</v>
      </c>
      <c r="AH4161" s="2">
        <v>1.48</v>
      </c>
      <c r="AI4161" s="2"/>
      <c r="AJ4161" s="2">
        <f t="shared" si="647"/>
        <v>0</v>
      </c>
      <c r="AK4161" s="2">
        <f t="shared" si="645"/>
        <v>0</v>
      </c>
      <c r="AL4161" s="5">
        <f t="shared" si="646"/>
        <v>0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188</v>
      </c>
      <c r="R4162" s="2" t="s">
        <v>189</v>
      </c>
      <c r="S4162" s="9">
        <v>1</v>
      </c>
      <c r="T4162" s="10">
        <v>137</v>
      </c>
      <c r="U4162" s="2">
        <f t="shared" si="638"/>
        <v>31.51</v>
      </c>
      <c r="V4162" s="2">
        <f t="shared" si="639"/>
        <v>168.51</v>
      </c>
      <c r="W4162" s="2">
        <f>T4162*40%</f>
        <v>54.800000000000004</v>
      </c>
      <c r="X4162" s="5">
        <f t="shared" si="642"/>
        <v>0.59999999999999987</v>
      </c>
      <c r="Z4162" s="2" t="s">
        <v>117</v>
      </c>
      <c r="AA4162" s="2" t="s">
        <v>190</v>
      </c>
      <c r="AB4162" s="2" t="s">
        <v>189</v>
      </c>
      <c r="AC4162" s="2" t="s">
        <v>40</v>
      </c>
      <c r="AG4162" s="2">
        <f>W4162</f>
        <v>54.800000000000004</v>
      </c>
      <c r="AI4162" s="2"/>
      <c r="AJ4162" s="2">
        <f t="shared" si="647"/>
        <v>0</v>
      </c>
      <c r="AK4162" s="2">
        <f t="shared" si="645"/>
        <v>82.199999999999989</v>
      </c>
      <c r="AL4162" s="5">
        <f t="shared" si="646"/>
        <v>0.59999999999999987</v>
      </c>
    </row>
    <row r="4163" spans="1:38" x14ac:dyDescent="0.2">
      <c r="A4163" s="8">
        <v>2026</v>
      </c>
      <c r="B4163" s="8">
        <v>6</v>
      </c>
      <c r="C4163" s="8"/>
      <c r="D4163" s="2" t="s">
        <v>3101</v>
      </c>
      <c r="M4163" s="2" t="s">
        <v>40</v>
      </c>
      <c r="P4163" s="2" t="s">
        <v>187</v>
      </c>
      <c r="Q4163" s="2" t="s">
        <v>191</v>
      </c>
      <c r="R4163" s="2" t="s">
        <v>190</v>
      </c>
      <c r="S4163" s="9">
        <v>1.5</v>
      </c>
      <c r="T4163" s="10">
        <v>82.5</v>
      </c>
      <c r="U4163" s="2">
        <f t="shared" si="638"/>
        <v>18.975000000000001</v>
      </c>
      <c r="V4163" s="2">
        <f t="shared" si="639"/>
        <v>101.47499999999999</v>
      </c>
      <c r="W4163" s="2">
        <f>T4163*50%</f>
        <v>41.25</v>
      </c>
      <c r="X4163" s="5">
        <f t="shared" si="642"/>
        <v>0.5</v>
      </c>
      <c r="Z4163" s="2" t="s">
        <v>117</v>
      </c>
      <c r="AA4163" s="2" t="s">
        <v>190</v>
      </c>
      <c r="AB4163" s="2" t="s">
        <v>190</v>
      </c>
      <c r="AC4163" s="2" t="s">
        <v>40</v>
      </c>
      <c r="AF4163" s="2">
        <f>AJ4163</f>
        <v>0</v>
      </c>
      <c r="AG4163" s="2">
        <f>W4163</f>
        <v>41.25</v>
      </c>
      <c r="AI4163" s="2"/>
      <c r="AJ4163" s="2">
        <f t="shared" si="647"/>
        <v>0</v>
      </c>
      <c r="AK4163" s="2">
        <f t="shared" si="645"/>
        <v>41.25</v>
      </c>
      <c r="AL4163" s="5">
        <f t="shared" si="646"/>
        <v>0.5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72</v>
      </c>
      <c r="Q4164" s="2" t="s">
        <v>380</v>
      </c>
      <c r="R4164" s="2" t="s">
        <v>381</v>
      </c>
      <c r="S4164" s="9">
        <v>1</v>
      </c>
      <c r="T4164" s="10">
        <v>270</v>
      </c>
      <c r="U4164" s="2">
        <f t="shared" si="638"/>
        <v>62.1</v>
      </c>
      <c r="V4164" s="10">
        <f t="shared" si="639"/>
        <v>332.1</v>
      </c>
      <c r="W4164" s="2">
        <v>139.46</v>
      </c>
      <c r="X4164" s="5">
        <f t="shared" si="642"/>
        <v>0.48348148148148146</v>
      </c>
      <c r="Z4164" s="2" t="s">
        <v>3226</v>
      </c>
      <c r="AA4164" s="2" t="s">
        <v>75</v>
      </c>
      <c r="AB4164" s="2" t="s">
        <v>76</v>
      </c>
      <c r="AC4164" s="2" t="s">
        <v>77</v>
      </c>
      <c r="AF4164" s="2">
        <f>AJ4164</f>
        <v>0</v>
      </c>
      <c r="AG4164" s="2">
        <v>125.51600000000001</v>
      </c>
      <c r="AH4164" s="2">
        <v>220</v>
      </c>
      <c r="AI4164" s="2"/>
      <c r="AJ4164" s="2">
        <f t="shared" si="647"/>
        <v>0</v>
      </c>
      <c r="AK4164" s="2">
        <f t="shared" si="645"/>
        <v>130.54</v>
      </c>
      <c r="AL4164" s="5">
        <f t="shared" si="646"/>
        <v>0.48348148148148146</v>
      </c>
    </row>
    <row r="4165" spans="1:38" x14ac:dyDescent="0.2">
      <c r="A4165" s="8">
        <v>2026</v>
      </c>
      <c r="B4165" s="8">
        <v>6</v>
      </c>
      <c r="C4165" s="8"/>
      <c r="D4165" s="2" t="s">
        <v>1242</v>
      </c>
      <c r="P4165" s="2" t="s">
        <v>93</v>
      </c>
      <c r="Q4165" s="2" t="s">
        <v>94</v>
      </c>
      <c r="R4165" s="2" t="s">
        <v>95</v>
      </c>
      <c r="S4165" s="9">
        <v>1</v>
      </c>
      <c r="T4165" s="10">
        <v>1.48</v>
      </c>
      <c r="U4165" s="2">
        <f t="shared" si="638"/>
        <v>0.34040000000000004</v>
      </c>
      <c r="V4165" s="10">
        <f t="shared" si="639"/>
        <v>1.8204</v>
      </c>
      <c r="W4165" s="2">
        <f>1.48*S4165</f>
        <v>1.48</v>
      </c>
      <c r="X4165" s="5">
        <f t="shared" si="642"/>
        <v>0</v>
      </c>
      <c r="Z4165" s="2" t="s">
        <v>3226</v>
      </c>
      <c r="AA4165" s="2" t="s">
        <v>96</v>
      </c>
      <c r="AB4165" s="2" t="s">
        <v>76</v>
      </c>
      <c r="AC4165" s="2" t="s">
        <v>93</v>
      </c>
      <c r="AF4165" s="2">
        <f>AJ4165</f>
        <v>0</v>
      </c>
      <c r="AG4165" s="2">
        <v>1.48</v>
      </c>
      <c r="AH4165" s="2">
        <v>1.48</v>
      </c>
      <c r="AI4165" s="2"/>
      <c r="AJ4165" s="2">
        <f t="shared" si="647"/>
        <v>0</v>
      </c>
      <c r="AK4165" s="2">
        <f t="shared" si="645"/>
        <v>0</v>
      </c>
      <c r="AL4165" s="5">
        <f t="shared" si="646"/>
        <v>0</v>
      </c>
    </row>
    <row r="4166" spans="1:38" x14ac:dyDescent="0.2">
      <c r="A4166" s="8">
        <v>2026</v>
      </c>
      <c r="B4166" s="8">
        <v>6</v>
      </c>
      <c r="C4166" s="8" t="s">
        <v>3391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114</v>
      </c>
      <c r="Q4166" s="2" t="s">
        <v>779</v>
      </c>
      <c r="R4166" s="2" t="s">
        <v>780</v>
      </c>
      <c r="S4166" s="9">
        <v>2</v>
      </c>
      <c r="T4166" s="10">
        <v>134.72</v>
      </c>
      <c r="U4166" s="2">
        <f t="shared" si="638"/>
        <v>30.985600000000002</v>
      </c>
      <c r="V4166" s="10">
        <f t="shared" si="639"/>
        <v>165.7056</v>
      </c>
      <c r="W4166" s="2">
        <f>36.2258*S4166</f>
        <v>72.451599999999999</v>
      </c>
      <c r="X4166" s="5">
        <f t="shared" si="642"/>
        <v>0.46220605700712591</v>
      </c>
      <c r="Z4166" s="2" t="s">
        <v>117</v>
      </c>
      <c r="AA4166" s="2" t="s">
        <v>118</v>
      </c>
      <c r="AB4166" s="2" t="s">
        <v>119</v>
      </c>
      <c r="AC4166" s="2" t="s">
        <v>114</v>
      </c>
      <c r="AI4166" s="2"/>
      <c r="AK4166" s="2">
        <f t="shared" si="645"/>
        <v>62.2684</v>
      </c>
      <c r="AL4166" s="5">
        <f t="shared" si="646"/>
        <v>0.46220605700712591</v>
      </c>
    </row>
    <row r="4167" spans="1:38" x14ac:dyDescent="0.2">
      <c r="A4167" s="8">
        <v>2026</v>
      </c>
      <c r="B4167" s="8">
        <v>6</v>
      </c>
      <c r="C4167" s="8" t="s">
        <v>3322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188</v>
      </c>
      <c r="R4167" s="2" t="s">
        <v>189</v>
      </c>
      <c r="S4167" s="9">
        <v>4</v>
      </c>
      <c r="T4167" s="10">
        <v>601.5</v>
      </c>
      <c r="U4167" s="2">
        <f t="shared" si="638"/>
        <v>138.345</v>
      </c>
      <c r="V4167" s="2">
        <f t="shared" si="639"/>
        <v>739.84500000000003</v>
      </c>
      <c r="W4167" s="2">
        <f>T4167*40%</f>
        <v>240.60000000000002</v>
      </c>
      <c r="X4167" s="5">
        <f t="shared" si="642"/>
        <v>0.6</v>
      </c>
      <c r="Z4167" s="2" t="s">
        <v>117</v>
      </c>
      <c r="AA4167" s="2" t="s">
        <v>190</v>
      </c>
      <c r="AB4167" s="2" t="s">
        <v>189</v>
      </c>
      <c r="AC4167" s="2" t="s">
        <v>40</v>
      </c>
      <c r="AG4167" s="2">
        <f>W4167</f>
        <v>240.60000000000002</v>
      </c>
      <c r="AI4167" s="2"/>
      <c r="AJ4167" s="2">
        <f>AI4167*T4167</f>
        <v>0</v>
      </c>
      <c r="AK4167" s="2">
        <f t="shared" si="645"/>
        <v>360.9</v>
      </c>
      <c r="AL4167" s="5">
        <f t="shared" si="646"/>
        <v>0.6</v>
      </c>
    </row>
    <row r="4168" spans="1:38" x14ac:dyDescent="0.2">
      <c r="A4168" s="8">
        <v>2026</v>
      </c>
      <c r="B4168" s="8">
        <v>6</v>
      </c>
      <c r="C4168" s="8" t="s">
        <v>3322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187</v>
      </c>
      <c r="Q4168" s="2" t="s">
        <v>191</v>
      </c>
      <c r="R4168" s="2" t="s">
        <v>190</v>
      </c>
      <c r="S4168" s="9">
        <v>7.5</v>
      </c>
      <c r="T4168" s="10">
        <v>371.25</v>
      </c>
      <c r="U4168" s="2">
        <f t="shared" si="638"/>
        <v>85.387500000000003</v>
      </c>
      <c r="V4168" s="2">
        <f t="shared" si="639"/>
        <v>456.63749999999999</v>
      </c>
      <c r="W4168" s="2">
        <f>T4168*50%</f>
        <v>185.625</v>
      </c>
      <c r="X4168" s="5">
        <f t="shared" si="642"/>
        <v>0.5</v>
      </c>
      <c r="Z4168" s="2" t="s">
        <v>117</v>
      </c>
      <c r="AA4168" s="2" t="s">
        <v>190</v>
      </c>
      <c r="AB4168" s="2" t="s">
        <v>190</v>
      </c>
      <c r="AC4168" s="2" t="s">
        <v>40</v>
      </c>
      <c r="AF4168" s="2">
        <f>AJ4168</f>
        <v>0</v>
      </c>
      <c r="AG4168" s="2">
        <f>W4168</f>
        <v>185.625</v>
      </c>
      <c r="AI4168" s="2"/>
      <c r="AJ4168" s="2">
        <f>AI4168*T4168</f>
        <v>0</v>
      </c>
      <c r="AK4168" s="2">
        <f t="shared" si="645"/>
        <v>185.625</v>
      </c>
      <c r="AL4168" s="5">
        <f t="shared" si="646"/>
        <v>0.5</v>
      </c>
    </row>
    <row r="4169" spans="1:38" x14ac:dyDescent="0.2">
      <c r="A4169" s="8">
        <v>2026</v>
      </c>
      <c r="B4169" s="8">
        <v>6</v>
      </c>
      <c r="C4169" s="8" t="s">
        <v>3293</v>
      </c>
      <c r="D4169" s="2" t="s">
        <v>451</v>
      </c>
      <c r="E4169" s="2" t="s">
        <v>108</v>
      </c>
      <c r="F4169" s="2" t="s">
        <v>39</v>
      </c>
      <c r="G4169" s="2">
        <v>506085686</v>
      </c>
      <c r="H4169" s="2" t="s">
        <v>40</v>
      </c>
      <c r="I4169" s="2" t="s">
        <v>452</v>
      </c>
      <c r="J4169" s="2" t="s">
        <v>453</v>
      </c>
      <c r="K4169" s="2">
        <v>917241919</v>
      </c>
      <c r="L4169" s="2" t="s">
        <v>398</v>
      </c>
      <c r="M4169" s="2" t="s">
        <v>40</v>
      </c>
      <c r="P4169" s="2" t="s">
        <v>40</v>
      </c>
      <c r="Q4169" s="2" t="s">
        <v>363</v>
      </c>
      <c r="R4169" s="2" t="s">
        <v>364</v>
      </c>
      <c r="S4169" s="9">
        <v>1</v>
      </c>
      <c r="T4169" s="10">
        <v>27</v>
      </c>
      <c r="U4169" s="2">
        <f t="shared" si="638"/>
        <v>6.21</v>
      </c>
      <c r="V4169" s="10">
        <f t="shared" si="639"/>
        <v>33.21</v>
      </c>
      <c r="X4169" s="5">
        <f t="shared" si="642"/>
        <v>1</v>
      </c>
      <c r="Z4169" s="2" t="s">
        <v>119</v>
      </c>
      <c r="AA4169" s="2" t="s">
        <v>3379</v>
      </c>
      <c r="AI4169" s="2"/>
      <c r="AK4169" s="2">
        <f t="shared" si="645"/>
        <v>27</v>
      </c>
      <c r="AL4169" s="5">
        <f t="shared" si="646"/>
        <v>1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L4170" s="2" t="s">
        <v>461</v>
      </c>
      <c r="M4170" s="2" t="s">
        <v>41</v>
      </c>
      <c r="P4170" s="2" t="s">
        <v>282</v>
      </c>
      <c r="Q4170" s="2" t="s">
        <v>401</v>
      </c>
      <c r="R4170" s="2" t="s">
        <v>402</v>
      </c>
      <c r="S4170" s="9">
        <v>8</v>
      </c>
      <c r="T4170" s="10">
        <v>192</v>
      </c>
      <c r="U4170" s="2">
        <f t="shared" si="638"/>
        <v>44.160000000000004</v>
      </c>
      <c r="V4170" s="10">
        <f t="shared" si="639"/>
        <v>236.16</v>
      </c>
      <c r="W4170" s="2">
        <f>14.5099*S4170</f>
        <v>116.0792</v>
      </c>
      <c r="X4170" s="5">
        <f t="shared" si="642"/>
        <v>0.39542083333333333</v>
      </c>
      <c r="Z4170" s="2" t="s">
        <v>3226</v>
      </c>
      <c r="AA4170" s="2" t="s">
        <v>46</v>
      </c>
      <c r="AB4170" s="2" t="s">
        <v>60</v>
      </c>
      <c r="AC4170" s="2" t="s">
        <v>3331</v>
      </c>
      <c r="AI4170" s="2"/>
      <c r="AK4170" s="2">
        <f t="shared" si="645"/>
        <v>75.9208</v>
      </c>
      <c r="AL4170" s="5">
        <f t="shared" si="646"/>
        <v>0.39542083333333333</v>
      </c>
    </row>
    <row r="4171" spans="1:38" x14ac:dyDescent="0.2">
      <c r="A4171" s="8">
        <v>2026</v>
      </c>
      <c r="B4171" s="8">
        <v>6</v>
      </c>
      <c r="C4171" s="8"/>
      <c r="D4171" s="2" t="s">
        <v>458</v>
      </c>
      <c r="E4171" s="2" t="s">
        <v>108</v>
      </c>
      <c r="F4171" s="2" t="s">
        <v>477</v>
      </c>
      <c r="G4171" s="2">
        <v>507016173</v>
      </c>
      <c r="H4171" s="2" t="s">
        <v>109</v>
      </c>
      <c r="I4171" s="2" t="s">
        <v>459</v>
      </c>
      <c r="J4171" s="2" t="s">
        <v>460</v>
      </c>
      <c r="L4171" s="2" t="s">
        <v>461</v>
      </c>
      <c r="M4171" s="2" t="s">
        <v>41</v>
      </c>
      <c r="P4171" s="2" t="s">
        <v>43</v>
      </c>
      <c r="Q4171" s="2" t="s">
        <v>254</v>
      </c>
      <c r="R4171" s="2" t="s">
        <v>255</v>
      </c>
      <c r="S4171" s="9">
        <v>500</v>
      </c>
      <c r="T4171" s="10">
        <v>70</v>
      </c>
      <c r="U4171" s="2">
        <f t="shared" si="638"/>
        <v>16.100000000000001</v>
      </c>
      <c r="V4171" s="10">
        <f t="shared" si="639"/>
        <v>86.1</v>
      </c>
      <c r="W4171" s="2">
        <f>0.0914*S4171</f>
        <v>45.699999999999996</v>
      </c>
      <c r="X4171" s="5">
        <f t="shared" si="642"/>
        <v>0.3471428571428572</v>
      </c>
      <c r="Z4171" s="2" t="s">
        <v>3226</v>
      </c>
      <c r="AA4171" s="2" t="s">
        <v>46</v>
      </c>
      <c r="AB4171" s="2" t="s">
        <v>60</v>
      </c>
      <c r="AC4171" s="2" t="s">
        <v>57</v>
      </c>
      <c r="AI4171" s="2"/>
      <c r="AK4171" s="2">
        <f t="shared" si="645"/>
        <v>24.300000000000004</v>
      </c>
      <c r="AL4171" s="5">
        <f t="shared" si="646"/>
        <v>0.3471428571428572</v>
      </c>
    </row>
    <row r="4172" spans="1:38" x14ac:dyDescent="0.2">
      <c r="A4172" s="8">
        <v>2026</v>
      </c>
      <c r="B4172" s="8">
        <v>6</v>
      </c>
      <c r="C4172" s="8"/>
      <c r="D4172" s="2" t="s">
        <v>2143</v>
      </c>
      <c r="I4172" s="2" t="s">
        <v>315</v>
      </c>
      <c r="L4172" s="2" t="s">
        <v>99</v>
      </c>
      <c r="M4172" s="2" t="s">
        <v>80</v>
      </c>
      <c r="P4172" s="2" t="s">
        <v>72</v>
      </c>
      <c r="Q4172" s="2" t="s">
        <v>832</v>
      </c>
      <c r="R4172" s="2" t="s">
        <v>74</v>
      </c>
      <c r="S4172" s="9">
        <v>1</v>
      </c>
      <c r="T4172" s="10">
        <v>200</v>
      </c>
      <c r="U4172" s="2">
        <f t="shared" si="638"/>
        <v>46</v>
      </c>
      <c r="V4172" s="10">
        <f t="shared" si="639"/>
        <v>246</v>
      </c>
      <c r="W4172" s="2">
        <v>120.636</v>
      </c>
      <c r="X4172" s="5">
        <f t="shared" si="642"/>
        <v>0.39682000000000001</v>
      </c>
      <c r="Z4172" s="2" t="s">
        <v>3226</v>
      </c>
      <c r="AA4172" s="2" t="s">
        <v>75</v>
      </c>
      <c r="AB4172" s="2" t="s">
        <v>76</v>
      </c>
      <c r="AC4172" s="2" t="s">
        <v>77</v>
      </c>
      <c r="AF4172" s="2">
        <f>AJ4172</f>
        <v>0</v>
      </c>
      <c r="AG4172" s="2">
        <v>125.51600000000001</v>
      </c>
      <c r="AH4172" s="2">
        <v>220</v>
      </c>
      <c r="AI4172" s="2"/>
      <c r="AJ4172" s="2">
        <f>AI4172*T4172</f>
        <v>0</v>
      </c>
      <c r="AK4172" s="2">
        <f t="shared" si="645"/>
        <v>79.364000000000004</v>
      </c>
      <c r="AL4172" s="5">
        <f t="shared" si="646"/>
        <v>0.39682000000000001</v>
      </c>
    </row>
    <row r="4173" spans="1:38" x14ac:dyDescent="0.2">
      <c r="A4173" s="8">
        <v>2026</v>
      </c>
      <c r="B4173" s="8">
        <v>6</v>
      </c>
      <c r="C4173" s="8"/>
      <c r="D4173" s="2" t="s">
        <v>2143</v>
      </c>
      <c r="I4173" s="2" t="s">
        <v>315</v>
      </c>
      <c r="L4173" s="2" t="s">
        <v>99</v>
      </c>
      <c r="M4173" s="2" t="s">
        <v>80</v>
      </c>
      <c r="P4173" s="2" t="s">
        <v>169</v>
      </c>
      <c r="Q4173" s="2" t="s">
        <v>170</v>
      </c>
      <c r="R4173" s="2" t="s">
        <v>170</v>
      </c>
      <c r="S4173" s="9">
        <v>1</v>
      </c>
      <c r="T4173" s="10">
        <v>30</v>
      </c>
      <c r="U4173" s="2">
        <f t="shared" ref="U4173:U4204" si="648">T4173*23%</f>
        <v>6.9</v>
      </c>
      <c r="V4173" s="10">
        <f t="shared" ref="V4173:V4174" si="649">T4173+U4173</f>
        <v>36.9</v>
      </c>
      <c r="W4173" s="2">
        <v>28</v>
      </c>
      <c r="X4173" s="5">
        <f t="shared" si="642"/>
        <v>6.6666666666666666E-2</v>
      </c>
      <c r="Z4173" s="2" t="s">
        <v>169</v>
      </c>
      <c r="AA4173" s="2" t="s">
        <v>169</v>
      </c>
      <c r="AI4173" s="2"/>
      <c r="AL4173" s="2"/>
    </row>
    <row r="4174" spans="1:38" x14ac:dyDescent="0.2">
      <c r="A4174" s="8">
        <v>2026</v>
      </c>
      <c r="B4174" s="8">
        <v>6</v>
      </c>
      <c r="C4174" s="8"/>
      <c r="D4174" s="2" t="s">
        <v>2143</v>
      </c>
      <c r="I4174" s="2" t="s">
        <v>315</v>
      </c>
      <c r="L4174" s="2" t="s">
        <v>99</v>
      </c>
      <c r="M4174" s="2" t="s">
        <v>80</v>
      </c>
      <c r="P4174" s="2" t="s">
        <v>93</v>
      </c>
      <c r="Q4174" s="2" t="s">
        <v>94</v>
      </c>
      <c r="R4174" s="2" t="s">
        <v>95</v>
      </c>
      <c r="S4174" s="9">
        <v>1</v>
      </c>
      <c r="T4174" s="10">
        <v>1.48</v>
      </c>
      <c r="U4174" s="2">
        <f t="shared" si="648"/>
        <v>0.34040000000000004</v>
      </c>
      <c r="V4174" s="10">
        <f t="shared" si="649"/>
        <v>1.8204</v>
      </c>
      <c r="W4174" s="2">
        <f>1.48*S4174</f>
        <v>1.48</v>
      </c>
      <c r="X4174" s="5">
        <f t="shared" si="642"/>
        <v>0</v>
      </c>
      <c r="Z4174" s="2" t="s">
        <v>3226</v>
      </c>
      <c r="AA4174" s="2" t="s">
        <v>96</v>
      </c>
      <c r="AB4174" s="2" t="s">
        <v>76</v>
      </c>
      <c r="AC4174" s="2" t="s">
        <v>93</v>
      </c>
      <c r="AF4174" s="2">
        <f>AJ4174</f>
        <v>0</v>
      </c>
      <c r="AG4174" s="2">
        <v>1.48</v>
      </c>
      <c r="AH4174" s="2">
        <v>1.48</v>
      </c>
      <c r="AI4174" s="2"/>
      <c r="AJ4174" s="2">
        <f>AI4174*T4174</f>
        <v>0</v>
      </c>
      <c r="AK4174" s="2">
        <f t="shared" ref="AK4174:AK4193" si="650">T4174-W4174</f>
        <v>0</v>
      </c>
      <c r="AL4174" s="5">
        <f t="shared" ref="AL4174:AL4190" si="651">(T4174-W4174)/T4174</f>
        <v>0</v>
      </c>
    </row>
    <row r="4175" spans="1:38" x14ac:dyDescent="0.2">
      <c r="A4175" s="8">
        <v>2026</v>
      </c>
      <c r="B4175" s="8">
        <v>6</v>
      </c>
      <c r="C4175" s="8" t="s">
        <v>3293</v>
      </c>
      <c r="D4175" s="2" t="s">
        <v>3397</v>
      </c>
      <c r="E4175" s="2" t="s">
        <v>752</v>
      </c>
      <c r="F4175" s="2" t="s">
        <v>39</v>
      </c>
      <c r="L4175" s="2" t="s">
        <v>133</v>
      </c>
      <c r="M4175" s="2" t="s">
        <v>109</v>
      </c>
      <c r="O4175" s="2" t="s">
        <v>3228</v>
      </c>
      <c r="P4175" s="2" t="s">
        <v>1194</v>
      </c>
      <c r="Q4175" s="2" t="s">
        <v>3058</v>
      </c>
      <c r="R4175" s="2" t="s">
        <v>3059</v>
      </c>
      <c r="S4175" s="9">
        <v>1</v>
      </c>
      <c r="T4175" s="10">
        <v>5990</v>
      </c>
      <c r="U4175" s="2">
        <f t="shared" si="648"/>
        <v>1377.7</v>
      </c>
      <c r="V4175" s="10">
        <f>U4175+T4175</f>
        <v>7367.7</v>
      </c>
      <c r="W4175" s="2">
        <v>4214</v>
      </c>
      <c r="X4175" s="5">
        <f t="shared" si="642"/>
        <v>0.29649415692821368</v>
      </c>
      <c r="Z4175" s="2" t="s">
        <v>104</v>
      </c>
      <c r="AA4175" s="2" t="s">
        <v>2746</v>
      </c>
      <c r="AB4175" s="2" t="s">
        <v>3396</v>
      </c>
      <c r="AC4175" s="2" t="s">
        <v>1194</v>
      </c>
      <c r="AI4175" s="2"/>
      <c r="AK4175" s="2">
        <f t="shared" si="650"/>
        <v>1776</v>
      </c>
      <c r="AL4175" s="5">
        <f t="shared" si="651"/>
        <v>0.29649415692821368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188</v>
      </c>
      <c r="R4176" s="2" t="s">
        <v>189</v>
      </c>
      <c r="S4176" s="9">
        <v>1</v>
      </c>
      <c r="T4176" s="10">
        <v>60</v>
      </c>
      <c r="U4176" s="2">
        <f t="shared" si="648"/>
        <v>13.8</v>
      </c>
      <c r="V4176" s="2">
        <f t="shared" ref="V4176:V4207" si="652">T4176+U4176</f>
        <v>73.8</v>
      </c>
      <c r="W4176" s="2">
        <f>T4176*40%</f>
        <v>24</v>
      </c>
      <c r="X4176" s="5">
        <f t="shared" si="642"/>
        <v>0.6</v>
      </c>
      <c r="Z4176" s="2" t="s">
        <v>117</v>
      </c>
      <c r="AA4176" s="2" t="s">
        <v>190</v>
      </c>
      <c r="AB4176" s="2" t="s">
        <v>189</v>
      </c>
      <c r="AC4176" s="2" t="s">
        <v>40</v>
      </c>
      <c r="AG4176" s="2">
        <f>W4176</f>
        <v>24</v>
      </c>
      <c r="AI4176" s="2"/>
      <c r="AJ4176" s="2">
        <f>AI4176*T4176</f>
        <v>0</v>
      </c>
      <c r="AK4176" s="2">
        <f t="shared" si="650"/>
        <v>36</v>
      </c>
      <c r="AL4176" s="5">
        <f t="shared" si="651"/>
        <v>0.6</v>
      </c>
    </row>
    <row r="4177" spans="1:38" x14ac:dyDescent="0.2">
      <c r="A4177" s="8">
        <v>2026</v>
      </c>
      <c r="B4177" s="8">
        <v>6</v>
      </c>
      <c r="C4177" s="8"/>
      <c r="D4177" s="2" t="s">
        <v>840</v>
      </c>
      <c r="E4177" s="2" t="s">
        <v>108</v>
      </c>
      <c r="F4177" s="2" t="s">
        <v>531</v>
      </c>
      <c r="G4177" s="2">
        <v>504981285</v>
      </c>
      <c r="H4177" s="2" t="s">
        <v>290</v>
      </c>
      <c r="I4177" s="2" t="s">
        <v>841</v>
      </c>
      <c r="J4177" s="2" t="s">
        <v>842</v>
      </c>
      <c r="K4177" s="2">
        <v>932209225</v>
      </c>
      <c r="L4177" s="2" t="s">
        <v>339</v>
      </c>
      <c r="M4177" s="2" t="s">
        <v>40</v>
      </c>
      <c r="P4177" s="2" t="s">
        <v>187</v>
      </c>
      <c r="Q4177" s="2" t="s">
        <v>191</v>
      </c>
      <c r="R4177" s="2" t="s">
        <v>190</v>
      </c>
      <c r="S4177" s="9">
        <v>2</v>
      </c>
      <c r="T4177" s="10">
        <v>110</v>
      </c>
      <c r="U4177" s="2">
        <f t="shared" si="648"/>
        <v>25.3</v>
      </c>
      <c r="V4177" s="2">
        <f t="shared" si="652"/>
        <v>135.30000000000001</v>
      </c>
      <c r="W4177" s="2">
        <f>T4177*50%</f>
        <v>55</v>
      </c>
      <c r="X4177" s="5">
        <f t="shared" si="642"/>
        <v>0.5</v>
      </c>
      <c r="Z4177" s="2" t="s">
        <v>117</v>
      </c>
      <c r="AA4177" s="2" t="s">
        <v>190</v>
      </c>
      <c r="AB4177" s="2" t="s">
        <v>190</v>
      </c>
      <c r="AC4177" s="2" t="s">
        <v>40</v>
      </c>
      <c r="AF4177" s="2">
        <f>AJ4177</f>
        <v>0</v>
      </c>
      <c r="AG4177" s="2">
        <f>W4177</f>
        <v>55</v>
      </c>
      <c r="AI4177" s="2"/>
      <c r="AJ4177" s="2">
        <f>AI4177*T4177</f>
        <v>0</v>
      </c>
      <c r="AK4177" s="2">
        <f t="shared" si="650"/>
        <v>55</v>
      </c>
      <c r="AL4177" s="5">
        <f t="shared" si="651"/>
        <v>0.5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188</v>
      </c>
      <c r="R4178" s="2" t="s">
        <v>189</v>
      </c>
      <c r="S4178" s="9">
        <v>2</v>
      </c>
      <c r="T4178" s="10">
        <v>92</v>
      </c>
      <c r="U4178" s="2">
        <f t="shared" si="648"/>
        <v>21.16</v>
      </c>
      <c r="V4178" s="2">
        <f t="shared" si="652"/>
        <v>113.16</v>
      </c>
      <c r="W4178" s="2">
        <f>T4178*40%</f>
        <v>36.800000000000004</v>
      </c>
      <c r="X4178" s="5">
        <f t="shared" si="642"/>
        <v>0.6</v>
      </c>
      <c r="Z4178" s="2" t="s">
        <v>117</v>
      </c>
      <c r="AA4178" s="2" t="s">
        <v>190</v>
      </c>
      <c r="AB4178" s="2" t="s">
        <v>189</v>
      </c>
      <c r="AC4178" s="2" t="s">
        <v>40</v>
      </c>
      <c r="AG4178" s="2">
        <f>W4178</f>
        <v>36.800000000000004</v>
      </c>
      <c r="AI4178" s="2"/>
      <c r="AJ4178" s="2">
        <f>AI4178*T4178</f>
        <v>0</v>
      </c>
      <c r="AK4178" s="2">
        <f t="shared" si="650"/>
        <v>55.199999999999996</v>
      </c>
      <c r="AL4178" s="5">
        <f t="shared" si="651"/>
        <v>0.6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M4179" s="2" t="s">
        <v>40</v>
      </c>
      <c r="P4179" s="2" t="s">
        <v>187</v>
      </c>
      <c r="Q4179" s="2" t="s">
        <v>191</v>
      </c>
      <c r="R4179" s="2" t="s">
        <v>190</v>
      </c>
      <c r="S4179" s="9">
        <v>2</v>
      </c>
      <c r="T4179" s="10">
        <v>55</v>
      </c>
      <c r="U4179" s="2">
        <f t="shared" si="648"/>
        <v>12.65</v>
      </c>
      <c r="V4179" s="2">
        <f t="shared" si="652"/>
        <v>67.650000000000006</v>
      </c>
      <c r="W4179" s="2">
        <f>T4179*50%</f>
        <v>27.5</v>
      </c>
      <c r="X4179" s="5">
        <f t="shared" si="642"/>
        <v>0.5</v>
      </c>
      <c r="Z4179" s="2" t="s">
        <v>117</v>
      </c>
      <c r="AA4179" s="2" t="s">
        <v>190</v>
      </c>
      <c r="AB4179" s="2" t="s">
        <v>190</v>
      </c>
      <c r="AC4179" s="2" t="s">
        <v>40</v>
      </c>
      <c r="AF4179" s="2">
        <f>AJ4179</f>
        <v>0</v>
      </c>
      <c r="AG4179" s="2">
        <f>W4179</f>
        <v>27.5</v>
      </c>
      <c r="AI4179" s="2"/>
      <c r="AJ4179" s="2">
        <f>AI4179*T4179</f>
        <v>0</v>
      </c>
      <c r="AK4179" s="2">
        <f t="shared" si="650"/>
        <v>27.5</v>
      </c>
      <c r="AL4179" s="5">
        <f t="shared" si="651"/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3111</v>
      </c>
      <c r="P4180" s="2" t="s">
        <v>40</v>
      </c>
      <c r="Q4180" s="2" t="s">
        <v>363</v>
      </c>
      <c r="R4180" s="2" t="s">
        <v>364</v>
      </c>
      <c r="S4180" s="9">
        <v>1</v>
      </c>
      <c r="T4180" s="10">
        <v>99.93</v>
      </c>
      <c r="U4180" s="2">
        <f t="shared" si="648"/>
        <v>22.983900000000002</v>
      </c>
      <c r="V4180" s="10">
        <f t="shared" si="652"/>
        <v>122.91390000000001</v>
      </c>
      <c r="X4180" s="5">
        <f t="shared" si="642"/>
        <v>1</v>
      </c>
      <c r="AI4180" s="2"/>
      <c r="AK4180" s="2">
        <f t="shared" si="650"/>
        <v>99.93</v>
      </c>
      <c r="AL4180" s="5">
        <f t="shared" si="651"/>
        <v>1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399</v>
      </c>
      <c r="R4181" s="2" t="s">
        <v>400</v>
      </c>
      <c r="S4181" s="9">
        <v>4</v>
      </c>
      <c r="T4181" s="10">
        <v>100</v>
      </c>
      <c r="U4181" s="2">
        <f t="shared" si="648"/>
        <v>23</v>
      </c>
      <c r="V4181" s="10">
        <f t="shared" si="652"/>
        <v>123</v>
      </c>
      <c r="W4181" s="2">
        <f>14.5099*S4181</f>
        <v>58.0396</v>
      </c>
      <c r="X4181" s="5">
        <f t="shared" si="642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3331</v>
      </c>
      <c r="AI4181" s="2"/>
      <c r="AK4181" s="2">
        <f t="shared" si="650"/>
        <v>41.9604</v>
      </c>
      <c r="AL4181" s="5">
        <f t="shared" si="651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1907</v>
      </c>
      <c r="P4182" s="2" t="s">
        <v>282</v>
      </c>
      <c r="Q4182" s="2" t="s">
        <v>401</v>
      </c>
      <c r="R4182" s="2" t="s">
        <v>402</v>
      </c>
      <c r="S4182" s="9">
        <v>4</v>
      </c>
      <c r="T4182" s="10">
        <v>100</v>
      </c>
      <c r="U4182" s="2">
        <f t="shared" si="648"/>
        <v>23</v>
      </c>
      <c r="V4182" s="10">
        <f t="shared" si="652"/>
        <v>123</v>
      </c>
      <c r="W4182" s="2">
        <f>14.5099*S4182</f>
        <v>58.0396</v>
      </c>
      <c r="X4182" s="5">
        <f t="shared" si="642"/>
        <v>0.41960399999999998</v>
      </c>
      <c r="Z4182" s="2" t="s">
        <v>3226</v>
      </c>
      <c r="AA4182" s="2" t="s">
        <v>46</v>
      </c>
      <c r="AB4182" s="2" t="s">
        <v>60</v>
      </c>
      <c r="AC4182" s="2" t="s">
        <v>3331</v>
      </c>
      <c r="AI4182" s="2"/>
      <c r="AK4182" s="2">
        <f t="shared" si="650"/>
        <v>41.9604</v>
      </c>
      <c r="AL4182" s="5">
        <f t="shared" si="651"/>
        <v>0.41960399999999998</v>
      </c>
    </row>
    <row r="4183" spans="1:38" x14ac:dyDescent="0.2">
      <c r="A4183" s="8">
        <v>2026</v>
      </c>
      <c r="B4183" s="8">
        <v>6</v>
      </c>
      <c r="C4183" s="8"/>
      <c r="D4183" s="2" t="s">
        <v>488</v>
      </c>
      <c r="E4183" s="2" t="s">
        <v>38</v>
      </c>
      <c r="F4183" s="2" t="s">
        <v>39</v>
      </c>
      <c r="G4183" s="2">
        <v>507380312</v>
      </c>
      <c r="H4183" s="2" t="s">
        <v>40</v>
      </c>
      <c r="I4183" s="2" t="s">
        <v>489</v>
      </c>
      <c r="J4183" s="2" t="s">
        <v>490</v>
      </c>
      <c r="K4183" s="2">
        <v>912293443</v>
      </c>
      <c r="L4183" s="2" t="s">
        <v>99</v>
      </c>
      <c r="M4183" s="2" t="s">
        <v>40</v>
      </c>
      <c r="P4183" s="2" t="s">
        <v>40</v>
      </c>
      <c r="Q4183" s="2" t="s">
        <v>491</v>
      </c>
      <c r="R4183" s="2" t="s">
        <v>492</v>
      </c>
      <c r="S4183" s="9">
        <v>1</v>
      </c>
      <c r="T4183" s="10">
        <v>678.91</v>
      </c>
      <c r="U4183" s="2">
        <f t="shared" si="648"/>
        <v>156.14930000000001</v>
      </c>
      <c r="V4183" s="10">
        <f t="shared" si="652"/>
        <v>835.05930000000001</v>
      </c>
      <c r="X4183" s="5">
        <f t="shared" si="642"/>
        <v>1</v>
      </c>
      <c r="Z4183" s="2" t="s">
        <v>119</v>
      </c>
      <c r="AA4183" s="2" t="s">
        <v>492</v>
      </c>
      <c r="AI4183" s="2"/>
      <c r="AK4183" s="2">
        <f t="shared" si="650"/>
        <v>678.91</v>
      </c>
      <c r="AL4183" s="5">
        <f t="shared" si="651"/>
        <v>1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188</v>
      </c>
      <c r="R4184" s="2" t="s">
        <v>189</v>
      </c>
      <c r="S4184" s="9">
        <v>1</v>
      </c>
      <c r="T4184" s="10">
        <v>60</v>
      </c>
      <c r="U4184" s="2">
        <f t="shared" si="648"/>
        <v>13.8</v>
      </c>
      <c r="V4184" s="2">
        <f t="shared" si="652"/>
        <v>73.8</v>
      </c>
      <c r="W4184" s="2">
        <f>T4184*40%</f>
        <v>24</v>
      </c>
      <c r="X4184" s="5">
        <f t="shared" si="642"/>
        <v>0.6</v>
      </c>
      <c r="Z4184" s="2" t="s">
        <v>117</v>
      </c>
      <c r="AA4184" s="2" t="s">
        <v>190</v>
      </c>
      <c r="AB4184" s="2" t="s">
        <v>189</v>
      </c>
      <c r="AC4184" s="2" t="s">
        <v>40</v>
      </c>
      <c r="AG4184" s="2">
        <f>W4184</f>
        <v>24</v>
      </c>
      <c r="AI4184" s="2"/>
      <c r="AJ4184" s="2">
        <f>AI4184*T4184</f>
        <v>0</v>
      </c>
      <c r="AK4184" s="2">
        <f t="shared" si="650"/>
        <v>36</v>
      </c>
      <c r="AL4184" s="5">
        <f t="shared" si="651"/>
        <v>0.6</v>
      </c>
    </row>
    <row r="4185" spans="1:38" x14ac:dyDescent="0.2">
      <c r="A4185" s="8">
        <v>2026</v>
      </c>
      <c r="B4185" s="8">
        <v>6</v>
      </c>
      <c r="C4185" s="8"/>
      <c r="D4185" s="2" t="s">
        <v>3112</v>
      </c>
      <c r="M4185" s="2" t="s">
        <v>40</v>
      </c>
      <c r="P4185" s="2" t="s">
        <v>187</v>
      </c>
      <c r="Q4185" s="2" t="s">
        <v>191</v>
      </c>
      <c r="R4185" s="2" t="s">
        <v>190</v>
      </c>
      <c r="S4185" s="9">
        <v>4</v>
      </c>
      <c r="T4185" s="10">
        <v>220</v>
      </c>
      <c r="U4185" s="2">
        <f t="shared" si="648"/>
        <v>50.6</v>
      </c>
      <c r="V4185" s="2">
        <f t="shared" si="652"/>
        <v>270.60000000000002</v>
      </c>
      <c r="W4185" s="2">
        <f>T4185*50%</f>
        <v>110</v>
      </c>
      <c r="X4185" s="5">
        <f t="shared" si="642"/>
        <v>0.5</v>
      </c>
      <c r="Z4185" s="2" t="s">
        <v>117</v>
      </c>
      <c r="AA4185" s="2" t="s">
        <v>190</v>
      </c>
      <c r="AB4185" s="2" t="s">
        <v>190</v>
      </c>
      <c r="AC4185" s="2" t="s">
        <v>40</v>
      </c>
      <c r="AF4185" s="2">
        <f>AJ4185</f>
        <v>0</v>
      </c>
      <c r="AG4185" s="2">
        <f>W4185</f>
        <v>110</v>
      </c>
      <c r="AI4185" s="2"/>
      <c r="AJ4185" s="2">
        <f>AI4185*T4185</f>
        <v>0</v>
      </c>
      <c r="AK4185" s="2">
        <f t="shared" si="650"/>
        <v>110</v>
      </c>
      <c r="AL4185" s="5">
        <f t="shared" si="651"/>
        <v>0.5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43</v>
      </c>
      <c r="Q4186" s="2" t="s">
        <v>54</v>
      </c>
      <c r="R4186" s="2" t="s">
        <v>55</v>
      </c>
      <c r="S4186" s="9">
        <v>3</v>
      </c>
      <c r="T4186" s="10">
        <v>54</v>
      </c>
      <c r="U4186" s="2">
        <f t="shared" si="648"/>
        <v>12.42</v>
      </c>
      <c r="V4186" s="10">
        <f t="shared" si="652"/>
        <v>66.42</v>
      </c>
      <c r="W4186" s="2">
        <f>10.6*S4186</f>
        <v>31.799999999999997</v>
      </c>
      <c r="X4186" s="5">
        <f t="shared" si="642"/>
        <v>0.41111111111111115</v>
      </c>
      <c r="Z4186" s="2" t="s">
        <v>3226</v>
      </c>
      <c r="AA4186" s="2" t="s">
        <v>46</v>
      </c>
      <c r="AB4186" s="2" t="s">
        <v>56</v>
      </c>
      <c r="AC4186" s="2" t="s">
        <v>57</v>
      </c>
      <c r="AF4186" s="2">
        <f>AJ4186</f>
        <v>0</v>
      </c>
      <c r="AG4186" s="2">
        <v>10.6</v>
      </c>
      <c r="AI4186" s="2"/>
      <c r="AJ4186" s="2">
        <f>AI4186*T4186</f>
        <v>0</v>
      </c>
      <c r="AK4186" s="2">
        <f t="shared" si="650"/>
        <v>22.200000000000003</v>
      </c>
      <c r="AL4186" s="5">
        <f t="shared" si="651"/>
        <v>0.41111111111111115</v>
      </c>
    </row>
    <row r="4187" spans="1:38" x14ac:dyDescent="0.2">
      <c r="A4187" s="8">
        <v>2026</v>
      </c>
      <c r="B4187" s="8">
        <v>6</v>
      </c>
      <c r="C4187" s="8"/>
      <c r="D4187" s="2" t="s">
        <v>1397</v>
      </c>
      <c r="E4187" s="2" t="s">
        <v>38</v>
      </c>
      <c r="F4187" s="2" t="s">
        <v>39</v>
      </c>
      <c r="G4187" s="2">
        <v>509014313</v>
      </c>
      <c r="H4187" s="2" t="s">
        <v>40</v>
      </c>
      <c r="I4187" s="2" t="s">
        <v>3216</v>
      </c>
      <c r="J4187" s="2" t="s">
        <v>3215</v>
      </c>
      <c r="K4187" s="2">
        <v>913814877</v>
      </c>
      <c r="L4187" s="2" t="s">
        <v>201</v>
      </c>
      <c r="M4187" s="2" t="s">
        <v>80</v>
      </c>
      <c r="O4187" s="2" t="s">
        <v>3214</v>
      </c>
      <c r="P4187" s="2" t="s">
        <v>169</v>
      </c>
      <c r="Q4187" s="2" t="s">
        <v>170</v>
      </c>
      <c r="R4187" s="2" t="s">
        <v>170</v>
      </c>
      <c r="S4187" s="9">
        <v>1</v>
      </c>
      <c r="T4187" s="10">
        <v>8</v>
      </c>
      <c r="U4187" s="2">
        <f t="shared" si="648"/>
        <v>1.84</v>
      </c>
      <c r="V4187" s="10">
        <f t="shared" si="652"/>
        <v>9.84</v>
      </c>
      <c r="W4187" s="2">
        <v>6</v>
      </c>
      <c r="X4187" s="5">
        <f t="shared" si="642"/>
        <v>0.25</v>
      </c>
      <c r="Z4187" s="2" t="s">
        <v>169</v>
      </c>
      <c r="AA4187" s="2" t="s">
        <v>169</v>
      </c>
      <c r="AI4187" s="2"/>
      <c r="AK4187" s="2">
        <f t="shared" si="650"/>
        <v>2</v>
      </c>
      <c r="AL4187" s="5">
        <f t="shared" si="651"/>
        <v>0.25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43</v>
      </c>
      <c r="Q4188" s="2" t="s">
        <v>2869</v>
      </c>
      <c r="R4188" s="2" t="s">
        <v>2870</v>
      </c>
      <c r="S4188" s="9">
        <v>2</v>
      </c>
      <c r="T4188" s="10">
        <v>100</v>
      </c>
      <c r="U4188" s="2">
        <f t="shared" si="648"/>
        <v>23</v>
      </c>
      <c r="V4188" s="10">
        <f t="shared" si="652"/>
        <v>123</v>
      </c>
      <c r="W4188" s="2">
        <f>W3923*S4188</f>
        <v>71.56</v>
      </c>
      <c r="X4188" s="5">
        <f t="shared" si="642"/>
        <v>0.28439999999999999</v>
      </c>
      <c r="Z4188" s="2" t="s">
        <v>3226</v>
      </c>
      <c r="AA4188" s="2" t="s">
        <v>46</v>
      </c>
      <c r="AB4188" s="2" t="s">
        <v>90</v>
      </c>
      <c r="AC4188" s="2" t="s">
        <v>57</v>
      </c>
      <c r="AI4188" s="2"/>
      <c r="AK4188" s="2">
        <f t="shared" si="650"/>
        <v>28.439999999999998</v>
      </c>
      <c r="AL4188" s="5">
        <f t="shared" si="651"/>
        <v>0.28439999999999999</v>
      </c>
    </row>
    <row r="4189" spans="1:38" x14ac:dyDescent="0.2">
      <c r="A4189" s="8">
        <v>2026</v>
      </c>
      <c r="B4189" s="8">
        <v>6</v>
      </c>
      <c r="C4189" s="8"/>
      <c r="D4189" s="2" t="s">
        <v>2432</v>
      </c>
      <c r="P4189" s="2" t="s">
        <v>169</v>
      </c>
      <c r="Q4189" s="2" t="s">
        <v>170</v>
      </c>
      <c r="R4189" s="2" t="s">
        <v>170</v>
      </c>
      <c r="S4189" s="9">
        <v>1</v>
      </c>
      <c r="T4189" s="10">
        <v>8</v>
      </c>
      <c r="U4189" s="2">
        <f t="shared" si="648"/>
        <v>1.84</v>
      </c>
      <c r="V4189" s="10">
        <f t="shared" si="652"/>
        <v>9.84</v>
      </c>
      <c r="W4189" s="2">
        <v>6</v>
      </c>
      <c r="X4189" s="5">
        <f t="shared" si="642"/>
        <v>0.25</v>
      </c>
      <c r="Z4189" s="2" t="s">
        <v>169</v>
      </c>
      <c r="AA4189" s="2" t="s">
        <v>169</v>
      </c>
      <c r="AI4189" s="2"/>
      <c r="AK4189" s="2">
        <f t="shared" si="650"/>
        <v>2</v>
      </c>
      <c r="AL4189" s="5">
        <f t="shared" si="651"/>
        <v>0.25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P4190" s="2" t="s">
        <v>114</v>
      </c>
      <c r="Q4190" s="2" t="s">
        <v>791</v>
      </c>
      <c r="R4190" s="2" t="s">
        <v>792</v>
      </c>
      <c r="S4190" s="9">
        <v>-1</v>
      </c>
      <c r="T4190" s="10">
        <v>-187.92</v>
      </c>
      <c r="U4190" s="2">
        <f t="shared" si="648"/>
        <v>-43.221600000000002</v>
      </c>
      <c r="V4190" s="10">
        <f t="shared" si="652"/>
        <v>-231.14159999999998</v>
      </c>
      <c r="AI4190" s="2"/>
      <c r="AK4190" s="2">
        <f t="shared" si="650"/>
        <v>-187.92</v>
      </c>
      <c r="AL4190" s="5">
        <f t="shared" si="651"/>
        <v>1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P4191" s="2" t="s">
        <v>114</v>
      </c>
      <c r="Q4191" s="2" t="s">
        <v>795</v>
      </c>
      <c r="R4191" s="2" t="s">
        <v>2984</v>
      </c>
      <c r="S4191" s="9">
        <v>-1</v>
      </c>
      <c r="T4191" s="10">
        <v>-28.38</v>
      </c>
      <c r="U4191" s="2">
        <f t="shared" si="648"/>
        <v>-6.5274000000000001</v>
      </c>
      <c r="V4191" s="10">
        <f t="shared" si="652"/>
        <v>-34.907399999999996</v>
      </c>
      <c r="Z4191" s="2" t="s">
        <v>117</v>
      </c>
      <c r="AA4191" s="2" t="s">
        <v>118</v>
      </c>
      <c r="AB4191" s="2" t="s">
        <v>119</v>
      </c>
      <c r="AC4191" s="2" t="s">
        <v>114</v>
      </c>
      <c r="AI4191" s="2"/>
      <c r="AK4191" s="2">
        <f t="shared" si="650"/>
        <v>-28.38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188</v>
      </c>
      <c r="R4192" s="2" t="s">
        <v>189</v>
      </c>
      <c r="S4192" s="9">
        <v>-1</v>
      </c>
      <c r="T4192" s="10">
        <v>-94</v>
      </c>
      <c r="U4192" s="2">
        <f t="shared" si="648"/>
        <v>-21.62</v>
      </c>
      <c r="V4192" s="2">
        <f t="shared" si="652"/>
        <v>-115.62</v>
      </c>
      <c r="W4192" s="2">
        <f>T4192*40%</f>
        <v>-37.6</v>
      </c>
      <c r="Z4192" s="2" t="s">
        <v>117</v>
      </c>
      <c r="AA4192" s="2" t="s">
        <v>190</v>
      </c>
      <c r="AB4192" s="2" t="s">
        <v>189</v>
      </c>
      <c r="AC4192" s="2" t="s">
        <v>40</v>
      </c>
      <c r="AG4192" s="2">
        <f>W4192</f>
        <v>-37.6</v>
      </c>
      <c r="AI4192" s="2"/>
      <c r="AJ4192" s="2">
        <f>AI4192*T4192</f>
        <v>0</v>
      </c>
      <c r="AK4192" s="2">
        <f t="shared" si="650"/>
        <v>-56.4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M4193" s="2" t="s">
        <v>40</v>
      </c>
      <c r="P4193" s="2" t="s">
        <v>187</v>
      </c>
      <c r="Q4193" s="2" t="s">
        <v>191</v>
      </c>
      <c r="R4193" s="2" t="s">
        <v>190</v>
      </c>
      <c r="S4193" s="9">
        <v>-1</v>
      </c>
      <c r="T4193" s="10">
        <v>-55</v>
      </c>
      <c r="U4193" s="2">
        <f t="shared" si="648"/>
        <v>-12.65</v>
      </c>
      <c r="V4193" s="2">
        <f t="shared" si="652"/>
        <v>-67.650000000000006</v>
      </c>
      <c r="Z4193" s="2" t="s">
        <v>117</v>
      </c>
      <c r="AA4193" s="2" t="s">
        <v>190</v>
      </c>
      <c r="AB4193" s="2" t="s">
        <v>190</v>
      </c>
      <c r="AC4193" s="2" t="s">
        <v>40</v>
      </c>
      <c r="AF4193" s="2">
        <f>AJ4193</f>
        <v>0</v>
      </c>
      <c r="AG4193" s="2">
        <f>W4193</f>
        <v>0</v>
      </c>
      <c r="AI4193" s="2"/>
      <c r="AJ4193" s="2">
        <f>AI4193*T4193</f>
        <v>0</v>
      </c>
      <c r="AK4193" s="2">
        <f t="shared" si="650"/>
        <v>-55</v>
      </c>
    </row>
    <row r="4194" spans="1:38" x14ac:dyDescent="0.2">
      <c r="A4194" s="8">
        <v>2026</v>
      </c>
      <c r="B4194" s="8">
        <v>6</v>
      </c>
      <c r="C4194" s="8"/>
      <c r="D4194" s="2" t="s">
        <v>2981</v>
      </c>
      <c r="E4194" s="2" t="s">
        <v>108</v>
      </c>
      <c r="F4194" s="2" t="s">
        <v>39</v>
      </c>
      <c r="G4194" s="2">
        <v>510594778</v>
      </c>
      <c r="H4194" s="2" t="s">
        <v>41</v>
      </c>
      <c r="I4194" s="2" t="s">
        <v>2982</v>
      </c>
      <c r="J4194" s="2" t="s">
        <v>1102</v>
      </c>
      <c r="K4194" s="2">
        <v>934645042</v>
      </c>
      <c r="L4194" s="2" t="s">
        <v>99</v>
      </c>
      <c r="P4194" s="2" t="s">
        <v>40</v>
      </c>
      <c r="Q4194" s="2" t="s">
        <v>363</v>
      </c>
      <c r="R4194" s="2" t="s">
        <v>364</v>
      </c>
      <c r="S4194" s="9">
        <v>-1</v>
      </c>
      <c r="T4194" s="10">
        <v>-87.5</v>
      </c>
      <c r="U4194" s="2">
        <f t="shared" si="648"/>
        <v>-20.125</v>
      </c>
      <c r="V4194" s="10">
        <f t="shared" si="652"/>
        <v>-107.625</v>
      </c>
      <c r="X4194" s="2"/>
      <c r="AI4194" s="2"/>
      <c r="AL4194" s="2"/>
    </row>
    <row r="4195" spans="1:38" x14ac:dyDescent="0.2">
      <c r="A4195" s="8">
        <v>2026</v>
      </c>
      <c r="B4195" s="8">
        <v>6</v>
      </c>
      <c r="C4195" s="8"/>
      <c r="D4195" s="2" t="s">
        <v>853</v>
      </c>
      <c r="E4195" s="2" t="s">
        <v>108</v>
      </c>
      <c r="F4195" s="2" t="s">
        <v>39</v>
      </c>
      <c r="G4195" s="2">
        <v>505128128</v>
      </c>
      <c r="H4195" s="2" t="s">
        <v>41</v>
      </c>
      <c r="I4195" s="2" t="s">
        <v>854</v>
      </c>
      <c r="J4195" s="2" t="s">
        <v>855</v>
      </c>
      <c r="K4195" s="2">
        <v>917665950</v>
      </c>
      <c r="L4195" s="2" t="s">
        <v>99</v>
      </c>
      <c r="P4195" s="2" t="s">
        <v>43</v>
      </c>
      <c r="Q4195" s="2" t="s">
        <v>48</v>
      </c>
      <c r="R4195" s="2" t="s">
        <v>49</v>
      </c>
      <c r="S4195" s="9">
        <v>4</v>
      </c>
      <c r="T4195" s="10">
        <v>48</v>
      </c>
      <c r="U4195" s="2">
        <f t="shared" si="648"/>
        <v>11.040000000000001</v>
      </c>
      <c r="V4195" s="10">
        <f t="shared" si="652"/>
        <v>59.04</v>
      </c>
      <c r="W4195" s="2">
        <f>6.6267*S4195</f>
        <v>26.506799999999998</v>
      </c>
      <c r="X4195" s="5">
        <f>(T4195-W4195)/T4195</f>
        <v>0.44777500000000003</v>
      </c>
      <c r="Z4195" s="2" t="s">
        <v>3226</v>
      </c>
      <c r="AA4195" s="2" t="s">
        <v>46</v>
      </c>
      <c r="AB4195" s="2" t="s">
        <v>47</v>
      </c>
      <c r="AC4195" s="2" t="s">
        <v>57</v>
      </c>
      <c r="AF4195" s="2">
        <f>AJ4195</f>
        <v>0</v>
      </c>
      <c r="AG4195" s="2">
        <v>6.6266999999999996</v>
      </c>
      <c r="AH4195" s="2">
        <v>12</v>
      </c>
      <c r="AI4195" s="2"/>
      <c r="AJ4195" s="2">
        <f>AI4195*T4195</f>
        <v>0</v>
      </c>
      <c r="AK4195" s="2">
        <f>T4195-W4195</f>
        <v>21.493200000000002</v>
      </c>
      <c r="AL4195" s="5">
        <f>(T4195-W4195)/T4195</f>
        <v>0.44777500000000003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72</v>
      </c>
      <c r="Q4196" s="2" t="s">
        <v>325</v>
      </c>
      <c r="R4196" s="2" t="s">
        <v>79</v>
      </c>
      <c r="S4196" s="9">
        <v>1</v>
      </c>
      <c r="T4196" s="10">
        <v>220</v>
      </c>
      <c r="U4196" s="2">
        <f t="shared" si="648"/>
        <v>50.6</v>
      </c>
      <c r="V4196" s="10">
        <f t="shared" si="652"/>
        <v>270.60000000000002</v>
      </c>
      <c r="W4196" s="2">
        <f>110.68*S4196</f>
        <v>110.68</v>
      </c>
      <c r="X4196" s="5">
        <f>(T4196-W4196)/T4196</f>
        <v>0.49690909090909086</v>
      </c>
      <c r="Z4196" s="2" t="s">
        <v>3226</v>
      </c>
      <c r="AA4196" s="2" t="s">
        <v>75</v>
      </c>
      <c r="AB4196" s="2" t="s">
        <v>76</v>
      </c>
      <c r="AC4196" s="2" t="s">
        <v>77</v>
      </c>
      <c r="AF4196" s="2">
        <f>AJ4196</f>
        <v>0</v>
      </c>
      <c r="AG4196" s="2">
        <v>110.68</v>
      </c>
      <c r="AH4196" s="2">
        <v>210</v>
      </c>
      <c r="AI4196" s="2"/>
      <c r="AJ4196" s="2">
        <f>AI4196*T4196</f>
        <v>0</v>
      </c>
      <c r="AK4196" s="2">
        <f>T4196-W4196</f>
        <v>109.32</v>
      </c>
      <c r="AL4196" s="5">
        <f>(T4196-W4196)/T4196</f>
        <v>0.49690909090909086</v>
      </c>
    </row>
    <row r="4197" spans="1:38" x14ac:dyDescent="0.2">
      <c r="A4197" s="8">
        <v>2026</v>
      </c>
      <c r="B4197" s="8">
        <v>6</v>
      </c>
      <c r="C4197" s="8"/>
      <c r="D4197" s="2" t="s">
        <v>1053</v>
      </c>
      <c r="E4197" s="2" t="s">
        <v>183</v>
      </c>
      <c r="F4197" s="2" t="s">
        <v>1054</v>
      </c>
      <c r="G4197" s="2">
        <v>500199523</v>
      </c>
      <c r="H4197" s="2" t="s">
        <v>290</v>
      </c>
      <c r="I4197" s="2" t="s">
        <v>293</v>
      </c>
      <c r="J4197" s="2" t="s">
        <v>1055</v>
      </c>
      <c r="L4197" s="2" t="s">
        <v>293</v>
      </c>
      <c r="M4197" s="2" t="s">
        <v>80</v>
      </c>
      <c r="P4197" s="2" t="s">
        <v>93</v>
      </c>
      <c r="Q4197" s="2" t="s">
        <v>94</v>
      </c>
      <c r="R4197" s="2" t="s">
        <v>95</v>
      </c>
      <c r="S4197" s="9">
        <v>1</v>
      </c>
      <c r="T4197" s="10">
        <v>1.48</v>
      </c>
      <c r="U4197" s="2">
        <f t="shared" si="648"/>
        <v>0.34040000000000004</v>
      </c>
      <c r="V4197" s="10">
        <f t="shared" si="652"/>
        <v>1.8204</v>
      </c>
      <c r="W4197" s="2">
        <f>1.48*S4197</f>
        <v>1.48</v>
      </c>
      <c r="X4197" s="5">
        <f>(T4197-W4197)/T4197</f>
        <v>0</v>
      </c>
      <c r="Z4197" s="2" t="s">
        <v>3226</v>
      </c>
      <c r="AA4197" s="2" t="s">
        <v>96</v>
      </c>
      <c r="AB4197" s="2" t="s">
        <v>76</v>
      </c>
      <c r="AC4197" s="2" t="s">
        <v>93</v>
      </c>
      <c r="AF4197" s="2">
        <f>AJ4197</f>
        <v>0</v>
      </c>
      <c r="AG4197" s="2">
        <v>1.48</v>
      </c>
      <c r="AH4197" s="2">
        <v>1.48</v>
      </c>
      <c r="AI4197" s="2"/>
      <c r="AJ4197" s="2">
        <f>AI4197*T4197</f>
        <v>0</v>
      </c>
      <c r="AK4197" s="2">
        <f>T4197-W4197</f>
        <v>0</v>
      </c>
      <c r="AL4197" s="5">
        <f>(T4197-W4197)/T4197</f>
        <v>0</v>
      </c>
    </row>
    <row r="4198" spans="1:38" x14ac:dyDescent="0.2">
      <c r="A4198" s="8">
        <v>2026</v>
      </c>
      <c r="B4198" s="8">
        <v>6</v>
      </c>
      <c r="C4198" s="8" t="s">
        <v>3330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M4198" s="2" t="s">
        <v>40</v>
      </c>
      <c r="P4198" s="2" t="s">
        <v>40</v>
      </c>
      <c r="Q4198" s="2" t="s">
        <v>140</v>
      </c>
      <c r="R4198" s="2" t="s">
        <v>141</v>
      </c>
      <c r="S4198" s="9">
        <v>-2</v>
      </c>
      <c r="T4198" s="10">
        <v>-318.08999999999997</v>
      </c>
      <c r="U4198" s="2">
        <f t="shared" si="648"/>
        <v>-73.160699999999991</v>
      </c>
      <c r="V4198" s="10">
        <f t="shared" si="652"/>
        <v>-391.25069999999994</v>
      </c>
      <c r="Z4198" s="2" t="s">
        <v>119</v>
      </c>
      <c r="AA4198" s="2" t="s">
        <v>142</v>
      </c>
      <c r="AI4198" s="2"/>
    </row>
    <row r="4199" spans="1:38" x14ac:dyDescent="0.2">
      <c r="A4199" s="8">
        <v>2026</v>
      </c>
      <c r="B4199" s="8">
        <v>6</v>
      </c>
      <c r="C4199" s="8" t="s">
        <v>3330</v>
      </c>
      <c r="D4199" s="2" t="s">
        <v>500</v>
      </c>
      <c r="E4199" s="2" t="s">
        <v>38</v>
      </c>
      <c r="F4199" s="2" t="s">
        <v>39</v>
      </c>
      <c r="G4199" s="2">
        <v>513244468</v>
      </c>
      <c r="H4199" s="2" t="s">
        <v>41</v>
      </c>
      <c r="I4199" s="2" t="s">
        <v>501</v>
      </c>
      <c r="J4199" s="2" t="s">
        <v>502</v>
      </c>
      <c r="K4199" s="2">
        <v>918010109</v>
      </c>
      <c r="L4199" s="2" t="s">
        <v>99</v>
      </c>
      <c r="P4199" s="2" t="s">
        <v>40</v>
      </c>
      <c r="Q4199" s="2" t="s">
        <v>363</v>
      </c>
      <c r="R4199" s="2" t="s">
        <v>364</v>
      </c>
      <c r="S4199" s="9">
        <v>1</v>
      </c>
      <c r="T4199" s="10">
        <v>65.3</v>
      </c>
      <c r="U4199" s="2">
        <f t="shared" si="648"/>
        <v>15.019</v>
      </c>
      <c r="V4199" s="10">
        <f t="shared" si="652"/>
        <v>80.319000000000003</v>
      </c>
      <c r="X4199" s="5">
        <f t="shared" ref="X4199:X4204" si="653">(T4199-W4199)/T4199</f>
        <v>1</v>
      </c>
      <c r="Z4199" s="2" t="s">
        <v>119</v>
      </c>
      <c r="AA4199" s="2" t="s">
        <v>3379</v>
      </c>
      <c r="AI4199" s="2"/>
      <c r="AK4199" s="2">
        <f>T4199-W4199</f>
        <v>65.3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3109</v>
      </c>
      <c r="P4200" s="2" t="s">
        <v>40</v>
      </c>
      <c r="Q4200" s="2" t="s">
        <v>3060</v>
      </c>
      <c r="R4200" s="2" t="s">
        <v>3061</v>
      </c>
      <c r="S4200" s="9">
        <v>11601</v>
      </c>
      <c r="T4200" s="10">
        <v>2098.09</v>
      </c>
      <c r="U4200" s="2">
        <f t="shared" si="648"/>
        <v>482.56070000000005</v>
      </c>
      <c r="V4200" s="10">
        <f t="shared" si="652"/>
        <v>2580.6507000000001</v>
      </c>
      <c r="X4200" s="5">
        <f t="shared" si="653"/>
        <v>1</v>
      </c>
      <c r="Z4200" s="2" t="s">
        <v>119</v>
      </c>
      <c r="AA4200" s="2" t="s">
        <v>3291</v>
      </c>
      <c r="AI4200" s="2"/>
      <c r="AK4200" s="2">
        <f>T4200-W4200</f>
        <v>2098.09</v>
      </c>
      <c r="AL4200" s="5">
        <f>(T4200-W4200)/T4200</f>
        <v>1</v>
      </c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3143</v>
      </c>
      <c r="P4201" s="2" t="s">
        <v>114</v>
      </c>
      <c r="Q4201" s="2" t="s">
        <v>1099</v>
      </c>
      <c r="R4201" s="2" t="s">
        <v>1100</v>
      </c>
      <c r="S4201" s="9">
        <v>1</v>
      </c>
      <c r="T4201" s="10">
        <v>184.34</v>
      </c>
      <c r="U4201" s="2">
        <f t="shared" si="648"/>
        <v>42.398200000000003</v>
      </c>
      <c r="V4201" s="10">
        <f t="shared" si="652"/>
        <v>226.73820000000001</v>
      </c>
      <c r="W4201" s="2">
        <v>69.67</v>
      </c>
      <c r="X4201" s="5">
        <f t="shared" si="653"/>
        <v>0.6220570684604535</v>
      </c>
      <c r="Z4201" s="2" t="s">
        <v>117</v>
      </c>
      <c r="AA4201" s="2" t="s">
        <v>118</v>
      </c>
      <c r="AB4201" s="2" t="s">
        <v>119</v>
      </c>
      <c r="AC4201" s="2" t="s">
        <v>114</v>
      </c>
      <c r="AI4201" s="2"/>
      <c r="AL4201" s="2"/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3144</v>
      </c>
      <c r="P4202" s="2" t="s">
        <v>43</v>
      </c>
      <c r="Q4202" s="2" t="s">
        <v>48</v>
      </c>
      <c r="R4202" s="2" t="s">
        <v>49</v>
      </c>
      <c r="S4202" s="9">
        <v>2</v>
      </c>
      <c r="T4202" s="10">
        <v>26</v>
      </c>
      <c r="U4202" s="2">
        <f t="shared" si="648"/>
        <v>5.98</v>
      </c>
      <c r="V4202" s="10">
        <f t="shared" si="652"/>
        <v>31.98</v>
      </c>
      <c r="W4202" s="2">
        <f>6.6267*S4202</f>
        <v>13.253399999999999</v>
      </c>
      <c r="X4202" s="5">
        <f t="shared" si="653"/>
        <v>0.49025384615384621</v>
      </c>
      <c r="Z4202" s="2" t="s">
        <v>3226</v>
      </c>
      <c r="AA4202" s="2" t="s">
        <v>46</v>
      </c>
      <c r="AB4202" s="2" t="s">
        <v>47</v>
      </c>
      <c r="AC4202" s="2" t="s">
        <v>57</v>
      </c>
      <c r="AF4202" s="2">
        <f>AJ4202</f>
        <v>0</v>
      </c>
      <c r="AG4202" s="2">
        <v>6.6266999999999996</v>
      </c>
      <c r="AH4202" s="2">
        <v>12</v>
      </c>
      <c r="AI4202" s="2"/>
      <c r="AJ4202" s="2">
        <f t="shared" ref="AJ4202:AJ4208" si="654">AI4202*T4202</f>
        <v>0</v>
      </c>
      <c r="AK4202" s="2">
        <f t="shared" ref="AK4202:AK4228" si="655">T4202-W4202</f>
        <v>12.746600000000001</v>
      </c>
      <c r="AL4202" s="5">
        <f>(T4202-W4202)/T4202</f>
        <v>0.49025384615384621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3062</v>
      </c>
      <c r="R4203" s="2" t="s">
        <v>3063</v>
      </c>
      <c r="S4203" s="9">
        <v>6</v>
      </c>
      <c r="T4203" s="10">
        <v>8.82</v>
      </c>
      <c r="U4203" s="2">
        <f t="shared" si="648"/>
        <v>2.0286</v>
      </c>
      <c r="V4203" s="10">
        <f t="shared" si="652"/>
        <v>10.848600000000001</v>
      </c>
      <c r="W4203" s="2">
        <f>1.32*S4203</f>
        <v>7.92</v>
      </c>
      <c r="X4203" s="5">
        <f t="shared" si="653"/>
        <v>0.10204081632653066</v>
      </c>
      <c r="Z4203" s="2" t="s">
        <v>3226</v>
      </c>
      <c r="AA4203" s="2" t="s">
        <v>87</v>
      </c>
      <c r="AB4203" s="2" t="s">
        <v>119</v>
      </c>
      <c r="AC4203" s="2" t="s">
        <v>166</v>
      </c>
      <c r="AF4203" s="2">
        <f>AJ4203</f>
        <v>0</v>
      </c>
      <c r="AI4203" s="2"/>
      <c r="AJ4203" s="2">
        <f t="shared" si="654"/>
        <v>0</v>
      </c>
      <c r="AK4203" s="2">
        <f t="shared" si="655"/>
        <v>0.90000000000000036</v>
      </c>
      <c r="AL4203" s="5">
        <f>(T4203-W4203)/T4203</f>
        <v>0.10204081632653066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41</v>
      </c>
      <c r="O4204" s="2" t="s">
        <v>3142</v>
      </c>
      <c r="P4204" s="2" t="s">
        <v>166</v>
      </c>
      <c r="Q4204" s="2" t="s">
        <v>1046</v>
      </c>
      <c r="R4204" s="2" t="s">
        <v>1047</v>
      </c>
      <c r="S4204" s="9">
        <v>6</v>
      </c>
      <c r="T4204" s="10">
        <v>14.7</v>
      </c>
      <c r="U4204" s="2">
        <f t="shared" si="648"/>
        <v>3.3809999999999998</v>
      </c>
      <c r="V4204" s="10">
        <f t="shared" si="652"/>
        <v>18.081</v>
      </c>
      <c r="W4204" s="2">
        <f>1.7*S4204</f>
        <v>10.199999999999999</v>
      </c>
      <c r="X4204" s="5">
        <f t="shared" si="653"/>
        <v>0.30612244897959184</v>
      </c>
      <c r="Z4204" s="2" t="s">
        <v>3226</v>
      </c>
      <c r="AA4204" s="2" t="s">
        <v>46</v>
      </c>
      <c r="AB4204" s="2" t="s">
        <v>90</v>
      </c>
      <c r="AC4204" s="2" t="s">
        <v>166</v>
      </c>
      <c r="AF4204" s="2">
        <f>AJ4204</f>
        <v>0</v>
      </c>
      <c r="AI4204" s="2"/>
      <c r="AJ4204" s="2">
        <f t="shared" si="654"/>
        <v>0</v>
      </c>
      <c r="AK4204" s="2">
        <f t="shared" si="655"/>
        <v>4.5</v>
      </c>
      <c r="AL4204" s="5">
        <f>(T4204-W4204)/T4204</f>
        <v>0.30612244897959184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188</v>
      </c>
      <c r="R4205" s="2" t="s">
        <v>189</v>
      </c>
      <c r="S4205" s="9">
        <v>1</v>
      </c>
      <c r="T4205" s="10">
        <v>0</v>
      </c>
      <c r="U4205" s="2">
        <f t="shared" ref="U4205:U4235" si="656">T4205*23%</f>
        <v>0</v>
      </c>
      <c r="V4205" s="2">
        <f t="shared" si="652"/>
        <v>0</v>
      </c>
      <c r="W4205" s="2">
        <f>T4205*40%</f>
        <v>0</v>
      </c>
      <c r="X4205" s="5">
        <v>0</v>
      </c>
      <c r="Z4205" s="2" t="s">
        <v>117</v>
      </c>
      <c r="AA4205" s="2" t="s">
        <v>190</v>
      </c>
      <c r="AB4205" s="2" t="s">
        <v>189</v>
      </c>
      <c r="AC4205" s="2" t="s">
        <v>40</v>
      </c>
      <c r="AG4205" s="2">
        <f>W4205</f>
        <v>0</v>
      </c>
      <c r="AI4205" s="2"/>
      <c r="AJ4205" s="2">
        <f t="shared" si="654"/>
        <v>0</v>
      </c>
      <c r="AK4205" s="2">
        <f t="shared" si="655"/>
        <v>0</v>
      </c>
      <c r="AL4205" s="5">
        <v>0</v>
      </c>
    </row>
    <row r="4206" spans="1:38" x14ac:dyDescent="0.2">
      <c r="A4206" s="8">
        <v>2026</v>
      </c>
      <c r="B4206" s="8">
        <v>6</v>
      </c>
      <c r="C4206" s="8"/>
      <c r="D4206" s="2" t="s">
        <v>507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177</v>
      </c>
      <c r="J4206" s="2" t="s">
        <v>3133</v>
      </c>
      <c r="L4206" s="2" t="s">
        <v>177</v>
      </c>
      <c r="M4206" s="2" t="s">
        <v>40</v>
      </c>
      <c r="O4206" s="2" t="s">
        <v>3143</v>
      </c>
      <c r="P4206" s="2" t="s">
        <v>187</v>
      </c>
      <c r="Q4206" s="2" t="s">
        <v>191</v>
      </c>
      <c r="R4206" s="2" t="s">
        <v>190</v>
      </c>
      <c r="S4206" s="9">
        <v>1</v>
      </c>
      <c r="T4206" s="10">
        <v>55</v>
      </c>
      <c r="U4206" s="2">
        <f t="shared" si="656"/>
        <v>12.65</v>
      </c>
      <c r="V4206" s="2">
        <f t="shared" si="652"/>
        <v>67.650000000000006</v>
      </c>
      <c r="W4206" s="2">
        <f>T4206*50%</f>
        <v>27.5</v>
      </c>
      <c r="X4206" s="5">
        <f t="shared" ref="X4206:X4228" si="657">(T4206-W4206)/T4206</f>
        <v>0.5</v>
      </c>
      <c r="Z4206" s="2" t="s">
        <v>117</v>
      </c>
      <c r="AA4206" s="2" t="s">
        <v>190</v>
      </c>
      <c r="AB4206" s="2" t="s">
        <v>190</v>
      </c>
      <c r="AC4206" s="2" t="s">
        <v>40</v>
      </c>
      <c r="AF4206" s="2">
        <f>AJ4206</f>
        <v>0</v>
      </c>
      <c r="AG4206" s="2">
        <f>W4206</f>
        <v>27.5</v>
      </c>
      <c r="AI4206" s="2"/>
      <c r="AJ4206" s="2">
        <f t="shared" si="654"/>
        <v>0</v>
      </c>
      <c r="AK4206" s="2">
        <f t="shared" si="655"/>
        <v>27.5</v>
      </c>
      <c r="AL4206" s="5">
        <f t="shared" ref="AL4206:AL4228" si="658">(T4206-W4206)/T4206</f>
        <v>0.5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188</v>
      </c>
      <c r="R4207" s="2" t="s">
        <v>189</v>
      </c>
      <c r="S4207" s="9">
        <v>1</v>
      </c>
      <c r="T4207" s="10">
        <v>125</v>
      </c>
      <c r="U4207" s="2">
        <f t="shared" si="656"/>
        <v>28.75</v>
      </c>
      <c r="V4207" s="2">
        <f t="shared" si="652"/>
        <v>153.75</v>
      </c>
      <c r="W4207" s="2">
        <f>T4207*40%</f>
        <v>50</v>
      </c>
      <c r="X4207" s="5">
        <f t="shared" si="657"/>
        <v>0.6</v>
      </c>
      <c r="Z4207" s="2" t="s">
        <v>117</v>
      </c>
      <c r="AA4207" s="2" t="s">
        <v>190</v>
      </c>
      <c r="AB4207" s="2" t="s">
        <v>189</v>
      </c>
      <c r="AC4207" s="2" t="s">
        <v>40</v>
      </c>
      <c r="AG4207" s="2">
        <f>W4207</f>
        <v>50</v>
      </c>
      <c r="AI4207" s="2"/>
      <c r="AJ4207" s="2">
        <f t="shared" si="654"/>
        <v>0</v>
      </c>
      <c r="AK4207" s="2">
        <f t="shared" si="655"/>
        <v>75</v>
      </c>
      <c r="AL4207" s="5">
        <f t="shared" si="658"/>
        <v>0.6</v>
      </c>
    </row>
    <row r="4208" spans="1:38" x14ac:dyDescent="0.2">
      <c r="A4208" s="8">
        <v>2026</v>
      </c>
      <c r="B4208" s="8">
        <v>6</v>
      </c>
      <c r="C4208" s="8"/>
      <c r="D4208" s="2" t="s">
        <v>3110</v>
      </c>
      <c r="M4208" s="2" t="s">
        <v>40</v>
      </c>
      <c r="P4208" s="2" t="s">
        <v>187</v>
      </c>
      <c r="Q4208" s="2" t="s">
        <v>191</v>
      </c>
      <c r="R4208" s="2" t="s">
        <v>190</v>
      </c>
      <c r="S4208" s="9">
        <v>1</v>
      </c>
      <c r="T4208" s="10">
        <v>55</v>
      </c>
      <c r="U4208" s="2">
        <f t="shared" si="656"/>
        <v>12.65</v>
      </c>
      <c r="V4208" s="2">
        <f t="shared" ref="V4208:V4235" si="659">T4208+U4208</f>
        <v>67.650000000000006</v>
      </c>
      <c r="W4208" s="2">
        <f>T4208*50%</f>
        <v>27.5</v>
      </c>
      <c r="X4208" s="5">
        <f t="shared" si="657"/>
        <v>0.5</v>
      </c>
      <c r="Z4208" s="2" t="s">
        <v>117</v>
      </c>
      <c r="AA4208" s="2" t="s">
        <v>190</v>
      </c>
      <c r="AB4208" s="2" t="s">
        <v>190</v>
      </c>
      <c r="AC4208" s="2" t="s">
        <v>40</v>
      </c>
      <c r="AF4208" s="2">
        <f>AJ4208</f>
        <v>0</v>
      </c>
      <c r="AG4208" s="2">
        <f>W4208</f>
        <v>27.5</v>
      </c>
      <c r="AI4208" s="2"/>
      <c r="AJ4208" s="2">
        <f t="shared" si="654"/>
        <v>0</v>
      </c>
      <c r="AK4208" s="2">
        <f t="shared" si="655"/>
        <v>27.5</v>
      </c>
      <c r="AL4208" s="5">
        <f t="shared" si="658"/>
        <v>0.5</v>
      </c>
    </row>
    <row r="4209" spans="1:38" x14ac:dyDescent="0.2">
      <c r="A4209" s="8">
        <v>2026</v>
      </c>
      <c r="B4209" s="8">
        <v>6</v>
      </c>
      <c r="C4209" s="8" t="s">
        <v>3391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282</v>
      </c>
      <c r="Q4209" s="2" t="s">
        <v>1436</v>
      </c>
      <c r="R4209" s="2" t="s">
        <v>1437</v>
      </c>
      <c r="S4209" s="9">
        <v>1</v>
      </c>
      <c r="T4209" s="10">
        <v>6.9</v>
      </c>
      <c r="U4209" s="2">
        <f t="shared" si="656"/>
        <v>1.5870000000000002</v>
      </c>
      <c r="V4209" s="2">
        <f t="shared" si="659"/>
        <v>8.4870000000000001</v>
      </c>
      <c r="W4209" s="2">
        <f>5.135*S4209</f>
        <v>5.1349999999999998</v>
      </c>
      <c r="X4209" s="5">
        <f t="shared" si="657"/>
        <v>0.25579710144927542</v>
      </c>
      <c r="Z4209" s="2" t="s">
        <v>3226</v>
      </c>
      <c r="AA4209" s="2" t="s">
        <v>71</v>
      </c>
      <c r="AB4209" s="2" t="s">
        <v>119</v>
      </c>
      <c r="AC4209" s="2" t="s">
        <v>119</v>
      </c>
      <c r="AI4209" s="2"/>
      <c r="AK4209" s="2">
        <f t="shared" si="655"/>
        <v>1.7650000000000006</v>
      </c>
      <c r="AL4209" s="5">
        <f t="shared" si="658"/>
        <v>0.25579710144927542</v>
      </c>
    </row>
    <row r="4210" spans="1:38" x14ac:dyDescent="0.2">
      <c r="A4210" s="8">
        <v>2026</v>
      </c>
      <c r="B4210" s="8">
        <v>6</v>
      </c>
      <c r="C4210" s="8" t="s">
        <v>3391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3064</v>
      </c>
      <c r="R4210" s="2" t="s">
        <v>3065</v>
      </c>
      <c r="S4210" s="9">
        <v>1</v>
      </c>
      <c r="T4210" s="10">
        <v>7.24</v>
      </c>
      <c r="U4210" s="2">
        <f t="shared" si="656"/>
        <v>1.6652</v>
      </c>
      <c r="V4210" s="2">
        <f t="shared" si="659"/>
        <v>8.9052000000000007</v>
      </c>
      <c r="W4210" s="2">
        <v>5.07</v>
      </c>
      <c r="X4210" s="5">
        <f t="shared" si="65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655"/>
        <v>2.17</v>
      </c>
      <c r="AL4210" s="5">
        <f t="shared" si="658"/>
        <v>0.29972375690607733</v>
      </c>
    </row>
    <row r="4211" spans="1:38" x14ac:dyDescent="0.2">
      <c r="A4211" s="8">
        <v>2026</v>
      </c>
      <c r="B4211" s="8">
        <v>6</v>
      </c>
      <c r="C4211" s="8" t="s">
        <v>3391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3066</v>
      </c>
      <c r="R4211" s="2" t="s">
        <v>3067</v>
      </c>
      <c r="S4211" s="9">
        <v>1</v>
      </c>
      <c r="T4211" s="10">
        <v>7.24</v>
      </c>
      <c r="U4211" s="2">
        <f t="shared" si="656"/>
        <v>1.6652</v>
      </c>
      <c r="V4211" s="2">
        <f t="shared" si="659"/>
        <v>8.9052000000000007</v>
      </c>
      <c r="W4211" s="2">
        <v>5.07</v>
      </c>
      <c r="X4211" s="5">
        <f t="shared" si="65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655"/>
        <v>2.17</v>
      </c>
      <c r="AL4211" s="5">
        <f t="shared" si="658"/>
        <v>0.29972375690607733</v>
      </c>
    </row>
    <row r="4212" spans="1:38" x14ac:dyDescent="0.2">
      <c r="A4212" s="8">
        <v>2026</v>
      </c>
      <c r="B4212" s="8">
        <v>6</v>
      </c>
      <c r="C4212" s="8" t="s">
        <v>3391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3068</v>
      </c>
      <c r="R4212" s="2" t="s">
        <v>3069</v>
      </c>
      <c r="S4212" s="9">
        <v>1</v>
      </c>
      <c r="T4212" s="10">
        <v>7.24</v>
      </c>
      <c r="U4212" s="2">
        <f t="shared" si="656"/>
        <v>1.6652</v>
      </c>
      <c r="V4212" s="2">
        <f t="shared" si="659"/>
        <v>8.9052000000000007</v>
      </c>
      <c r="W4212" s="2">
        <f>5.07</f>
        <v>5.07</v>
      </c>
      <c r="X4212" s="5">
        <f t="shared" si="657"/>
        <v>0.29972375690607733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655"/>
        <v>2.17</v>
      </c>
      <c r="AL4212" s="5">
        <f t="shared" si="658"/>
        <v>0.29972375690607733</v>
      </c>
    </row>
    <row r="4213" spans="1:38" x14ac:dyDescent="0.2">
      <c r="A4213" s="8">
        <v>2026</v>
      </c>
      <c r="B4213" s="8">
        <v>6</v>
      </c>
      <c r="C4213" s="8" t="s">
        <v>3391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3070</v>
      </c>
      <c r="R4213" s="2" t="s">
        <v>3071</v>
      </c>
      <c r="S4213" s="9">
        <v>1</v>
      </c>
      <c r="T4213" s="10">
        <v>16.899999999999999</v>
      </c>
      <c r="U4213" s="2">
        <f t="shared" si="656"/>
        <v>3.887</v>
      </c>
      <c r="V4213" s="2">
        <f t="shared" si="659"/>
        <v>20.786999999999999</v>
      </c>
      <c r="W4213" s="2">
        <f>12.68</f>
        <v>12.68</v>
      </c>
      <c r="X4213" s="5">
        <f t="shared" si="657"/>
        <v>0.24970414201183427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655"/>
        <v>4.2199999999999989</v>
      </c>
      <c r="AL4213" s="5">
        <f t="shared" si="658"/>
        <v>0.24970414201183427</v>
      </c>
    </row>
    <row r="4214" spans="1:38" x14ac:dyDescent="0.2">
      <c r="A4214" s="8">
        <v>2026</v>
      </c>
      <c r="B4214" s="8">
        <v>6</v>
      </c>
      <c r="C4214" s="8" t="s">
        <v>3391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3072</v>
      </c>
      <c r="R4214" s="2" t="s">
        <v>3073</v>
      </c>
      <c r="S4214" s="9">
        <v>1</v>
      </c>
      <c r="T4214" s="10">
        <v>19</v>
      </c>
      <c r="U4214" s="2">
        <f t="shared" si="656"/>
        <v>4.37</v>
      </c>
      <c r="V4214" s="2">
        <f t="shared" si="659"/>
        <v>23.37</v>
      </c>
      <c r="W4214" s="2">
        <f>14.25</f>
        <v>14.25</v>
      </c>
      <c r="X4214" s="5">
        <f t="shared" si="657"/>
        <v>0.25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655"/>
        <v>4.75</v>
      </c>
      <c r="AL4214" s="5">
        <f t="shared" si="658"/>
        <v>0.25</v>
      </c>
    </row>
    <row r="4215" spans="1:38" x14ac:dyDescent="0.2">
      <c r="A4215" s="8">
        <v>2026</v>
      </c>
      <c r="B4215" s="8">
        <v>6</v>
      </c>
      <c r="C4215" s="8" t="s">
        <v>3391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3074</v>
      </c>
      <c r="R4215" s="2" t="s">
        <v>3075</v>
      </c>
      <c r="S4215" s="9">
        <v>1</v>
      </c>
      <c r="T4215" s="10">
        <v>43.5</v>
      </c>
      <c r="U4215" s="2">
        <f t="shared" si="656"/>
        <v>10.005000000000001</v>
      </c>
      <c r="V4215" s="2">
        <f t="shared" si="659"/>
        <v>53.505000000000003</v>
      </c>
      <c r="W4215" s="2">
        <f>32.63</f>
        <v>32.630000000000003</v>
      </c>
      <c r="X4215" s="5">
        <f t="shared" si="657"/>
        <v>0.2498850574712643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655"/>
        <v>10.869999999999997</v>
      </c>
      <c r="AL4215" s="5">
        <f t="shared" si="658"/>
        <v>0.2498850574712643</v>
      </c>
    </row>
    <row r="4216" spans="1:38" x14ac:dyDescent="0.2">
      <c r="A4216" s="8">
        <v>2026</v>
      </c>
      <c r="B4216" s="8">
        <v>6</v>
      </c>
      <c r="C4216" s="8" t="s">
        <v>3391</v>
      </c>
      <c r="D4216" s="2" t="s">
        <v>1718</v>
      </c>
      <c r="E4216" s="2" t="s">
        <v>752</v>
      </c>
      <c r="F4216" s="2" t="s">
        <v>39</v>
      </c>
      <c r="L4216" s="2" t="s">
        <v>398</v>
      </c>
      <c r="M4216" s="2" t="s">
        <v>109</v>
      </c>
      <c r="P4216" s="2" t="s">
        <v>2897</v>
      </c>
      <c r="Q4216" s="2" t="s">
        <v>3076</v>
      </c>
      <c r="R4216" s="2" t="s">
        <v>3077</v>
      </c>
      <c r="S4216" s="9">
        <v>1</v>
      </c>
      <c r="T4216" s="10">
        <v>13.6</v>
      </c>
      <c r="U4216" s="2">
        <f t="shared" si="656"/>
        <v>3.1280000000000001</v>
      </c>
      <c r="V4216" s="2">
        <f t="shared" si="659"/>
        <v>16.728000000000002</v>
      </c>
      <c r="W4216" s="2">
        <f>10.2</f>
        <v>10.199999999999999</v>
      </c>
      <c r="X4216" s="5">
        <f t="shared" si="657"/>
        <v>0.25000000000000006</v>
      </c>
      <c r="Z4216" s="2" t="s">
        <v>3226</v>
      </c>
      <c r="AA4216" s="2" t="s">
        <v>71</v>
      </c>
      <c r="AB4216" s="2" t="s">
        <v>2897</v>
      </c>
      <c r="AC4216" s="2" t="s">
        <v>2897</v>
      </c>
      <c r="AI4216" s="2"/>
      <c r="AK4216" s="2">
        <f t="shared" si="655"/>
        <v>3.4000000000000004</v>
      </c>
      <c r="AL4216" s="5">
        <f t="shared" si="658"/>
        <v>0.25000000000000006</v>
      </c>
    </row>
    <row r="4217" spans="1:38" x14ac:dyDescent="0.2">
      <c r="A4217" s="8">
        <v>2026</v>
      </c>
      <c r="B4217" s="8">
        <v>6</v>
      </c>
      <c r="C4217" s="8" t="s">
        <v>3293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68</v>
      </c>
      <c r="Q4217" s="2" t="s">
        <v>3078</v>
      </c>
      <c r="R4217" s="2" t="s">
        <v>3079</v>
      </c>
      <c r="S4217" s="9">
        <v>1</v>
      </c>
      <c r="T4217" s="10">
        <v>43</v>
      </c>
      <c r="U4217" s="2">
        <f t="shared" si="656"/>
        <v>9.89</v>
      </c>
      <c r="V4217" s="2">
        <f t="shared" si="659"/>
        <v>52.89</v>
      </c>
      <c r="W4217" s="2">
        <v>35.49</v>
      </c>
      <c r="X4217" s="5">
        <f t="shared" si="657"/>
        <v>0.17465116279069762</v>
      </c>
      <c r="Z4217" s="2" t="s">
        <v>3226</v>
      </c>
      <c r="AA4217" s="2" t="s">
        <v>71</v>
      </c>
      <c r="AB4217" s="2" t="s">
        <v>68</v>
      </c>
      <c r="AC4217" s="2" t="s">
        <v>3435</v>
      </c>
      <c r="AI4217" s="2"/>
      <c r="AK4217" s="2">
        <f t="shared" si="655"/>
        <v>7.509999999999998</v>
      </c>
      <c r="AL4217" s="5">
        <f t="shared" si="658"/>
        <v>0.17465116279069762</v>
      </c>
    </row>
    <row r="4218" spans="1:38" x14ac:dyDescent="0.2">
      <c r="A4218" s="8">
        <v>2026</v>
      </c>
      <c r="B4218" s="8">
        <v>6</v>
      </c>
      <c r="C4218" s="8" t="s">
        <v>3293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2897</v>
      </c>
      <c r="Q4218" s="2" t="s">
        <v>3080</v>
      </c>
      <c r="R4218" s="2" t="s">
        <v>3081</v>
      </c>
      <c r="S4218" s="9">
        <v>1</v>
      </c>
      <c r="T4218" s="10">
        <v>198</v>
      </c>
      <c r="U4218" s="2">
        <f t="shared" si="656"/>
        <v>45.54</v>
      </c>
      <c r="V4218" s="2">
        <f t="shared" si="659"/>
        <v>243.54</v>
      </c>
      <c r="W4218" s="2">
        <v>148.5</v>
      </c>
      <c r="X4218" s="5">
        <f t="shared" si="657"/>
        <v>0.25</v>
      </c>
      <c r="Z4218" s="2" t="s">
        <v>3226</v>
      </c>
      <c r="AA4218" s="2" t="s">
        <v>71</v>
      </c>
      <c r="AB4218" s="2" t="s">
        <v>2897</v>
      </c>
      <c r="AC4218" s="2" t="s">
        <v>2897</v>
      </c>
      <c r="AI4218" s="2"/>
      <c r="AK4218" s="2">
        <f t="shared" si="655"/>
        <v>49.5</v>
      </c>
      <c r="AL4218" s="5">
        <f t="shared" si="658"/>
        <v>0.25</v>
      </c>
    </row>
    <row r="4219" spans="1:38" x14ac:dyDescent="0.2">
      <c r="A4219" s="8">
        <v>2026</v>
      </c>
      <c r="B4219" s="8">
        <v>6</v>
      </c>
      <c r="C4219" s="8" t="s">
        <v>3293</v>
      </c>
      <c r="D4219" s="2" t="s">
        <v>3108</v>
      </c>
      <c r="E4219" s="2" t="s">
        <v>38</v>
      </c>
      <c r="F4219" s="2" t="s">
        <v>39</v>
      </c>
      <c r="L4219" s="2" t="s">
        <v>99</v>
      </c>
      <c r="M4219" s="2" t="s">
        <v>40</v>
      </c>
      <c r="P4219" s="2" t="s">
        <v>40</v>
      </c>
      <c r="Q4219" s="2" t="s">
        <v>3082</v>
      </c>
      <c r="R4219" s="2" t="s">
        <v>3083</v>
      </c>
      <c r="S4219" s="9">
        <v>1</v>
      </c>
      <c r="T4219" s="10">
        <v>3000</v>
      </c>
      <c r="U4219" s="2">
        <f t="shared" si="656"/>
        <v>690</v>
      </c>
      <c r="V4219" s="10">
        <f t="shared" si="659"/>
        <v>3690</v>
      </c>
      <c r="W4219" s="2">
        <f>T4219*75%</f>
        <v>2250</v>
      </c>
      <c r="X4219" s="5">
        <f t="shared" si="657"/>
        <v>0.25</v>
      </c>
      <c r="Z4219" s="2" t="s">
        <v>104</v>
      </c>
      <c r="AA4219" s="2" t="s">
        <v>414</v>
      </c>
      <c r="AB4219" s="2" t="s">
        <v>475</v>
      </c>
      <c r="AC4219" s="2" t="s">
        <v>114</v>
      </c>
      <c r="AI4219" s="2"/>
      <c r="AK4219" s="2">
        <f t="shared" si="655"/>
        <v>750</v>
      </c>
      <c r="AL4219" s="5">
        <f t="shared" si="658"/>
        <v>0.25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1038</v>
      </c>
      <c r="Q4220" s="2" t="s">
        <v>3084</v>
      </c>
      <c r="R4220" s="2" t="s">
        <v>3085</v>
      </c>
      <c r="S4220" s="9">
        <v>1</v>
      </c>
      <c r="T4220" s="10">
        <v>240</v>
      </c>
      <c r="U4220" s="2">
        <f t="shared" si="656"/>
        <v>55.2</v>
      </c>
      <c r="V4220" s="2">
        <f t="shared" si="659"/>
        <v>295.2</v>
      </c>
      <c r="W4220" s="2">
        <v>128.99</v>
      </c>
      <c r="X4220" s="5">
        <f t="shared" si="657"/>
        <v>0.46254166666666663</v>
      </c>
      <c r="Z4220" s="2" t="s">
        <v>3226</v>
      </c>
      <c r="AA4220" s="2" t="s">
        <v>75</v>
      </c>
      <c r="AB4220" s="2" t="s">
        <v>76</v>
      </c>
      <c r="AC4220" s="2" t="s">
        <v>1038</v>
      </c>
      <c r="AF4220" s="2">
        <f>AJ4220</f>
        <v>0</v>
      </c>
      <c r="AI4220" s="2"/>
      <c r="AJ4220" s="2">
        <f>AI4220*T4220</f>
        <v>0</v>
      </c>
      <c r="AK4220" s="2">
        <f t="shared" si="655"/>
        <v>111.00999999999999</v>
      </c>
      <c r="AL4220" s="5">
        <f t="shared" si="658"/>
        <v>0.46254166666666663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169</v>
      </c>
      <c r="Q4221" s="2" t="s">
        <v>170</v>
      </c>
      <c r="R4221" s="2" t="s">
        <v>170</v>
      </c>
      <c r="S4221" s="9">
        <v>1</v>
      </c>
      <c r="T4221" s="10">
        <v>30</v>
      </c>
      <c r="U4221" s="2">
        <f t="shared" si="656"/>
        <v>6.9</v>
      </c>
      <c r="V4221" s="10">
        <f t="shared" si="659"/>
        <v>36.9</v>
      </c>
      <c r="W4221" s="2">
        <v>28</v>
      </c>
      <c r="X4221" s="5">
        <f t="shared" si="657"/>
        <v>6.6666666666666666E-2</v>
      </c>
      <c r="Z4221" s="2" t="s">
        <v>169</v>
      </c>
      <c r="AA4221" s="2" t="s">
        <v>169</v>
      </c>
      <c r="AI4221" s="2"/>
      <c r="AK4221" s="2">
        <f t="shared" si="655"/>
        <v>2</v>
      </c>
      <c r="AL4221" s="5">
        <f t="shared" si="658"/>
        <v>6.6666666666666666E-2</v>
      </c>
    </row>
    <row r="4222" spans="1:38" x14ac:dyDescent="0.2">
      <c r="A4222" s="8">
        <v>2026</v>
      </c>
      <c r="B4222" s="8">
        <v>6</v>
      </c>
      <c r="C4222" s="8"/>
      <c r="D4222" s="2" t="s">
        <v>2047</v>
      </c>
      <c r="P4222" s="2" t="s">
        <v>93</v>
      </c>
      <c r="Q4222" s="2" t="s">
        <v>94</v>
      </c>
      <c r="R4222" s="2" t="s">
        <v>95</v>
      </c>
      <c r="S4222" s="9">
        <v>1</v>
      </c>
      <c r="T4222" s="10">
        <v>1.48</v>
      </c>
      <c r="U4222" s="2">
        <f t="shared" si="656"/>
        <v>0.34040000000000004</v>
      </c>
      <c r="V4222" s="10">
        <f t="shared" si="659"/>
        <v>1.8204</v>
      </c>
      <c r="W4222" s="2">
        <f>1.48*S4222</f>
        <v>1.48</v>
      </c>
      <c r="X4222" s="5">
        <f t="shared" si="657"/>
        <v>0</v>
      </c>
      <c r="Z4222" s="2" t="s">
        <v>3226</v>
      </c>
      <c r="AA4222" s="2" t="s">
        <v>96</v>
      </c>
      <c r="AB4222" s="2" t="s">
        <v>76</v>
      </c>
      <c r="AC4222" s="2" t="s">
        <v>93</v>
      </c>
      <c r="AF4222" s="2">
        <f>AJ4222</f>
        <v>0</v>
      </c>
      <c r="AG4222" s="2">
        <v>1.48</v>
      </c>
      <c r="AH4222" s="2">
        <v>1.48</v>
      </c>
      <c r="AI4222" s="2"/>
      <c r="AJ4222" s="2">
        <f>AI4222*T4222</f>
        <v>0</v>
      </c>
      <c r="AK4222" s="2">
        <f t="shared" si="655"/>
        <v>0</v>
      </c>
      <c r="AL4222" s="5">
        <f t="shared" si="658"/>
        <v>0</v>
      </c>
    </row>
    <row r="4223" spans="1:38" x14ac:dyDescent="0.2">
      <c r="A4223" s="8">
        <v>2026</v>
      </c>
      <c r="B4223" s="8">
        <v>6</v>
      </c>
      <c r="C4223" s="8" t="s">
        <v>3322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114</v>
      </c>
      <c r="Q4223" s="2" t="s">
        <v>2281</v>
      </c>
      <c r="R4223" s="2" t="s">
        <v>2282</v>
      </c>
      <c r="S4223" s="9">
        <v>1</v>
      </c>
      <c r="T4223" s="10">
        <v>278.67</v>
      </c>
      <c r="U4223" s="2">
        <f t="shared" si="656"/>
        <v>64.094100000000012</v>
      </c>
      <c r="V4223" s="2">
        <f t="shared" si="659"/>
        <v>342.76410000000004</v>
      </c>
      <c r="W4223" s="2">
        <f>134.41</f>
        <v>134.41</v>
      </c>
      <c r="X4223" s="5">
        <f t="shared" si="657"/>
        <v>0.51767323357376116</v>
      </c>
      <c r="Z4223" s="2" t="s">
        <v>117</v>
      </c>
      <c r="AA4223" s="2" t="s">
        <v>118</v>
      </c>
      <c r="AB4223" s="2" t="s">
        <v>119</v>
      </c>
      <c r="AC4223" s="2" t="s">
        <v>114</v>
      </c>
      <c r="AI4223" s="2"/>
      <c r="AK4223" s="2">
        <f t="shared" si="655"/>
        <v>144.26000000000002</v>
      </c>
      <c r="AL4223" s="5">
        <f t="shared" si="658"/>
        <v>0.51767323357376116</v>
      </c>
    </row>
    <row r="4224" spans="1:38" x14ac:dyDescent="0.2">
      <c r="A4224" s="8">
        <v>2026</v>
      </c>
      <c r="B4224" s="8">
        <v>6</v>
      </c>
      <c r="C4224" s="8" t="s">
        <v>3322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188</v>
      </c>
      <c r="R4224" s="2" t="s">
        <v>189</v>
      </c>
      <c r="S4224" s="9">
        <v>1</v>
      </c>
      <c r="T4224" s="10">
        <v>147</v>
      </c>
      <c r="U4224" s="2">
        <f t="shared" si="656"/>
        <v>33.81</v>
      </c>
      <c r="V4224" s="2">
        <f t="shared" si="659"/>
        <v>180.81</v>
      </c>
      <c r="W4224" s="2">
        <f>T4224*40%</f>
        <v>58.800000000000004</v>
      </c>
      <c r="X4224" s="5">
        <f t="shared" si="657"/>
        <v>0.6</v>
      </c>
      <c r="Z4224" s="2" t="s">
        <v>117</v>
      </c>
      <c r="AA4224" s="2" t="s">
        <v>190</v>
      </c>
      <c r="AB4224" s="2" t="s">
        <v>189</v>
      </c>
      <c r="AC4224" s="2" t="s">
        <v>40</v>
      </c>
      <c r="AG4224" s="2">
        <f>W4224</f>
        <v>58.800000000000004</v>
      </c>
      <c r="AI4224" s="2"/>
      <c r="AJ4224" s="2">
        <f>AI4224*T4224</f>
        <v>0</v>
      </c>
      <c r="AK4224" s="2">
        <f t="shared" si="655"/>
        <v>88.199999999999989</v>
      </c>
      <c r="AL4224" s="5">
        <f t="shared" si="658"/>
        <v>0.6</v>
      </c>
    </row>
    <row r="4225" spans="1:38" x14ac:dyDescent="0.2">
      <c r="A4225" s="8">
        <v>2026</v>
      </c>
      <c r="B4225" s="8">
        <v>6</v>
      </c>
      <c r="C4225" s="8" t="s">
        <v>3322</v>
      </c>
      <c r="D4225" s="2" t="s">
        <v>2049</v>
      </c>
      <c r="E4225" s="2" t="s">
        <v>108</v>
      </c>
      <c r="F4225" s="2" t="s">
        <v>39</v>
      </c>
      <c r="G4225" s="2">
        <v>514960337</v>
      </c>
      <c r="H4225" s="2" t="s">
        <v>290</v>
      </c>
      <c r="I4225" s="2" t="s">
        <v>2779</v>
      </c>
      <c r="J4225" s="2" t="s">
        <v>2820</v>
      </c>
      <c r="K4225" s="2">
        <v>914732950</v>
      </c>
      <c r="L4225" s="2" t="s">
        <v>480</v>
      </c>
      <c r="M4225" s="2" t="s">
        <v>40</v>
      </c>
      <c r="P4225" s="2" t="s">
        <v>187</v>
      </c>
      <c r="Q4225" s="2" t="s">
        <v>191</v>
      </c>
      <c r="R4225" s="2" t="s">
        <v>190</v>
      </c>
      <c r="S4225" s="9">
        <v>2</v>
      </c>
      <c r="T4225" s="10">
        <v>110</v>
      </c>
      <c r="U4225" s="2">
        <f t="shared" si="656"/>
        <v>25.3</v>
      </c>
      <c r="V4225" s="2">
        <f t="shared" si="659"/>
        <v>135.30000000000001</v>
      </c>
      <c r="W4225" s="2">
        <f>T4225*50%</f>
        <v>55</v>
      </c>
      <c r="X4225" s="5">
        <f t="shared" si="657"/>
        <v>0.5</v>
      </c>
      <c r="Z4225" s="2" t="s">
        <v>117</v>
      </c>
      <c r="AA4225" s="2" t="s">
        <v>190</v>
      </c>
      <c r="AB4225" s="2" t="s">
        <v>190</v>
      </c>
      <c r="AC4225" s="2" t="s">
        <v>40</v>
      </c>
      <c r="AF4225" s="2">
        <f>AJ4225</f>
        <v>0</v>
      </c>
      <c r="AG4225" s="2">
        <f>W4225</f>
        <v>55</v>
      </c>
      <c r="AI4225" s="2"/>
      <c r="AJ4225" s="2">
        <f>AI4225*T4225</f>
        <v>0</v>
      </c>
      <c r="AK4225" s="2">
        <f t="shared" si="655"/>
        <v>55</v>
      </c>
      <c r="AL4225" s="5">
        <f t="shared" si="658"/>
        <v>0.5</v>
      </c>
    </row>
    <row r="4226" spans="1:38" x14ac:dyDescent="0.2">
      <c r="A4226" s="8">
        <v>2026</v>
      </c>
      <c r="B4226" s="8">
        <v>6</v>
      </c>
      <c r="C4226" s="8" t="s">
        <v>3446</v>
      </c>
      <c r="D4226" s="2" t="s">
        <v>2904</v>
      </c>
      <c r="F4226" s="2" t="s">
        <v>3444</v>
      </c>
      <c r="L4226" s="2" t="s">
        <v>99</v>
      </c>
      <c r="M4226" s="2" t="s">
        <v>80</v>
      </c>
      <c r="P4226" s="2" t="s">
        <v>282</v>
      </c>
      <c r="Q4226" s="2" t="s">
        <v>401</v>
      </c>
      <c r="R4226" s="2" t="s">
        <v>402</v>
      </c>
      <c r="S4226" s="9">
        <v>2</v>
      </c>
      <c r="T4226" s="10">
        <v>58</v>
      </c>
      <c r="U4226" s="2">
        <f t="shared" si="656"/>
        <v>13.34</v>
      </c>
      <c r="V4226" s="2">
        <f t="shared" si="659"/>
        <v>71.34</v>
      </c>
      <c r="W4226" s="2">
        <f>14.5099*S4226</f>
        <v>29.0198</v>
      </c>
      <c r="X4226" s="5">
        <f t="shared" si="657"/>
        <v>0.49965862068965516</v>
      </c>
      <c r="Z4226" s="2" t="s">
        <v>3226</v>
      </c>
      <c r="AA4226" s="2" t="s">
        <v>46</v>
      </c>
      <c r="AB4226" s="2" t="s">
        <v>60</v>
      </c>
      <c r="AC4226" s="2" t="s">
        <v>3331</v>
      </c>
      <c r="AI4226" s="2"/>
      <c r="AK4226" s="2">
        <f t="shared" si="655"/>
        <v>28.9802</v>
      </c>
      <c r="AL4226" s="5">
        <f t="shared" si="658"/>
        <v>0.49965862068965516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P4227" s="2" t="s">
        <v>72</v>
      </c>
      <c r="Q4227" s="2" t="s">
        <v>73</v>
      </c>
      <c r="R4227" s="2" t="s">
        <v>74</v>
      </c>
      <c r="S4227" s="9">
        <v>1</v>
      </c>
      <c r="T4227" s="10">
        <v>219.88</v>
      </c>
      <c r="U4227" s="2">
        <f t="shared" si="656"/>
        <v>50.572400000000002</v>
      </c>
      <c r="V4227" s="10">
        <f t="shared" si="659"/>
        <v>270.45240000000001</v>
      </c>
      <c r="W4227" s="2">
        <v>125.51600000000001</v>
      </c>
      <c r="X4227" s="5">
        <f t="shared" si="657"/>
        <v>0.429161360742223</v>
      </c>
      <c r="Z4227" s="2" t="s">
        <v>3226</v>
      </c>
      <c r="AA4227" s="2" t="s">
        <v>75</v>
      </c>
      <c r="AB4227" s="2" t="s">
        <v>76</v>
      </c>
      <c r="AC4227" s="2" t="s">
        <v>77</v>
      </c>
      <c r="AF4227" s="2">
        <f>AJ4227</f>
        <v>0</v>
      </c>
      <c r="AG4227" s="2">
        <v>125.51600000000001</v>
      </c>
      <c r="AH4227" s="2">
        <v>220</v>
      </c>
      <c r="AI4227" s="2"/>
      <c r="AJ4227" s="2">
        <f>AI4227*T4227</f>
        <v>0</v>
      </c>
      <c r="AK4227" s="2">
        <f t="shared" si="655"/>
        <v>94.36399999999999</v>
      </c>
      <c r="AL4227" s="5">
        <f t="shared" si="658"/>
        <v>0.429161360742223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80</v>
      </c>
      <c r="O4228" s="2" t="s">
        <v>3155</v>
      </c>
      <c r="P4228" s="2" t="s">
        <v>1038</v>
      </c>
      <c r="Q4228" s="2" t="s">
        <v>1833</v>
      </c>
      <c r="R4228" s="2" t="s">
        <v>1834</v>
      </c>
      <c r="S4228" s="9">
        <v>1</v>
      </c>
      <c r="T4228" s="10">
        <v>269.56</v>
      </c>
      <c r="U4228" s="2">
        <f t="shared" si="656"/>
        <v>61.998800000000003</v>
      </c>
      <c r="V4228" s="2">
        <f t="shared" si="659"/>
        <v>331.55880000000002</v>
      </c>
      <c r="W4228" s="2">
        <v>157.85</v>
      </c>
      <c r="X4228" s="5">
        <f t="shared" si="657"/>
        <v>0.4144160854726221</v>
      </c>
      <c r="Z4228" s="2" t="s">
        <v>3226</v>
      </c>
      <c r="AA4228" s="2" t="s">
        <v>75</v>
      </c>
      <c r="AB4228" s="2" t="s">
        <v>76</v>
      </c>
      <c r="AC4228" s="2" t="s">
        <v>1038</v>
      </c>
      <c r="AF4228" s="2">
        <f>AJ4228</f>
        <v>0</v>
      </c>
      <c r="AG4228" s="2">
        <v>157.85</v>
      </c>
      <c r="AI4228" s="2"/>
      <c r="AJ4228" s="2">
        <f>AI4228*T4228</f>
        <v>0</v>
      </c>
      <c r="AK4228" s="2">
        <f t="shared" si="655"/>
        <v>111.71000000000001</v>
      </c>
      <c r="AL4228" s="5">
        <f t="shared" si="658"/>
        <v>0.4144160854726221</v>
      </c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40</v>
      </c>
      <c r="P4229" s="2" t="s">
        <v>40</v>
      </c>
      <c r="Q4229" s="2" t="s">
        <v>140</v>
      </c>
      <c r="R4229" s="2" t="s">
        <v>141</v>
      </c>
      <c r="S4229" s="9">
        <v>-1</v>
      </c>
      <c r="T4229" s="10">
        <v>-20.65</v>
      </c>
      <c r="U4229" s="2">
        <f t="shared" si="656"/>
        <v>-4.7495000000000003</v>
      </c>
      <c r="V4229" s="10">
        <f t="shared" si="659"/>
        <v>-25.3995</v>
      </c>
      <c r="Z4229" s="2" t="s">
        <v>119</v>
      </c>
      <c r="AA4229" s="2" t="s">
        <v>142</v>
      </c>
      <c r="AI4229" s="2"/>
    </row>
    <row r="4230" spans="1:38" x14ac:dyDescent="0.2">
      <c r="A4230" s="8">
        <v>2026</v>
      </c>
      <c r="B4230" s="8">
        <v>6</v>
      </c>
      <c r="C4230" s="8"/>
      <c r="D4230" s="2" t="s">
        <v>530</v>
      </c>
      <c r="E4230" s="2" t="s">
        <v>108</v>
      </c>
      <c r="F4230" s="2" t="s">
        <v>531</v>
      </c>
      <c r="G4230" s="2">
        <v>502139552</v>
      </c>
      <c r="H4230" s="2" t="s">
        <v>40</v>
      </c>
      <c r="I4230" s="2" t="s">
        <v>339</v>
      </c>
      <c r="J4230" s="2" t="s">
        <v>532</v>
      </c>
      <c r="L4230" s="2" t="s">
        <v>339</v>
      </c>
      <c r="M4230" s="2" t="s">
        <v>80</v>
      </c>
      <c r="P4230" s="2" t="s">
        <v>93</v>
      </c>
      <c r="Q4230" s="2" t="s">
        <v>94</v>
      </c>
      <c r="R4230" s="2" t="s">
        <v>95</v>
      </c>
      <c r="S4230" s="9">
        <v>2</v>
      </c>
      <c r="T4230" s="10">
        <v>2.96</v>
      </c>
      <c r="U4230" s="2">
        <f t="shared" si="656"/>
        <v>0.68080000000000007</v>
      </c>
      <c r="V4230" s="10">
        <f t="shared" si="659"/>
        <v>3.6408</v>
      </c>
      <c r="W4230" s="2">
        <f>1.48*S4230</f>
        <v>2.96</v>
      </c>
      <c r="X4230" s="5">
        <f t="shared" ref="X4230:X4235" si="660">(T4230-W4230)/T4230</f>
        <v>0</v>
      </c>
      <c r="Z4230" s="2" t="s">
        <v>3226</v>
      </c>
      <c r="AA4230" s="2" t="s">
        <v>96</v>
      </c>
      <c r="AB4230" s="2" t="s">
        <v>76</v>
      </c>
      <c r="AC4230" s="2" t="s">
        <v>93</v>
      </c>
      <c r="AF4230" s="2">
        <f>AJ4230</f>
        <v>0</v>
      </c>
      <c r="AG4230" s="2">
        <v>1.48</v>
      </c>
      <c r="AH4230" s="2">
        <v>1.48</v>
      </c>
      <c r="AI4230" s="2"/>
      <c r="AJ4230" s="2">
        <f>AI4230*T4230</f>
        <v>0</v>
      </c>
      <c r="AK4230" s="2">
        <f>T4230-W4230</f>
        <v>0</v>
      </c>
      <c r="AL4230" s="5">
        <f>(T4230-W4230)/T4230</f>
        <v>0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218</v>
      </c>
      <c r="R4231" s="2" t="s">
        <v>219</v>
      </c>
      <c r="S4231" s="9">
        <v>1</v>
      </c>
      <c r="T4231" s="10">
        <v>23.4</v>
      </c>
      <c r="U4231" s="2">
        <f t="shared" si="656"/>
        <v>5.3819999999999997</v>
      </c>
      <c r="V4231" s="10">
        <f t="shared" si="659"/>
        <v>28.781999999999996</v>
      </c>
      <c r="W4231" s="2">
        <v>12.4434</v>
      </c>
      <c r="X4231" s="5">
        <f t="shared" si="660"/>
        <v>0.46823076923076917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>T4231-W4231</f>
        <v>10.956599999999998</v>
      </c>
      <c r="AL4231" s="5">
        <f>(T4231-W4231)/T4231</f>
        <v>0.46823076923076917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222</v>
      </c>
      <c r="R4232" s="2" t="s">
        <v>223</v>
      </c>
      <c r="S4232" s="9">
        <v>1</v>
      </c>
      <c r="T4232" s="10">
        <v>30</v>
      </c>
      <c r="U4232" s="2">
        <f t="shared" si="656"/>
        <v>6.9</v>
      </c>
      <c r="V4232" s="10">
        <f t="shared" si="659"/>
        <v>36.9</v>
      </c>
      <c r="W4232" s="2">
        <f>16*S4232</f>
        <v>16</v>
      </c>
      <c r="X4232" s="5">
        <f t="shared" si="660"/>
        <v>0.46666666666666667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ref="AK4232:AK4233" si="661">T4232-W4232</f>
        <v>14</v>
      </c>
      <c r="AL4232" s="5">
        <f t="shared" ref="AL4232:AL4233" si="662">(T4232-W4232)/T4232</f>
        <v>0.46666666666666667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238</v>
      </c>
      <c r="R4233" s="2" t="s">
        <v>239</v>
      </c>
      <c r="S4233" s="9">
        <v>1</v>
      </c>
      <c r="T4233" s="10">
        <v>21</v>
      </c>
      <c r="U4233" s="2">
        <f t="shared" si="656"/>
        <v>4.83</v>
      </c>
      <c r="V4233" s="10">
        <f t="shared" si="659"/>
        <v>25.83</v>
      </c>
      <c r="W4233" s="2">
        <f>11.045*S4233</f>
        <v>11.045</v>
      </c>
      <c r="X4233" s="5">
        <f t="shared" si="660"/>
        <v>0.47404761904761905</v>
      </c>
      <c r="Z4233" s="2" t="s">
        <v>3226</v>
      </c>
      <c r="AA4233" s="2" t="s">
        <v>46</v>
      </c>
      <c r="AB4233" s="2" t="s">
        <v>56</v>
      </c>
      <c r="AC4233" s="2" t="s">
        <v>57</v>
      </c>
      <c r="AI4233" s="2"/>
      <c r="AK4233" s="2">
        <f t="shared" si="661"/>
        <v>9.9550000000000001</v>
      </c>
      <c r="AL4233" s="5">
        <f t="shared" si="662"/>
        <v>0.47404761904761905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61</v>
      </c>
      <c r="R4234" s="2" t="s">
        <v>62</v>
      </c>
      <c r="S4234" s="9">
        <v>300</v>
      </c>
      <c r="T4234" s="10">
        <v>39</v>
      </c>
      <c r="U4234" s="2">
        <f t="shared" si="656"/>
        <v>8.9700000000000006</v>
      </c>
      <c r="V4234" s="10">
        <f t="shared" si="659"/>
        <v>47.97</v>
      </c>
      <c r="W4234" s="2">
        <f>0.082*S4234</f>
        <v>24.6</v>
      </c>
      <c r="X4234" s="5">
        <f t="shared" si="660"/>
        <v>0.3692307692307692</v>
      </c>
      <c r="Z4234" s="2" t="s">
        <v>3226</v>
      </c>
      <c r="AA4234" s="2" t="s">
        <v>46</v>
      </c>
      <c r="AB4234" s="2" t="s">
        <v>60</v>
      </c>
      <c r="AC4234" s="2" t="s">
        <v>57</v>
      </c>
      <c r="AI4234" s="2"/>
      <c r="AK4234" s="2">
        <f>T4234-W4234</f>
        <v>14.399999999999999</v>
      </c>
      <c r="AL4234" s="5">
        <f>(T4234-W4234)/T4234</f>
        <v>0.3692307692307692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43</v>
      </c>
      <c r="Q4235" s="2" t="s">
        <v>2966</v>
      </c>
      <c r="R4235" s="2" t="s">
        <v>2967</v>
      </c>
      <c r="S4235" s="9">
        <v>2</v>
      </c>
      <c r="T4235" s="10">
        <v>36</v>
      </c>
      <c r="U4235" s="2">
        <f t="shared" si="656"/>
        <v>8.2800000000000011</v>
      </c>
      <c r="V4235" s="10">
        <f t="shared" si="659"/>
        <v>44.28</v>
      </c>
      <c r="W4235" s="2">
        <f>11.525*S4235</f>
        <v>23.05</v>
      </c>
      <c r="X4235" s="5">
        <f t="shared" si="660"/>
        <v>0.35972222222222222</v>
      </c>
      <c r="Z4235" s="2" t="s">
        <v>3226</v>
      </c>
      <c r="AA4235" s="2" t="s">
        <v>46</v>
      </c>
      <c r="AB4235" s="2" t="s">
        <v>56</v>
      </c>
      <c r="AC4235" s="2" t="s">
        <v>57</v>
      </c>
      <c r="AI4235" s="2"/>
      <c r="AK4235" s="2">
        <f>T4235-W4235</f>
        <v>12.95</v>
      </c>
      <c r="AL4235" s="5">
        <f>(T4235-W4235)/T4235</f>
        <v>0.35972222222222222</v>
      </c>
    </row>
    <row r="4236" spans="1:38" x14ac:dyDescent="0.2">
      <c r="A4236" s="8">
        <v>2026</v>
      </c>
      <c r="B4236" s="8">
        <v>6</v>
      </c>
      <c r="C4236" s="8"/>
      <c r="D4236" s="2" t="s">
        <v>2526</v>
      </c>
      <c r="P4236" s="2" t="s">
        <v>40</v>
      </c>
      <c r="Q4236" s="2" t="s">
        <v>1308</v>
      </c>
      <c r="R4236" s="2" t="s">
        <v>1309</v>
      </c>
      <c r="S4236" s="9">
        <v>1</v>
      </c>
      <c r="T4236" s="10">
        <v>0</v>
      </c>
      <c r="U4236" s="2">
        <v>0</v>
      </c>
      <c r="V4236" s="2">
        <v>0</v>
      </c>
      <c r="W4236" s="2">
        <v>0</v>
      </c>
      <c r="X4236" s="2"/>
      <c r="Z4236" s="2" t="s">
        <v>117</v>
      </c>
      <c r="AA4236" s="2" t="s">
        <v>1310</v>
      </c>
      <c r="AI4236" s="2"/>
      <c r="AL4236" s="2"/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O4237" s="2" t="s">
        <v>3159</v>
      </c>
      <c r="P4237" s="2" t="s">
        <v>1038</v>
      </c>
      <c r="Q4237" s="2" t="s">
        <v>3086</v>
      </c>
      <c r="R4237" s="2" t="s">
        <v>3087</v>
      </c>
      <c r="S4237" s="9">
        <v>1</v>
      </c>
      <c r="T4237" s="10">
        <v>270</v>
      </c>
      <c r="U4237" s="2">
        <f t="shared" ref="U4237:U4258" si="663">T4237*23%</f>
        <v>62.1</v>
      </c>
      <c r="V4237" s="2">
        <f t="shared" ref="V4237:V4258" si="664">T4237+U4237</f>
        <v>332.1</v>
      </c>
      <c r="W4237" s="2">
        <v>141.16</v>
      </c>
      <c r="X4237" s="5">
        <f t="shared" ref="X4237:X4274" si="665">(T4237-W4237)/T4237</f>
        <v>0.47718518518518521</v>
      </c>
      <c r="Z4237" s="2" t="s">
        <v>3226</v>
      </c>
      <c r="AA4237" s="2" t="s">
        <v>75</v>
      </c>
      <c r="AB4237" s="2" t="s">
        <v>76</v>
      </c>
      <c r="AC4237" s="2" t="s">
        <v>1038</v>
      </c>
      <c r="AF4237" s="2">
        <f>AJ4237</f>
        <v>0</v>
      </c>
      <c r="AG4237" s="2">
        <v>141.16</v>
      </c>
      <c r="AI4237" s="2"/>
      <c r="AJ4237" s="2">
        <f>AI4237*T4237</f>
        <v>0</v>
      </c>
      <c r="AK4237" s="2">
        <f>T4237-W4237</f>
        <v>128.84</v>
      </c>
      <c r="AL4237" s="5">
        <f>(T4237-W4237)/T4237</f>
        <v>0.47718518518518521</v>
      </c>
    </row>
    <row r="4238" spans="1:38" x14ac:dyDescent="0.2">
      <c r="A4238" s="8">
        <v>2026</v>
      </c>
      <c r="B4238" s="8">
        <v>6</v>
      </c>
      <c r="C4238" s="8"/>
      <c r="D4238" s="2" t="s">
        <v>1271</v>
      </c>
      <c r="E4238" s="2" t="s">
        <v>108</v>
      </c>
      <c r="F4238" s="2" t="s">
        <v>39</v>
      </c>
      <c r="G4238" s="2">
        <v>502618540</v>
      </c>
      <c r="H4238" s="2" t="s">
        <v>41</v>
      </c>
      <c r="I4238" s="2" t="s">
        <v>1272</v>
      </c>
      <c r="J4238" s="2" t="s">
        <v>1273</v>
      </c>
      <c r="L4238" s="2" t="s">
        <v>177</v>
      </c>
      <c r="M4238" s="2" t="s">
        <v>41</v>
      </c>
      <c r="P4238" s="2" t="s">
        <v>93</v>
      </c>
      <c r="Q4238" s="2" t="s">
        <v>94</v>
      </c>
      <c r="R4238" s="2" t="s">
        <v>95</v>
      </c>
      <c r="S4238" s="9">
        <v>1</v>
      </c>
      <c r="T4238" s="10">
        <v>1.48</v>
      </c>
      <c r="U4238" s="2">
        <f t="shared" si="663"/>
        <v>0.34040000000000004</v>
      </c>
      <c r="V4238" s="10">
        <f t="shared" si="664"/>
        <v>1.8204</v>
      </c>
      <c r="W4238" s="2">
        <f>1.48*S4238</f>
        <v>1.48</v>
      </c>
      <c r="X4238" s="5">
        <f t="shared" si="665"/>
        <v>0</v>
      </c>
      <c r="Z4238" s="2" t="s">
        <v>3226</v>
      </c>
      <c r="AA4238" s="2" t="s">
        <v>96</v>
      </c>
      <c r="AB4238" s="2" t="s">
        <v>76</v>
      </c>
      <c r="AC4238" s="2" t="s">
        <v>93</v>
      </c>
      <c r="AF4238" s="2">
        <f>AJ4238</f>
        <v>0</v>
      </c>
      <c r="AG4238" s="2">
        <v>1.48</v>
      </c>
      <c r="AH4238" s="2">
        <v>1.48</v>
      </c>
      <c r="AI4238" s="2"/>
      <c r="AJ4238" s="2">
        <f>AI4238*T4238</f>
        <v>0</v>
      </c>
      <c r="AK4238" s="2">
        <f>T4238-W4238</f>
        <v>0</v>
      </c>
      <c r="AL4238" s="5">
        <f>(T4238-W4238)/T4238</f>
        <v>0</v>
      </c>
    </row>
    <row r="4239" spans="1:38" x14ac:dyDescent="0.2">
      <c r="A4239" s="8">
        <v>2026</v>
      </c>
      <c r="B4239" s="8">
        <v>6</v>
      </c>
      <c r="C4239" s="8"/>
      <c r="D4239" s="2" t="s">
        <v>3107</v>
      </c>
      <c r="P4239" s="2" t="s">
        <v>282</v>
      </c>
      <c r="Q4239" s="2" t="s">
        <v>3088</v>
      </c>
      <c r="R4239" s="2" t="s">
        <v>3089</v>
      </c>
      <c r="S4239" s="9">
        <v>1</v>
      </c>
      <c r="T4239" s="10">
        <v>2490</v>
      </c>
      <c r="U4239" s="2">
        <f t="shared" si="663"/>
        <v>572.70000000000005</v>
      </c>
      <c r="V4239" s="10">
        <f t="shared" si="664"/>
        <v>3062.7</v>
      </c>
      <c r="W4239" s="2">
        <f>1970.05+49</f>
        <v>2019.05</v>
      </c>
      <c r="X4239" s="5">
        <f t="shared" si="665"/>
        <v>0.18913654618473896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3107</v>
      </c>
      <c r="P4240" s="2" t="s">
        <v>282</v>
      </c>
      <c r="Q4240" s="2" t="s">
        <v>3090</v>
      </c>
      <c r="R4240" s="2" t="s">
        <v>3091</v>
      </c>
      <c r="S4240" s="9">
        <v>1</v>
      </c>
      <c r="T4240" s="10">
        <v>2490</v>
      </c>
      <c r="U4240" s="2">
        <f t="shared" si="663"/>
        <v>572.70000000000005</v>
      </c>
      <c r="V4240" s="10">
        <f t="shared" si="664"/>
        <v>3062.7</v>
      </c>
      <c r="W4240" s="2">
        <f>1995.2+43.97</f>
        <v>2039.17</v>
      </c>
      <c r="X4240" s="5">
        <f t="shared" si="665"/>
        <v>0.18105622489959836</v>
      </c>
      <c r="Z4240" s="2" t="s">
        <v>104</v>
      </c>
      <c r="AA4240" s="2" t="s">
        <v>387</v>
      </c>
      <c r="AB4240" s="2" t="s">
        <v>1330</v>
      </c>
      <c r="AC4240" s="2" t="s">
        <v>1327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M4241" s="2" t="s">
        <v>40</v>
      </c>
      <c r="P4241" s="2" t="s">
        <v>114</v>
      </c>
      <c r="Q4241" s="2" t="s">
        <v>779</v>
      </c>
      <c r="R4241" s="2" t="s">
        <v>780</v>
      </c>
      <c r="S4241" s="9">
        <v>2</v>
      </c>
      <c r="T4241" s="10">
        <v>157.18</v>
      </c>
      <c r="U4241" s="2">
        <f t="shared" si="663"/>
        <v>36.151400000000002</v>
      </c>
      <c r="V4241" s="10">
        <f t="shared" si="664"/>
        <v>193.3314</v>
      </c>
      <c r="W4241" s="2">
        <f>36.2258*S4241</f>
        <v>72.451599999999999</v>
      </c>
      <c r="X4241" s="5">
        <f t="shared" si="665"/>
        <v>0.53905331467107775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2908</v>
      </c>
      <c r="P4242" s="2" t="s">
        <v>114</v>
      </c>
      <c r="Q4242" s="2" t="s">
        <v>561</v>
      </c>
      <c r="R4242" s="2" t="s">
        <v>562</v>
      </c>
      <c r="S4242" s="9">
        <v>2</v>
      </c>
      <c r="T4242" s="10">
        <v>28.57</v>
      </c>
      <c r="U4242" s="2">
        <f t="shared" si="663"/>
        <v>6.5711000000000004</v>
      </c>
      <c r="V4242" s="10">
        <f t="shared" si="664"/>
        <v>35.141100000000002</v>
      </c>
      <c r="W4242" s="2">
        <f>5.33*S4242</f>
        <v>10.66</v>
      </c>
      <c r="X4242" s="5">
        <f t="shared" si="665"/>
        <v>0.62688134406720331</v>
      </c>
      <c r="Z4242" s="2" t="s">
        <v>117</v>
      </c>
      <c r="AA4242" s="2" t="s">
        <v>118</v>
      </c>
      <c r="AB4242" s="2" t="s">
        <v>119</v>
      </c>
      <c r="AC4242" s="2" t="s">
        <v>114</v>
      </c>
      <c r="AI4242" s="2"/>
      <c r="AK4242" s="2">
        <f t="shared" ref="AK4242" si="666">T4242-W4242</f>
        <v>17.91</v>
      </c>
      <c r="AL4242" s="5">
        <f>(T4242-W4242)/T4242</f>
        <v>0.62688134406720331</v>
      </c>
    </row>
    <row r="4243" spans="1:38" x14ac:dyDescent="0.2">
      <c r="A4243" s="8">
        <v>2026</v>
      </c>
      <c r="B4243" s="8">
        <v>6</v>
      </c>
      <c r="C4243" s="8"/>
      <c r="D4243" s="2" t="s">
        <v>574</v>
      </c>
      <c r="E4243" s="2" t="s">
        <v>38</v>
      </c>
      <c r="F4243" s="2" t="s">
        <v>39</v>
      </c>
      <c r="G4243" s="2">
        <v>504811029</v>
      </c>
      <c r="H4243" s="2" t="s">
        <v>41</v>
      </c>
      <c r="I4243" s="2" t="s">
        <v>177</v>
      </c>
      <c r="J4243" s="2" t="s">
        <v>575</v>
      </c>
      <c r="L4243" s="2" t="s">
        <v>177</v>
      </c>
      <c r="M4243" s="2" t="s">
        <v>41</v>
      </c>
      <c r="P4243" s="2" t="s">
        <v>43</v>
      </c>
      <c r="Q4243" s="2" t="s">
        <v>61</v>
      </c>
      <c r="R4243" s="2" t="s">
        <v>62</v>
      </c>
      <c r="S4243" s="9">
        <v>1000</v>
      </c>
      <c r="T4243" s="10">
        <v>110</v>
      </c>
      <c r="U4243" s="2">
        <f t="shared" si="663"/>
        <v>25.3</v>
      </c>
      <c r="V4243" s="10">
        <f t="shared" si="664"/>
        <v>135.30000000000001</v>
      </c>
      <c r="W4243" s="2">
        <f>0.082*S4243</f>
        <v>82</v>
      </c>
      <c r="X4243" s="5">
        <f t="shared" si="665"/>
        <v>0.25454545454545452</v>
      </c>
      <c r="Z4243" s="2" t="s">
        <v>3226</v>
      </c>
      <c r="AA4243" s="2" t="s">
        <v>46</v>
      </c>
      <c r="AB4243" s="2" t="s">
        <v>60</v>
      </c>
      <c r="AC4243" s="2" t="s">
        <v>57</v>
      </c>
      <c r="AI4243" s="2"/>
      <c r="AK4243" s="2">
        <f>T4243-W4243</f>
        <v>28</v>
      </c>
      <c r="AL4243" s="5">
        <f>(T4243-W4243)/T4243</f>
        <v>0.25454545454545452</v>
      </c>
    </row>
    <row r="4244" spans="1:38" x14ac:dyDescent="0.2">
      <c r="A4244" s="8">
        <v>2026</v>
      </c>
      <c r="B4244" s="8">
        <v>6</v>
      </c>
      <c r="C4244" s="8"/>
      <c r="D4244" s="2" t="s">
        <v>581</v>
      </c>
      <c r="P4244" s="2" t="s">
        <v>114</v>
      </c>
      <c r="Q4244" s="2" t="s">
        <v>791</v>
      </c>
      <c r="R4244" s="2" t="s">
        <v>792</v>
      </c>
      <c r="S4244" s="9">
        <v>1</v>
      </c>
      <c r="T4244" s="10">
        <v>187.92</v>
      </c>
      <c r="U4244" s="2">
        <f t="shared" si="663"/>
        <v>43.221600000000002</v>
      </c>
      <c r="V4244" s="2">
        <f t="shared" si="664"/>
        <v>231.14159999999998</v>
      </c>
      <c r="W4244" s="2">
        <f>92.63+1.2</f>
        <v>93.83</v>
      </c>
      <c r="X4244" s="5">
        <f t="shared" si="665"/>
        <v>0.50069178373776069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581</v>
      </c>
      <c r="P4245" s="2" t="s">
        <v>114</v>
      </c>
      <c r="Q4245" s="2" t="s">
        <v>795</v>
      </c>
      <c r="R4245" s="2" t="s">
        <v>2984</v>
      </c>
      <c r="S4245" s="9">
        <v>1</v>
      </c>
      <c r="T4245" s="10">
        <v>28.38</v>
      </c>
      <c r="U4245" s="2">
        <f t="shared" si="663"/>
        <v>6.5274000000000001</v>
      </c>
      <c r="V4245" s="2">
        <f t="shared" si="664"/>
        <v>34.907399999999996</v>
      </c>
      <c r="W4245" s="2">
        <f>13.715*S4245</f>
        <v>13.715</v>
      </c>
      <c r="X4245" s="5">
        <f t="shared" si="665"/>
        <v>0.51673713883016203</v>
      </c>
      <c r="Z4245" s="2" t="s">
        <v>117</v>
      </c>
      <c r="AA4245" s="2" t="s">
        <v>118</v>
      </c>
      <c r="AB4245" s="2" t="s">
        <v>119</v>
      </c>
      <c r="AC4245" s="2" t="s">
        <v>114</v>
      </c>
      <c r="AI4245" s="2"/>
      <c r="AK4245" s="2">
        <f t="shared" ref="AK4245" si="667">T4245-W4245</f>
        <v>14.664999999999999</v>
      </c>
      <c r="AL4245" s="5">
        <f t="shared" ref="AL4245" si="668">(T4245-W4245)/T4245</f>
        <v>0.51673713883016203</v>
      </c>
    </row>
    <row r="4246" spans="1:38" x14ac:dyDescent="0.2">
      <c r="A4246" s="8">
        <v>2026</v>
      </c>
      <c r="B4246" s="8">
        <v>6</v>
      </c>
      <c r="C4246" s="8"/>
      <c r="D4246" s="2" t="s">
        <v>581</v>
      </c>
      <c r="M4246" s="2" t="s">
        <v>40</v>
      </c>
      <c r="P4246" s="2" t="s">
        <v>187</v>
      </c>
      <c r="Q4246" s="2" t="s">
        <v>188</v>
      </c>
      <c r="R4246" s="2" t="s">
        <v>189</v>
      </c>
      <c r="S4246" s="9">
        <v>1</v>
      </c>
      <c r="T4246" s="10">
        <v>94</v>
      </c>
      <c r="U4246" s="2">
        <f t="shared" si="663"/>
        <v>21.62</v>
      </c>
      <c r="V4246" s="2">
        <f t="shared" si="664"/>
        <v>115.62</v>
      </c>
      <c r="W4246" s="2">
        <f>T4246*40%</f>
        <v>37.6</v>
      </c>
      <c r="X4246" s="5">
        <f t="shared" si="665"/>
        <v>0.6</v>
      </c>
      <c r="Z4246" s="2" t="s">
        <v>117</v>
      </c>
      <c r="AA4246" s="2" t="s">
        <v>190</v>
      </c>
      <c r="AB4246" s="2" t="s">
        <v>189</v>
      </c>
      <c r="AC4246" s="2" t="s">
        <v>40</v>
      </c>
      <c r="AG4246" s="2">
        <f>W4246</f>
        <v>37.6</v>
      </c>
      <c r="AI4246" s="2"/>
      <c r="AJ4246" s="2">
        <f>AI4246*T4246</f>
        <v>0</v>
      </c>
      <c r="AK4246" s="2">
        <f>T4246-W4246</f>
        <v>56.4</v>
      </c>
      <c r="AL4246" s="5">
        <f>(T4246-W4246)/T4246</f>
        <v>0.6</v>
      </c>
    </row>
    <row r="4247" spans="1:38" x14ac:dyDescent="0.2">
      <c r="A4247" s="8">
        <v>2026</v>
      </c>
      <c r="B4247" s="8">
        <v>6</v>
      </c>
      <c r="C4247" s="8"/>
      <c r="D4247" s="2" t="s">
        <v>581</v>
      </c>
      <c r="M4247" s="2" t="s">
        <v>40</v>
      </c>
      <c r="P4247" s="2" t="s">
        <v>187</v>
      </c>
      <c r="Q4247" s="2" t="s">
        <v>191</v>
      </c>
      <c r="R4247" s="2" t="s">
        <v>190</v>
      </c>
      <c r="S4247" s="9">
        <v>1</v>
      </c>
      <c r="T4247" s="10">
        <v>55</v>
      </c>
      <c r="U4247" s="2">
        <f t="shared" si="663"/>
        <v>12.65</v>
      </c>
      <c r="V4247" s="2">
        <f t="shared" si="664"/>
        <v>67.650000000000006</v>
      </c>
      <c r="W4247" s="2">
        <f>T4247*50%</f>
        <v>27.5</v>
      </c>
      <c r="X4247" s="5">
        <f t="shared" si="665"/>
        <v>0.5</v>
      </c>
      <c r="Z4247" s="2" t="s">
        <v>117</v>
      </c>
      <c r="AA4247" s="2" t="s">
        <v>190</v>
      </c>
      <c r="AB4247" s="2" t="s">
        <v>190</v>
      </c>
      <c r="AC4247" s="2" t="s">
        <v>40</v>
      </c>
      <c r="AF4247" s="2">
        <f>AJ4247</f>
        <v>0</v>
      </c>
      <c r="AG4247" s="2">
        <f>W4247</f>
        <v>27.5</v>
      </c>
      <c r="AI4247" s="2"/>
      <c r="AJ4247" s="2">
        <f>AI4247*T4247</f>
        <v>0</v>
      </c>
      <c r="AK4247" s="2">
        <f>T4247-W4247</f>
        <v>27.5</v>
      </c>
      <c r="AL4247" s="5">
        <f>(T4247-W4247)/T4247</f>
        <v>0.5</v>
      </c>
    </row>
    <row r="4248" spans="1:38" x14ac:dyDescent="0.2">
      <c r="A4248" s="8">
        <v>2026</v>
      </c>
      <c r="B4248" s="8">
        <v>6</v>
      </c>
      <c r="C4248" s="8"/>
      <c r="D4248" s="2" t="s">
        <v>581</v>
      </c>
      <c r="P4248" s="2" t="s">
        <v>40</v>
      </c>
      <c r="Q4248" s="2" t="s">
        <v>363</v>
      </c>
      <c r="R4248" s="2" t="s">
        <v>364</v>
      </c>
      <c r="S4248" s="9">
        <v>1</v>
      </c>
      <c r="T4248" s="10">
        <v>87.5</v>
      </c>
      <c r="U4248" s="2">
        <f t="shared" si="663"/>
        <v>20.125</v>
      </c>
      <c r="V4248" s="10">
        <f t="shared" si="664"/>
        <v>107.625</v>
      </c>
      <c r="W4248" s="2">
        <f>T4248*70%</f>
        <v>61.249999999999993</v>
      </c>
      <c r="X4248" s="5">
        <f t="shared" si="665"/>
        <v>0.3000000000000001</v>
      </c>
      <c r="Z4248" s="2" t="s">
        <v>119</v>
      </c>
      <c r="AA4248" s="2" t="s">
        <v>3379</v>
      </c>
      <c r="AI4248" s="2"/>
      <c r="AL4248" s="2"/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P4249" s="2" t="s">
        <v>72</v>
      </c>
      <c r="Q4249" s="2" t="s">
        <v>1072</v>
      </c>
      <c r="R4249" s="2" t="s">
        <v>381</v>
      </c>
      <c r="S4249" s="9">
        <v>1</v>
      </c>
      <c r="T4249" s="10">
        <v>257.60000000000002</v>
      </c>
      <c r="U4249" s="2">
        <f t="shared" si="663"/>
        <v>59.248000000000005</v>
      </c>
      <c r="V4249" s="10">
        <f t="shared" si="664"/>
        <v>316.84800000000001</v>
      </c>
      <c r="W4249" s="2">
        <f>130.03+6.8</f>
        <v>136.83000000000001</v>
      </c>
      <c r="X4249" s="5">
        <f t="shared" si="665"/>
        <v>0.46882763975155278</v>
      </c>
      <c r="Z4249" s="2" t="s">
        <v>3226</v>
      </c>
      <c r="AA4249" s="2" t="s">
        <v>75</v>
      </c>
      <c r="AB4249" s="2" t="s">
        <v>76</v>
      </c>
      <c r="AC4249" s="2" t="s">
        <v>77</v>
      </c>
      <c r="AF4249" s="2">
        <f>AJ4249</f>
        <v>0</v>
      </c>
      <c r="AG4249" s="2">
        <v>125.51600000000001</v>
      </c>
      <c r="AH4249" s="2">
        <v>220</v>
      </c>
      <c r="AI4249" s="2"/>
      <c r="AJ4249" s="2">
        <f>AI4249*T4249</f>
        <v>0</v>
      </c>
      <c r="AK4249" s="2">
        <f t="shared" ref="AK4249:AK4260" si="669">T4249-W4249</f>
        <v>120.77000000000001</v>
      </c>
      <c r="AL4249" s="5">
        <f t="shared" ref="AL4249:AL4260" si="670">(T4249-W4249)/T4249</f>
        <v>0.46882763975155278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O4250" s="2" t="s">
        <v>3161</v>
      </c>
      <c r="P4250" s="2" t="s">
        <v>1038</v>
      </c>
      <c r="Q4250" s="2" t="s">
        <v>2742</v>
      </c>
      <c r="R4250" s="2" t="s">
        <v>2743</v>
      </c>
      <c r="S4250" s="9">
        <v>1</v>
      </c>
      <c r="T4250" s="10">
        <v>414</v>
      </c>
      <c r="U4250" s="2">
        <f t="shared" si="663"/>
        <v>95.22</v>
      </c>
      <c r="V4250" s="2">
        <f t="shared" si="664"/>
        <v>509.22</v>
      </c>
      <c r="W4250" s="2">
        <v>270.60000000000002</v>
      </c>
      <c r="X4250" s="5">
        <f t="shared" si="665"/>
        <v>0.34637681159420286</v>
      </c>
      <c r="Z4250" s="2" t="s">
        <v>3226</v>
      </c>
      <c r="AA4250" s="2" t="s">
        <v>75</v>
      </c>
      <c r="AB4250" s="2" t="s">
        <v>76</v>
      </c>
      <c r="AC4250" s="2" t="s">
        <v>1038</v>
      </c>
      <c r="AF4250" s="2">
        <f>AJ4250</f>
        <v>0</v>
      </c>
      <c r="AG4250" s="2">
        <v>270.60000000000002</v>
      </c>
      <c r="AI4250" s="2"/>
      <c r="AJ4250" s="2">
        <f>AI4250*T4250</f>
        <v>0</v>
      </c>
      <c r="AK4250" s="2">
        <f t="shared" si="669"/>
        <v>143.39999999999998</v>
      </c>
      <c r="AL4250" s="5">
        <f t="shared" si="670"/>
        <v>0.34637681159420286</v>
      </c>
    </row>
    <row r="4251" spans="1:38" x14ac:dyDescent="0.2">
      <c r="A4251" s="8">
        <v>2026</v>
      </c>
      <c r="B4251" s="8">
        <v>6</v>
      </c>
      <c r="C4251" s="8"/>
      <c r="D4251" s="2" t="s">
        <v>582</v>
      </c>
      <c r="E4251" s="2" t="s">
        <v>108</v>
      </c>
      <c r="F4251" s="2" t="s">
        <v>39</v>
      </c>
      <c r="G4251" s="2">
        <v>503850276</v>
      </c>
      <c r="H4251" s="2" t="s">
        <v>40</v>
      </c>
      <c r="I4251" s="2" t="s">
        <v>583</v>
      </c>
      <c r="J4251" s="2" t="s">
        <v>584</v>
      </c>
      <c r="L4251" s="2" t="s">
        <v>201</v>
      </c>
      <c r="M4251" s="2" t="s">
        <v>80</v>
      </c>
      <c r="P4251" s="2" t="s">
        <v>93</v>
      </c>
      <c r="Q4251" s="2" t="s">
        <v>94</v>
      </c>
      <c r="R4251" s="2" t="s">
        <v>95</v>
      </c>
      <c r="S4251" s="9">
        <v>2</v>
      </c>
      <c r="T4251" s="10">
        <v>2.96</v>
      </c>
      <c r="U4251" s="2">
        <f t="shared" si="663"/>
        <v>0.68080000000000007</v>
      </c>
      <c r="V4251" s="10">
        <f t="shared" si="664"/>
        <v>3.6408</v>
      </c>
      <c r="W4251" s="2">
        <f>1.48*S4251</f>
        <v>2.96</v>
      </c>
      <c r="X4251" s="5">
        <f t="shared" si="665"/>
        <v>0</v>
      </c>
      <c r="Z4251" s="2" t="s">
        <v>3226</v>
      </c>
      <c r="AA4251" s="2" t="s">
        <v>96</v>
      </c>
      <c r="AB4251" s="2" t="s">
        <v>76</v>
      </c>
      <c r="AC4251" s="2" t="s">
        <v>93</v>
      </c>
      <c r="AF4251" s="2">
        <f>AJ4251</f>
        <v>0</v>
      </c>
      <c r="AG4251" s="2">
        <v>1.48</v>
      </c>
      <c r="AH4251" s="2">
        <v>1.48</v>
      </c>
      <c r="AI4251" s="2"/>
      <c r="AJ4251" s="2">
        <f>AI4251*T4251</f>
        <v>0</v>
      </c>
      <c r="AK4251" s="2">
        <f t="shared" si="669"/>
        <v>0</v>
      </c>
      <c r="AL4251" s="5">
        <f t="shared" si="670"/>
        <v>0</v>
      </c>
    </row>
    <row r="4252" spans="1:38" x14ac:dyDescent="0.2">
      <c r="A4252" s="8">
        <v>2026</v>
      </c>
      <c r="B4252" s="8">
        <v>6</v>
      </c>
      <c r="C4252" s="8"/>
      <c r="D4252" s="2" t="s">
        <v>588</v>
      </c>
      <c r="E4252" s="2" t="s">
        <v>38</v>
      </c>
      <c r="F4252" s="2" t="s">
        <v>39</v>
      </c>
      <c r="G4252" s="2">
        <v>510339298</v>
      </c>
      <c r="H4252" s="2" t="s">
        <v>41</v>
      </c>
      <c r="I4252" s="2" t="s">
        <v>177</v>
      </c>
      <c r="J4252" s="2" t="s">
        <v>589</v>
      </c>
      <c r="L4252" s="2" t="s">
        <v>177</v>
      </c>
      <c r="P4252" s="2" t="s">
        <v>43</v>
      </c>
      <c r="Q4252" s="2" t="s">
        <v>160</v>
      </c>
      <c r="R4252" s="2" t="s">
        <v>161</v>
      </c>
      <c r="S4252" s="9">
        <v>1</v>
      </c>
      <c r="T4252" s="10">
        <v>9</v>
      </c>
      <c r="U4252" s="2">
        <f t="shared" si="663"/>
        <v>2.0700000000000003</v>
      </c>
      <c r="V4252" s="10">
        <f t="shared" si="664"/>
        <v>11.07</v>
      </c>
      <c r="W4252" s="2">
        <f>3.7358*S4252</f>
        <v>3.7357999999999998</v>
      </c>
      <c r="X4252" s="5">
        <f t="shared" si="665"/>
        <v>0.58491111111111116</v>
      </c>
      <c r="Z4252" s="2" t="s">
        <v>3226</v>
      </c>
      <c r="AA4252" s="2" t="s">
        <v>46</v>
      </c>
      <c r="AB4252" s="2" t="s">
        <v>47</v>
      </c>
      <c r="AC4252" s="2" t="s">
        <v>57</v>
      </c>
      <c r="AI4252" s="2"/>
      <c r="AK4252" s="2">
        <f t="shared" si="669"/>
        <v>5.2642000000000007</v>
      </c>
      <c r="AL4252" s="5">
        <f t="shared" si="670"/>
        <v>0.58491111111111116</v>
      </c>
    </row>
    <row r="4253" spans="1:38" x14ac:dyDescent="0.2">
      <c r="A4253" s="8">
        <v>2026</v>
      </c>
      <c r="B4253" s="8">
        <v>6</v>
      </c>
      <c r="C4253" s="8"/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P4253" s="2" t="s">
        <v>72</v>
      </c>
      <c r="Q4253" s="2" t="s">
        <v>912</v>
      </c>
      <c r="R4253" s="2" t="s">
        <v>74</v>
      </c>
      <c r="S4253" s="9">
        <v>1</v>
      </c>
      <c r="T4253" s="10">
        <v>211.6</v>
      </c>
      <c r="U4253" s="2">
        <f t="shared" si="663"/>
        <v>48.667999999999999</v>
      </c>
      <c r="V4253" s="10">
        <f t="shared" si="664"/>
        <v>260.26799999999997</v>
      </c>
      <c r="W4253" s="2">
        <f>115.92+6.06</f>
        <v>121.98</v>
      </c>
      <c r="X4253" s="5">
        <f t="shared" si="665"/>
        <v>0.42353497164461246</v>
      </c>
      <c r="Z4253" s="2" t="s">
        <v>3226</v>
      </c>
      <c r="AA4253" s="2" t="s">
        <v>75</v>
      </c>
      <c r="AB4253" s="2" t="s">
        <v>76</v>
      </c>
      <c r="AC4253" s="2" t="s">
        <v>77</v>
      </c>
      <c r="AF4253" s="2">
        <f>AJ4253</f>
        <v>0</v>
      </c>
      <c r="AG4253" s="2">
        <v>125.51600000000001</v>
      </c>
      <c r="AH4253" s="2">
        <v>220</v>
      </c>
      <c r="AI4253" s="2"/>
      <c r="AJ4253" s="2">
        <f>AI4253*T4253</f>
        <v>0</v>
      </c>
      <c r="AK4253" s="2">
        <f t="shared" si="669"/>
        <v>89.61999999999999</v>
      </c>
      <c r="AL4253" s="5">
        <f t="shared" si="670"/>
        <v>0.42353497164461246</v>
      </c>
    </row>
    <row r="4254" spans="1:38" x14ac:dyDescent="0.2">
      <c r="A4254" s="8">
        <v>2026</v>
      </c>
      <c r="B4254" s="8">
        <v>6</v>
      </c>
      <c r="C4254" s="8"/>
      <c r="D4254" s="2" t="s">
        <v>606</v>
      </c>
      <c r="E4254" s="2" t="s">
        <v>108</v>
      </c>
      <c r="F4254" s="2" t="s">
        <v>39</v>
      </c>
      <c r="G4254" s="2">
        <v>504822187</v>
      </c>
      <c r="H4254" s="2" t="s">
        <v>109</v>
      </c>
      <c r="I4254" s="2" t="s">
        <v>607</v>
      </c>
      <c r="J4254" s="2" t="s">
        <v>608</v>
      </c>
      <c r="K4254" s="2">
        <v>966216853</v>
      </c>
      <c r="L4254" s="2" t="s">
        <v>461</v>
      </c>
      <c r="P4254" s="2" t="s">
        <v>93</v>
      </c>
      <c r="Q4254" s="2" t="s">
        <v>94</v>
      </c>
      <c r="R4254" s="2" t="s">
        <v>95</v>
      </c>
      <c r="S4254" s="9">
        <v>1</v>
      </c>
      <c r="T4254" s="10">
        <v>1.48</v>
      </c>
      <c r="U4254" s="2">
        <f t="shared" si="663"/>
        <v>0.34040000000000004</v>
      </c>
      <c r="V4254" s="10">
        <f t="shared" si="664"/>
        <v>1.8204</v>
      </c>
      <c r="W4254" s="2">
        <f>1.48*S4254</f>
        <v>1.48</v>
      </c>
      <c r="X4254" s="5">
        <f t="shared" si="665"/>
        <v>0</v>
      </c>
      <c r="Z4254" s="2" t="s">
        <v>3226</v>
      </c>
      <c r="AA4254" s="2" t="s">
        <v>96</v>
      </c>
      <c r="AB4254" s="2" t="s">
        <v>76</v>
      </c>
      <c r="AC4254" s="2" t="s">
        <v>93</v>
      </c>
      <c r="AF4254" s="2">
        <f>AJ4254</f>
        <v>0</v>
      </c>
      <c r="AG4254" s="2">
        <v>1.48</v>
      </c>
      <c r="AH4254" s="2">
        <v>1.48</v>
      </c>
      <c r="AI4254" s="2"/>
      <c r="AJ4254" s="2">
        <f>AI4254*T4254</f>
        <v>0</v>
      </c>
      <c r="AK4254" s="2">
        <f t="shared" si="669"/>
        <v>0</v>
      </c>
      <c r="AL4254" s="5">
        <f t="shared" si="670"/>
        <v>0</v>
      </c>
    </row>
    <row r="4255" spans="1:38" x14ac:dyDescent="0.2">
      <c r="A4255" s="8">
        <v>2026</v>
      </c>
      <c r="B4255" s="8">
        <v>6</v>
      </c>
      <c r="C4255" s="8"/>
      <c r="D4255" s="2" t="s">
        <v>609</v>
      </c>
      <c r="P4255" s="2" t="s">
        <v>43</v>
      </c>
      <c r="Q4255" s="2" t="s">
        <v>61</v>
      </c>
      <c r="R4255" s="2" t="s">
        <v>62</v>
      </c>
      <c r="S4255" s="9">
        <v>100</v>
      </c>
      <c r="T4255" s="10">
        <v>13</v>
      </c>
      <c r="U4255" s="2">
        <f t="shared" si="663"/>
        <v>2.99</v>
      </c>
      <c r="V4255" s="10">
        <f t="shared" si="664"/>
        <v>15.99</v>
      </c>
      <c r="W4255" s="2">
        <f>0.082*S4255</f>
        <v>8.2000000000000011</v>
      </c>
      <c r="X4255" s="5">
        <f t="shared" si="665"/>
        <v>0.36923076923076914</v>
      </c>
      <c r="Z4255" s="2" t="s">
        <v>3226</v>
      </c>
      <c r="AA4255" s="2" t="s">
        <v>46</v>
      </c>
      <c r="AB4255" s="2" t="s">
        <v>60</v>
      </c>
      <c r="AC4255" s="2" t="s">
        <v>57</v>
      </c>
      <c r="AI4255" s="2"/>
      <c r="AK4255" s="2">
        <f t="shared" si="669"/>
        <v>4.7999999999999989</v>
      </c>
      <c r="AL4255" s="5">
        <f t="shared" si="670"/>
        <v>0.36923076923076914</v>
      </c>
    </row>
    <row r="4256" spans="1:38" x14ac:dyDescent="0.2">
      <c r="A4256" s="8">
        <v>2026</v>
      </c>
      <c r="B4256" s="8">
        <v>6</v>
      </c>
      <c r="C4256" s="8"/>
      <c r="D4256" s="2" t="s">
        <v>613</v>
      </c>
      <c r="P4256" s="2" t="s">
        <v>43</v>
      </c>
      <c r="Q4256" s="2" t="s">
        <v>58</v>
      </c>
      <c r="R4256" s="2" t="s">
        <v>59</v>
      </c>
      <c r="S4256" s="2">
        <v>1000</v>
      </c>
      <c r="T4256" s="10">
        <v>130</v>
      </c>
      <c r="U4256" s="2">
        <f t="shared" si="663"/>
        <v>29.900000000000002</v>
      </c>
      <c r="V4256" s="10">
        <f t="shared" si="664"/>
        <v>159.9</v>
      </c>
      <c r="W4256" s="2">
        <f>0.0914*S4256</f>
        <v>91.399999999999991</v>
      </c>
      <c r="X4256" s="5">
        <f t="shared" si="665"/>
        <v>0.29692307692307701</v>
      </c>
      <c r="Z4256" s="2" t="s">
        <v>3226</v>
      </c>
      <c r="AA4256" s="2" t="s">
        <v>46</v>
      </c>
      <c r="AB4256" s="2" t="s">
        <v>60</v>
      </c>
      <c r="AC4256" s="2" t="s">
        <v>57</v>
      </c>
      <c r="AF4256" s="2">
        <f>AJ4256</f>
        <v>0</v>
      </c>
      <c r="AG4256" s="2">
        <v>9.14</v>
      </c>
      <c r="AH4256" s="2">
        <v>16</v>
      </c>
      <c r="AI4256" s="2"/>
      <c r="AK4256" s="2">
        <f t="shared" si="669"/>
        <v>38.600000000000009</v>
      </c>
      <c r="AL4256" s="5">
        <f t="shared" si="670"/>
        <v>0.29692307692307701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O4257" s="2" t="s">
        <v>3195</v>
      </c>
      <c r="P4257" s="2" t="s">
        <v>72</v>
      </c>
      <c r="Q4257" s="2" t="s">
        <v>533</v>
      </c>
      <c r="R4257" s="2" t="s">
        <v>534</v>
      </c>
      <c r="S4257" s="9">
        <v>1</v>
      </c>
      <c r="T4257" s="10">
        <v>203.7</v>
      </c>
      <c r="U4257" s="2">
        <f t="shared" si="663"/>
        <v>46.850999999999999</v>
      </c>
      <c r="V4257" s="10">
        <f t="shared" si="664"/>
        <v>250.55099999999999</v>
      </c>
      <c r="W4257" s="2">
        <f>110.125+11.77</f>
        <v>121.895</v>
      </c>
      <c r="X4257" s="5">
        <f t="shared" si="665"/>
        <v>0.4015954835542464</v>
      </c>
      <c r="Z4257" s="2" t="s">
        <v>3226</v>
      </c>
      <c r="AA4257" s="2" t="s">
        <v>75</v>
      </c>
      <c r="AB4257" s="2" t="s">
        <v>76</v>
      </c>
      <c r="AC4257" s="2" t="s">
        <v>77</v>
      </c>
      <c r="AF4257" s="2">
        <f>AJ4257</f>
        <v>0</v>
      </c>
      <c r="AG4257" s="2">
        <f>110.125+11.77</f>
        <v>121.895</v>
      </c>
      <c r="AH4257" s="2">
        <v>220</v>
      </c>
      <c r="AI4257" s="2"/>
      <c r="AJ4257" s="2">
        <f>AI4257*T4257</f>
        <v>0</v>
      </c>
      <c r="AK4257" s="2">
        <f t="shared" si="669"/>
        <v>81.804999999999993</v>
      </c>
      <c r="AL4257" s="5">
        <f t="shared" si="670"/>
        <v>0.4015954835542464</v>
      </c>
    </row>
    <row r="4258" spans="1:38" x14ac:dyDescent="0.2">
      <c r="A4258" s="8">
        <v>2026</v>
      </c>
      <c r="B4258" s="8">
        <v>6</v>
      </c>
      <c r="C4258" s="8"/>
      <c r="D4258" s="2" t="s">
        <v>1295</v>
      </c>
      <c r="E4258" s="2" t="s">
        <v>183</v>
      </c>
      <c r="F4258" s="2" t="s">
        <v>366</v>
      </c>
      <c r="G4258" s="2">
        <v>500625654</v>
      </c>
      <c r="H4258" s="2" t="s">
        <v>290</v>
      </c>
      <c r="I4258" s="2" t="s">
        <v>339</v>
      </c>
      <c r="J4258" s="2" t="s">
        <v>1296</v>
      </c>
      <c r="L4258" s="2" t="s">
        <v>339</v>
      </c>
      <c r="M4258" s="2" t="s">
        <v>80</v>
      </c>
      <c r="P4258" s="2" t="s">
        <v>93</v>
      </c>
      <c r="Q4258" s="2" t="s">
        <v>94</v>
      </c>
      <c r="R4258" s="2" t="s">
        <v>95</v>
      </c>
      <c r="S4258" s="9">
        <v>1</v>
      </c>
      <c r="T4258" s="10">
        <v>1.48</v>
      </c>
      <c r="U4258" s="2">
        <f t="shared" si="663"/>
        <v>0.34040000000000004</v>
      </c>
      <c r="V4258" s="10">
        <f t="shared" si="664"/>
        <v>1.8204</v>
      </c>
      <c r="W4258" s="2">
        <f>1.48*S4258</f>
        <v>1.48</v>
      </c>
      <c r="X4258" s="5">
        <f t="shared" si="665"/>
        <v>0</v>
      </c>
      <c r="Z4258" s="2" t="s">
        <v>3226</v>
      </c>
      <c r="AA4258" s="2" t="s">
        <v>96</v>
      </c>
      <c r="AB4258" s="2" t="s">
        <v>76</v>
      </c>
      <c r="AC4258" s="2" t="s">
        <v>93</v>
      </c>
      <c r="AF4258" s="2">
        <f>AJ4258</f>
        <v>0</v>
      </c>
      <c r="AG4258" s="2">
        <v>1.48</v>
      </c>
      <c r="AH4258" s="2">
        <v>1.48</v>
      </c>
      <c r="AI4258" s="2"/>
      <c r="AJ4258" s="2">
        <f>AI4258*T4258</f>
        <v>0</v>
      </c>
      <c r="AK4258" s="2">
        <f t="shared" si="669"/>
        <v>0</v>
      </c>
      <c r="AL4258" s="5">
        <f t="shared" si="670"/>
        <v>0</v>
      </c>
    </row>
    <row r="4259" spans="1:38" x14ac:dyDescent="0.2">
      <c r="A4259" s="8">
        <v>2026</v>
      </c>
      <c r="B4259" s="8">
        <v>6</v>
      </c>
      <c r="C4259" s="8" t="s">
        <v>3391</v>
      </c>
      <c r="D4259" s="2" t="s">
        <v>624</v>
      </c>
      <c r="E4259" s="2" t="s">
        <v>38</v>
      </c>
      <c r="F4259" s="2" t="s">
        <v>39</v>
      </c>
      <c r="G4259" s="2" t="s">
        <v>625</v>
      </c>
      <c r="H4259" s="2" t="s">
        <v>40</v>
      </c>
      <c r="I4259" s="2" t="s">
        <v>626</v>
      </c>
      <c r="J4259" s="2" t="s">
        <v>627</v>
      </c>
      <c r="L4259" s="2" t="s">
        <v>626</v>
      </c>
      <c r="M4259" s="2" t="s">
        <v>40</v>
      </c>
      <c r="P4259" s="2" t="s">
        <v>114</v>
      </c>
      <c r="Q4259" s="2" t="s">
        <v>904</v>
      </c>
      <c r="R4259" s="2" t="s">
        <v>905</v>
      </c>
      <c r="S4259" s="9">
        <v>1</v>
      </c>
      <c r="T4259" s="10">
        <v>465.7</v>
      </c>
      <c r="V4259" s="2">
        <f>T4259</f>
        <v>465.7</v>
      </c>
      <c r="W4259" s="2">
        <v>345.20339999999999</v>
      </c>
      <c r="X4259" s="5">
        <f t="shared" si="665"/>
        <v>0.25874296757569254</v>
      </c>
      <c r="Z4259" s="2" t="s">
        <v>117</v>
      </c>
      <c r="AA4259" s="2" t="s">
        <v>181</v>
      </c>
      <c r="AB4259" s="2" t="s">
        <v>119</v>
      </c>
      <c r="AC4259" s="2" t="s">
        <v>114</v>
      </c>
      <c r="AI4259" s="2"/>
      <c r="AK4259" s="2">
        <f t="shared" si="669"/>
        <v>120.4966</v>
      </c>
      <c r="AL4259" s="5">
        <f t="shared" si="670"/>
        <v>0.25874296757569254</v>
      </c>
    </row>
    <row r="4260" spans="1:38" x14ac:dyDescent="0.2">
      <c r="A4260" s="8">
        <v>2026</v>
      </c>
      <c r="B4260" s="8">
        <v>6</v>
      </c>
      <c r="C4260" s="8" t="s">
        <v>3377</v>
      </c>
      <c r="D4260" s="2" t="s">
        <v>1657</v>
      </c>
      <c r="E4260" s="2" t="s">
        <v>38</v>
      </c>
      <c r="F4260" s="2" t="s">
        <v>39</v>
      </c>
      <c r="L4260" s="2" t="s">
        <v>177</v>
      </c>
      <c r="M4260" s="2" t="s">
        <v>41</v>
      </c>
      <c r="P4260" s="2" t="s">
        <v>114</v>
      </c>
      <c r="Q4260" s="2" t="s">
        <v>1904</v>
      </c>
      <c r="R4260" s="2" t="s">
        <v>1905</v>
      </c>
      <c r="S4260" s="9">
        <v>1</v>
      </c>
      <c r="T4260" s="10">
        <v>23850</v>
      </c>
      <c r="U4260" s="2">
        <f t="shared" ref="U4260:U4277" si="671">T4260*23%</f>
        <v>5485.5</v>
      </c>
      <c r="V4260" s="2">
        <f t="shared" ref="V4260:V4276" si="672">T4260+U4260</f>
        <v>29335.5</v>
      </c>
      <c r="W4260" s="2">
        <f>16602.97+398</f>
        <v>17000.97</v>
      </c>
      <c r="X4260" s="5">
        <f t="shared" si="665"/>
        <v>0.28717106918238988</v>
      </c>
      <c r="Z4260" s="2" t="s">
        <v>104</v>
      </c>
      <c r="AA4260" s="2" t="s">
        <v>414</v>
      </c>
      <c r="AB4260" s="2" t="s">
        <v>151</v>
      </c>
      <c r="AC4260" s="2" t="s">
        <v>114</v>
      </c>
      <c r="AI4260" s="2"/>
      <c r="AK4260" s="2">
        <f t="shared" si="669"/>
        <v>6849.0299999999988</v>
      </c>
      <c r="AL4260" s="5">
        <f t="shared" si="670"/>
        <v>0.28717106918238988</v>
      </c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P4261" s="2" t="s">
        <v>114</v>
      </c>
      <c r="Q4261" s="2" t="s">
        <v>3092</v>
      </c>
      <c r="R4261" s="2" t="s">
        <v>3093</v>
      </c>
      <c r="S4261" s="9">
        <v>1</v>
      </c>
      <c r="T4261" s="10">
        <v>750.56</v>
      </c>
      <c r="U4261" s="2">
        <f t="shared" si="671"/>
        <v>172.62879999999998</v>
      </c>
      <c r="V4261" s="2">
        <f t="shared" si="672"/>
        <v>923.1887999999999</v>
      </c>
      <c r="W4261" s="2">
        <f>376.4</f>
        <v>376.4</v>
      </c>
      <c r="X4261" s="5">
        <f t="shared" si="665"/>
        <v>0.49850778085696013</v>
      </c>
      <c r="Z4261" s="2" t="s">
        <v>117</v>
      </c>
      <c r="AA4261" s="2" t="s">
        <v>118</v>
      </c>
      <c r="AB4261" s="2" t="s">
        <v>119</v>
      </c>
      <c r="AC4261" s="2" t="s">
        <v>114</v>
      </c>
      <c r="AI4261" s="2"/>
      <c r="AL4261" s="2"/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188</v>
      </c>
      <c r="R4262" s="2" t="s">
        <v>189</v>
      </c>
      <c r="S4262" s="9">
        <v>1</v>
      </c>
      <c r="T4262" s="10">
        <v>55</v>
      </c>
      <c r="U4262" s="2">
        <f t="shared" si="671"/>
        <v>12.65</v>
      </c>
      <c r="V4262" s="2">
        <f t="shared" si="672"/>
        <v>67.650000000000006</v>
      </c>
      <c r="W4262" s="2">
        <f>T4262*40%</f>
        <v>22</v>
      </c>
      <c r="X4262" s="5">
        <f t="shared" si="665"/>
        <v>0.6</v>
      </c>
      <c r="Z4262" s="2" t="s">
        <v>117</v>
      </c>
      <c r="AA4262" s="2" t="s">
        <v>190</v>
      </c>
      <c r="AB4262" s="2" t="s">
        <v>189</v>
      </c>
      <c r="AC4262" s="2" t="s">
        <v>40</v>
      </c>
      <c r="AG4262" s="2">
        <f>W4262</f>
        <v>22</v>
      </c>
      <c r="AI4262" s="2"/>
      <c r="AJ4262" s="2">
        <f>AI4262*T4262</f>
        <v>0</v>
      </c>
      <c r="AK4262" s="2">
        <f t="shared" ref="AK4262:AK4274" si="673">T4262-W4262</f>
        <v>33</v>
      </c>
      <c r="AL4262" s="5">
        <f t="shared" ref="AL4262:AL4274" si="674">(T4262-W4262)/T4262</f>
        <v>0.6</v>
      </c>
    </row>
    <row r="4263" spans="1:38" x14ac:dyDescent="0.2">
      <c r="A4263" s="8">
        <v>2026</v>
      </c>
      <c r="B4263" s="8">
        <v>6</v>
      </c>
      <c r="C4263" s="8"/>
      <c r="D4263" s="2" t="s">
        <v>3106</v>
      </c>
      <c r="M4263" s="2" t="s">
        <v>40</v>
      </c>
      <c r="P4263" s="2" t="s">
        <v>187</v>
      </c>
      <c r="Q4263" s="2" t="s">
        <v>191</v>
      </c>
      <c r="R4263" s="2" t="s">
        <v>190</v>
      </c>
      <c r="S4263" s="9">
        <v>1</v>
      </c>
      <c r="T4263" s="10">
        <v>55</v>
      </c>
      <c r="U4263" s="2">
        <f t="shared" si="671"/>
        <v>12.65</v>
      </c>
      <c r="V4263" s="2">
        <f t="shared" si="672"/>
        <v>67.650000000000006</v>
      </c>
      <c r="W4263" s="2">
        <f>T4263*50%</f>
        <v>27.5</v>
      </c>
      <c r="X4263" s="5">
        <f t="shared" si="665"/>
        <v>0.5</v>
      </c>
      <c r="Z4263" s="2" t="s">
        <v>117</v>
      </c>
      <c r="AA4263" s="2" t="s">
        <v>190</v>
      </c>
      <c r="AB4263" s="2" t="s">
        <v>190</v>
      </c>
      <c r="AC4263" s="2" t="s">
        <v>40</v>
      </c>
      <c r="AF4263" s="2">
        <f>AJ4263</f>
        <v>0</v>
      </c>
      <c r="AG4263" s="2">
        <f>W4263</f>
        <v>27.5</v>
      </c>
      <c r="AI4263" s="2"/>
      <c r="AJ4263" s="2">
        <f>AI4263*T4263</f>
        <v>0</v>
      </c>
      <c r="AK4263" s="2">
        <f t="shared" si="673"/>
        <v>27.5</v>
      </c>
      <c r="AL4263" s="5">
        <f t="shared" si="674"/>
        <v>0.5</v>
      </c>
    </row>
    <row r="4264" spans="1:38" x14ac:dyDescent="0.2">
      <c r="A4264" s="8">
        <v>2026</v>
      </c>
      <c r="B4264" s="8">
        <v>6</v>
      </c>
      <c r="C4264" s="8" t="s">
        <v>3322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188</v>
      </c>
      <c r="R4264" s="2" t="s">
        <v>189</v>
      </c>
      <c r="S4264" s="9">
        <v>1</v>
      </c>
      <c r="T4264" s="10">
        <v>114</v>
      </c>
      <c r="U4264" s="2">
        <f t="shared" si="671"/>
        <v>26.220000000000002</v>
      </c>
      <c r="V4264" s="2">
        <f t="shared" si="672"/>
        <v>140.22</v>
      </c>
      <c r="W4264" s="2">
        <f>T4264*40%</f>
        <v>45.6</v>
      </c>
      <c r="X4264" s="5">
        <f t="shared" si="665"/>
        <v>0.60000000000000009</v>
      </c>
      <c r="Z4264" s="2" t="s">
        <v>117</v>
      </c>
      <c r="AA4264" s="2" t="s">
        <v>190</v>
      </c>
      <c r="AB4264" s="2" t="s">
        <v>189</v>
      </c>
      <c r="AC4264" s="2" t="s">
        <v>40</v>
      </c>
      <c r="AG4264" s="2">
        <f>W4264</f>
        <v>45.6</v>
      </c>
      <c r="AI4264" s="2"/>
      <c r="AJ4264" s="2">
        <f>AI4264*T4264</f>
        <v>0</v>
      </c>
      <c r="AK4264" s="2">
        <f t="shared" si="673"/>
        <v>68.400000000000006</v>
      </c>
      <c r="AL4264" s="5">
        <f t="shared" si="674"/>
        <v>0.60000000000000009</v>
      </c>
    </row>
    <row r="4265" spans="1:38" x14ac:dyDescent="0.2">
      <c r="A4265" s="8">
        <v>2026</v>
      </c>
      <c r="B4265" s="8">
        <v>6</v>
      </c>
      <c r="C4265" s="8" t="s">
        <v>3322</v>
      </c>
      <c r="D4265" s="2" t="s">
        <v>909</v>
      </c>
      <c r="E4265" s="2" t="s">
        <v>38</v>
      </c>
      <c r="F4265" s="2" t="s">
        <v>39</v>
      </c>
      <c r="H4265" s="2" t="s">
        <v>109</v>
      </c>
      <c r="I4265" s="2" t="s">
        <v>133</v>
      </c>
      <c r="L4265" s="2" t="s">
        <v>133</v>
      </c>
      <c r="M4265" s="2" t="s">
        <v>40</v>
      </c>
      <c r="P4265" s="2" t="s">
        <v>187</v>
      </c>
      <c r="Q4265" s="2" t="s">
        <v>191</v>
      </c>
      <c r="R4265" s="2" t="s">
        <v>190</v>
      </c>
      <c r="S4265" s="9">
        <v>1</v>
      </c>
      <c r="T4265" s="10">
        <v>49.5</v>
      </c>
      <c r="U4265" s="2">
        <f t="shared" si="671"/>
        <v>11.385</v>
      </c>
      <c r="V4265" s="2">
        <f t="shared" si="672"/>
        <v>60.884999999999998</v>
      </c>
      <c r="W4265" s="2">
        <f>T4265*50%</f>
        <v>24.75</v>
      </c>
      <c r="X4265" s="5">
        <f t="shared" si="665"/>
        <v>0.5</v>
      </c>
      <c r="Z4265" s="2" t="s">
        <v>117</v>
      </c>
      <c r="AA4265" s="2" t="s">
        <v>190</v>
      </c>
      <c r="AB4265" s="2" t="s">
        <v>190</v>
      </c>
      <c r="AC4265" s="2" t="s">
        <v>40</v>
      </c>
      <c r="AF4265" s="2">
        <f>AJ4265</f>
        <v>0</v>
      </c>
      <c r="AG4265" s="2">
        <f>W4265</f>
        <v>24.75</v>
      </c>
      <c r="AI4265" s="2"/>
      <c r="AJ4265" s="2">
        <f>AI4265*T4265</f>
        <v>0</v>
      </c>
      <c r="AK4265" s="2">
        <f t="shared" si="673"/>
        <v>24.75</v>
      </c>
      <c r="AL4265" s="5">
        <f t="shared" si="674"/>
        <v>0.5</v>
      </c>
    </row>
    <row r="4266" spans="1:38" x14ac:dyDescent="0.2">
      <c r="A4266" s="8">
        <v>2026</v>
      </c>
      <c r="B4266" s="8">
        <v>6</v>
      </c>
      <c r="C4266" s="8" t="s">
        <v>3322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40</v>
      </c>
      <c r="P4266" s="2" t="s">
        <v>114</v>
      </c>
      <c r="Q4266" s="2" t="s">
        <v>179</v>
      </c>
      <c r="R4266" s="2" t="s">
        <v>180</v>
      </c>
      <c r="S4266" s="9">
        <v>1</v>
      </c>
      <c r="T4266" s="10">
        <v>599.4</v>
      </c>
      <c r="U4266" s="2">
        <f t="shared" si="671"/>
        <v>137.86199999999999</v>
      </c>
      <c r="V4266" s="2">
        <f t="shared" si="672"/>
        <v>737.26199999999994</v>
      </c>
      <c r="W4266" s="2">
        <v>346.57</v>
      </c>
      <c r="X4266" s="5">
        <f t="shared" si="665"/>
        <v>0.42180513847180512</v>
      </c>
      <c r="Z4266" s="2" t="s">
        <v>117</v>
      </c>
      <c r="AA4266" s="2" t="s">
        <v>181</v>
      </c>
      <c r="AB4266" s="2" t="s">
        <v>119</v>
      </c>
      <c r="AC4266" s="2" t="s">
        <v>114</v>
      </c>
      <c r="AI4266" s="2"/>
      <c r="AK4266" s="2">
        <f t="shared" si="673"/>
        <v>252.82999999999998</v>
      </c>
      <c r="AL4266" s="5">
        <f t="shared" si="674"/>
        <v>0.42180513847180512</v>
      </c>
    </row>
    <row r="4267" spans="1:38" x14ac:dyDescent="0.2">
      <c r="A4267" s="8">
        <v>2026</v>
      </c>
      <c r="B4267" s="8">
        <v>6</v>
      </c>
      <c r="C4267" s="8" t="s">
        <v>3322</v>
      </c>
      <c r="D4267" s="2" t="s">
        <v>634</v>
      </c>
      <c r="E4267" s="2" t="s">
        <v>108</v>
      </c>
      <c r="F4267" s="2" t="s">
        <v>395</v>
      </c>
      <c r="G4267" s="2">
        <v>502967056</v>
      </c>
      <c r="H4267" s="2" t="s">
        <v>109</v>
      </c>
      <c r="I4267" s="2" t="s">
        <v>635</v>
      </c>
      <c r="J4267" s="2" t="s">
        <v>636</v>
      </c>
      <c r="L4267" s="2" t="s">
        <v>112</v>
      </c>
      <c r="M4267" s="2" t="s">
        <v>109</v>
      </c>
      <c r="P4267" s="2" t="s">
        <v>114</v>
      </c>
      <c r="Q4267" s="2" t="s">
        <v>1578</v>
      </c>
      <c r="R4267" s="2" t="s">
        <v>1579</v>
      </c>
      <c r="S4267" s="9">
        <v>1</v>
      </c>
      <c r="T4267" s="10">
        <v>6990</v>
      </c>
      <c r="U4267" s="2">
        <f t="shared" si="671"/>
        <v>1607.7</v>
      </c>
      <c r="V4267" s="2">
        <f t="shared" si="672"/>
        <v>8597.7000000000007</v>
      </c>
      <c r="W4267" s="2">
        <f>4893.23+171</f>
        <v>5064.2299999999996</v>
      </c>
      <c r="X4267" s="5">
        <f t="shared" si="665"/>
        <v>0.27550357653791135</v>
      </c>
      <c r="Z4267" s="2" t="s">
        <v>104</v>
      </c>
      <c r="AA4267" s="2" t="s">
        <v>150</v>
      </c>
      <c r="AB4267" s="2" t="s">
        <v>151</v>
      </c>
      <c r="AC4267" s="2" t="s">
        <v>114</v>
      </c>
      <c r="AI4267" s="2"/>
      <c r="AK4267" s="2">
        <f t="shared" si="673"/>
        <v>1925.7700000000004</v>
      </c>
      <c r="AL4267" s="5">
        <f t="shared" si="674"/>
        <v>0.27550357653791135</v>
      </c>
    </row>
    <row r="4268" spans="1:38" x14ac:dyDescent="0.2">
      <c r="A4268" s="8">
        <v>2026</v>
      </c>
      <c r="B4268" s="8">
        <v>6</v>
      </c>
      <c r="C4268" s="8" t="s">
        <v>3322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114</v>
      </c>
      <c r="Q4268" s="2" t="s">
        <v>904</v>
      </c>
      <c r="R4268" s="2" t="s">
        <v>905</v>
      </c>
      <c r="S4268" s="9">
        <v>1</v>
      </c>
      <c r="T4268" s="10">
        <v>699.3</v>
      </c>
      <c r="U4268" s="2">
        <f t="shared" si="671"/>
        <v>160.839</v>
      </c>
      <c r="V4268" s="2">
        <f t="shared" si="672"/>
        <v>860.1389999999999</v>
      </c>
      <c r="W4268" s="2">
        <v>345.20339999999999</v>
      </c>
      <c r="X4268" s="5">
        <f t="shared" si="665"/>
        <v>0.50635864435864431</v>
      </c>
      <c r="Z4268" s="2" t="s">
        <v>117</v>
      </c>
      <c r="AA4268" s="2" t="s">
        <v>181</v>
      </c>
      <c r="AB4268" s="2" t="s">
        <v>119</v>
      </c>
      <c r="AC4268" s="2" t="s">
        <v>114</v>
      </c>
      <c r="AI4268" s="2"/>
      <c r="AK4268" s="2">
        <f t="shared" si="673"/>
        <v>354.09659999999997</v>
      </c>
      <c r="AL4268" s="5">
        <f t="shared" si="674"/>
        <v>0.50635864435864431</v>
      </c>
    </row>
    <row r="4269" spans="1:38" x14ac:dyDescent="0.2">
      <c r="A4269" s="8">
        <v>2026</v>
      </c>
      <c r="B4269" s="8">
        <v>6</v>
      </c>
      <c r="C4269" s="8" t="s">
        <v>3322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188</v>
      </c>
      <c r="R4269" s="2" t="s">
        <v>189</v>
      </c>
      <c r="S4269" s="9">
        <v>1</v>
      </c>
      <c r="T4269" s="10">
        <v>152</v>
      </c>
      <c r="U4269" s="2">
        <f t="shared" si="671"/>
        <v>34.96</v>
      </c>
      <c r="V4269" s="2">
        <f t="shared" si="672"/>
        <v>186.96</v>
      </c>
      <c r="W4269" s="2">
        <f>T4269*40%</f>
        <v>60.800000000000004</v>
      </c>
      <c r="X4269" s="5">
        <f t="shared" si="665"/>
        <v>0.6</v>
      </c>
      <c r="Z4269" s="2" t="s">
        <v>117</v>
      </c>
      <c r="AA4269" s="2" t="s">
        <v>190</v>
      </c>
      <c r="AB4269" s="2" t="s">
        <v>189</v>
      </c>
      <c r="AC4269" s="2" t="s">
        <v>40</v>
      </c>
      <c r="AG4269" s="2">
        <f>W4269</f>
        <v>60.800000000000004</v>
      </c>
      <c r="AI4269" s="2"/>
      <c r="AJ4269" s="2">
        <f>AI4269*T4269</f>
        <v>0</v>
      </c>
      <c r="AK4269" s="2">
        <f t="shared" si="673"/>
        <v>91.199999999999989</v>
      </c>
      <c r="AL4269" s="5">
        <f t="shared" si="674"/>
        <v>0.6</v>
      </c>
    </row>
    <row r="4270" spans="1:38" x14ac:dyDescent="0.2">
      <c r="A4270" s="8">
        <v>2026</v>
      </c>
      <c r="B4270" s="8">
        <v>6</v>
      </c>
      <c r="C4270" s="8" t="s">
        <v>3322</v>
      </c>
      <c r="D4270" s="2" t="s">
        <v>3103</v>
      </c>
      <c r="E4270" s="2" t="s">
        <v>108</v>
      </c>
      <c r="F4270" s="2" t="s">
        <v>39</v>
      </c>
      <c r="H4270" s="2" t="s">
        <v>109</v>
      </c>
      <c r="L4270" s="2" t="s">
        <v>133</v>
      </c>
      <c r="M4270" s="2" t="s">
        <v>40</v>
      </c>
      <c r="P4270" s="2" t="s">
        <v>187</v>
      </c>
      <c r="Q4270" s="2" t="s">
        <v>191</v>
      </c>
      <c r="R4270" s="2" t="s">
        <v>190</v>
      </c>
      <c r="S4270" s="9">
        <v>1</v>
      </c>
      <c r="T4270" s="10">
        <v>55</v>
      </c>
      <c r="U4270" s="2">
        <f t="shared" si="671"/>
        <v>12.65</v>
      </c>
      <c r="V4270" s="2">
        <f t="shared" si="672"/>
        <v>67.650000000000006</v>
      </c>
      <c r="W4270" s="2">
        <f>T4270*50%</f>
        <v>27.5</v>
      </c>
      <c r="X4270" s="5">
        <f t="shared" si="665"/>
        <v>0.5</v>
      </c>
      <c r="Z4270" s="2" t="s">
        <v>117</v>
      </c>
      <c r="AA4270" s="2" t="s">
        <v>190</v>
      </c>
      <c r="AB4270" s="2" t="s">
        <v>190</v>
      </c>
      <c r="AC4270" s="2" t="s">
        <v>40</v>
      </c>
      <c r="AF4270" s="2">
        <f>AJ4270</f>
        <v>0</v>
      </c>
      <c r="AG4270" s="2">
        <f>W4270</f>
        <v>27.5</v>
      </c>
      <c r="AI4270" s="2"/>
      <c r="AJ4270" s="2">
        <f>AI4270*T4270</f>
        <v>0</v>
      </c>
      <c r="AK4270" s="2">
        <f t="shared" si="673"/>
        <v>27.5</v>
      </c>
      <c r="AL4270" s="5">
        <f t="shared" si="674"/>
        <v>0.5</v>
      </c>
    </row>
    <row r="4271" spans="1:38" x14ac:dyDescent="0.2">
      <c r="A4271" s="8">
        <v>2026</v>
      </c>
      <c r="B4271" s="8">
        <v>6</v>
      </c>
      <c r="C4271" s="8" t="s">
        <v>3391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1779</v>
      </c>
      <c r="R4271" s="2" t="s">
        <v>1780</v>
      </c>
      <c r="S4271" s="9">
        <v>1</v>
      </c>
      <c r="T4271" s="10">
        <v>1990</v>
      </c>
      <c r="U4271" s="2">
        <f t="shared" si="671"/>
        <v>457.70000000000005</v>
      </c>
      <c r="V4271" s="10">
        <f t="shared" si="672"/>
        <v>2447.6999999999998</v>
      </c>
      <c r="W4271" s="2">
        <v>1492.7</v>
      </c>
      <c r="X4271" s="5">
        <f t="shared" si="665"/>
        <v>0.24989949748743717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673"/>
        <v>497.29999999999995</v>
      </c>
      <c r="AL4271" s="5">
        <f t="shared" si="674"/>
        <v>0.24989949748743717</v>
      </c>
    </row>
    <row r="4272" spans="1:38" x14ac:dyDescent="0.2">
      <c r="A4272" s="8">
        <v>2026</v>
      </c>
      <c r="B4272" s="8">
        <v>6</v>
      </c>
      <c r="C4272" s="8" t="s">
        <v>3391</v>
      </c>
      <c r="D4272" s="2" t="s">
        <v>2188</v>
      </c>
      <c r="E4272" s="2" t="s">
        <v>38</v>
      </c>
      <c r="F4272" s="2" t="s">
        <v>39</v>
      </c>
      <c r="G4272" s="2">
        <v>500228353</v>
      </c>
      <c r="L4272" s="2" t="s">
        <v>133</v>
      </c>
      <c r="M4272" s="2" t="s">
        <v>109</v>
      </c>
      <c r="P4272" s="2" t="s">
        <v>282</v>
      </c>
      <c r="Q4272" s="2" t="s">
        <v>1328</v>
      </c>
      <c r="R4272" s="2" t="s">
        <v>1329</v>
      </c>
      <c r="S4272" s="9">
        <v>1</v>
      </c>
      <c r="T4272" s="10">
        <v>1990</v>
      </c>
      <c r="U4272" s="2">
        <f t="shared" si="671"/>
        <v>457.70000000000005</v>
      </c>
      <c r="V4272" s="10">
        <f t="shared" si="672"/>
        <v>2447.6999999999998</v>
      </c>
      <c r="W4272" s="2">
        <v>1578</v>
      </c>
      <c r="X4272" s="5">
        <f t="shared" si="665"/>
        <v>0.20703517587939699</v>
      </c>
      <c r="Z4272" s="2" t="s">
        <v>104</v>
      </c>
      <c r="AA4272" s="2" t="s">
        <v>387</v>
      </c>
      <c r="AB4272" s="2" t="s">
        <v>1330</v>
      </c>
      <c r="AC4272" s="2" t="s">
        <v>1327</v>
      </c>
      <c r="AI4272" s="2"/>
      <c r="AK4272" s="2">
        <f t="shared" si="673"/>
        <v>412</v>
      </c>
      <c r="AL4272" s="5">
        <f t="shared" si="674"/>
        <v>0.20703517587939699</v>
      </c>
    </row>
    <row r="4273" spans="1:38" x14ac:dyDescent="0.2">
      <c r="A4273" s="8">
        <v>2026</v>
      </c>
      <c r="B4273" s="8">
        <v>6</v>
      </c>
      <c r="C4273" s="8"/>
      <c r="D4273" s="2" t="s">
        <v>2642</v>
      </c>
      <c r="P4273" s="2" t="s">
        <v>282</v>
      </c>
      <c r="Q4273" s="2" t="s">
        <v>1235</v>
      </c>
      <c r="R4273" s="2" t="s">
        <v>1236</v>
      </c>
      <c r="S4273" s="9">
        <v>1</v>
      </c>
      <c r="T4273" s="10">
        <v>4200</v>
      </c>
      <c r="U4273" s="2">
        <f t="shared" si="671"/>
        <v>966</v>
      </c>
      <c r="V4273" s="10">
        <f t="shared" si="672"/>
        <v>5166</v>
      </c>
      <c r="W4273" s="2">
        <f>3203.85+43</f>
        <v>3246.85</v>
      </c>
      <c r="X4273" s="5">
        <f t="shared" si="665"/>
        <v>0.22694047619047622</v>
      </c>
      <c r="Z4273" s="2" t="s">
        <v>104</v>
      </c>
      <c r="AA4273" s="2" t="s">
        <v>1574</v>
      </c>
      <c r="AB4273" s="2" t="s">
        <v>388</v>
      </c>
      <c r="AC4273" s="2" t="s">
        <v>1327</v>
      </c>
      <c r="AI4273" s="2"/>
      <c r="AK4273" s="2">
        <f t="shared" si="673"/>
        <v>953.15000000000009</v>
      </c>
      <c r="AL4273" s="5">
        <f t="shared" si="674"/>
        <v>0.22694047619047622</v>
      </c>
    </row>
    <row r="4274" spans="1:38" x14ac:dyDescent="0.2">
      <c r="A4274" s="8">
        <v>2026</v>
      </c>
      <c r="B4274" s="8">
        <v>6</v>
      </c>
      <c r="C4274" s="8"/>
      <c r="D4274" s="2" t="s">
        <v>3102</v>
      </c>
      <c r="P4274" s="2" t="s">
        <v>282</v>
      </c>
      <c r="Q4274" s="2" t="s">
        <v>1328</v>
      </c>
      <c r="R4274" s="2" t="s">
        <v>1329</v>
      </c>
      <c r="S4274" s="9">
        <v>1</v>
      </c>
      <c r="T4274" s="10">
        <v>2150</v>
      </c>
      <c r="U4274" s="2">
        <f t="shared" si="671"/>
        <v>494.5</v>
      </c>
      <c r="V4274" s="10">
        <f t="shared" si="672"/>
        <v>2644.5</v>
      </c>
      <c r="W4274" s="2">
        <v>1578</v>
      </c>
      <c r="X4274" s="5">
        <f t="shared" si="665"/>
        <v>0.26604651162790699</v>
      </c>
      <c r="Z4274" s="2" t="s">
        <v>104</v>
      </c>
      <c r="AA4274" s="2" t="s">
        <v>387</v>
      </c>
      <c r="AB4274" s="2" t="s">
        <v>1330</v>
      </c>
      <c r="AC4274" s="2" t="s">
        <v>1327</v>
      </c>
      <c r="AI4274" s="2"/>
      <c r="AK4274" s="2">
        <f t="shared" si="673"/>
        <v>572</v>
      </c>
      <c r="AL4274" s="5">
        <f t="shared" si="674"/>
        <v>0.26604651162790699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3094</v>
      </c>
      <c r="R4275" s="2" t="s">
        <v>3095</v>
      </c>
      <c r="S4275" s="9">
        <v>-4</v>
      </c>
      <c r="T4275" s="10">
        <v>-800</v>
      </c>
      <c r="U4275" s="2">
        <f t="shared" si="671"/>
        <v>-184</v>
      </c>
      <c r="V4275" s="10">
        <f t="shared" si="672"/>
        <v>-984</v>
      </c>
      <c r="W4275" s="2">
        <f>124*4</f>
        <v>496</v>
      </c>
      <c r="X4275" s="18">
        <f>SIGN(T4275)*((ABS(T4275)-W4275)/ABS(T4275))</f>
        <v>-0.38</v>
      </c>
      <c r="Z4275" s="2" t="s">
        <v>3226</v>
      </c>
      <c r="AA4275" s="2" t="s">
        <v>3382</v>
      </c>
      <c r="AB4275" s="2" t="s">
        <v>3388</v>
      </c>
      <c r="AC4275" s="2" t="s">
        <v>3389</v>
      </c>
      <c r="AI4275" s="2"/>
      <c r="AK4275" s="2">
        <f>T4275+(W4275)</f>
        <v>-304</v>
      </c>
      <c r="AL4275" s="18">
        <f>SIGN(T4275)*((ABS(T4275)-W4275)/ABS(T4275))</f>
        <v>-0.38</v>
      </c>
    </row>
    <row r="4276" spans="1:38" x14ac:dyDescent="0.2">
      <c r="A4276" s="8">
        <v>2026</v>
      </c>
      <c r="B4276" s="8">
        <v>6</v>
      </c>
      <c r="C4276" s="8"/>
      <c r="D4276" s="2" t="s">
        <v>677</v>
      </c>
      <c r="P4276" s="2" t="s">
        <v>2691</v>
      </c>
      <c r="Q4276" s="2" t="s">
        <v>3096</v>
      </c>
      <c r="R4276" s="2" t="s">
        <v>3097</v>
      </c>
      <c r="S4276" s="9">
        <v>-4</v>
      </c>
      <c r="T4276" s="10">
        <v>-714.4</v>
      </c>
      <c r="U4276" s="2">
        <f t="shared" si="671"/>
        <v>-164.31200000000001</v>
      </c>
      <c r="V4276" s="10">
        <f t="shared" si="672"/>
        <v>-878.71199999999999</v>
      </c>
      <c r="W4276" s="2">
        <f>125*4</f>
        <v>500</v>
      </c>
      <c r="X4276" s="18">
        <f>SIGN(T4276)*((ABS(T4276)-W4276)/ABS(T4276))</f>
        <v>-0.30011198208286671</v>
      </c>
      <c r="Z4276" s="2" t="s">
        <v>3226</v>
      </c>
      <c r="AA4276" s="2" t="s">
        <v>3382</v>
      </c>
      <c r="AB4276" s="2" t="s">
        <v>3388</v>
      </c>
      <c r="AC4276" s="2" t="s">
        <v>3389</v>
      </c>
      <c r="AI4276" s="2"/>
      <c r="AK4276" s="2">
        <f>T4276+(W4276)</f>
        <v>-214.39999999999998</v>
      </c>
      <c r="AL4276" s="18">
        <f>SIGN(T4276)*((ABS(T4276)-W4276)/ABS(T4276))</f>
        <v>-0.30011198208286671</v>
      </c>
    </row>
    <row r="4277" spans="1:38" x14ac:dyDescent="0.2">
      <c r="A4277" s="8">
        <v>2026</v>
      </c>
      <c r="B4277" s="8">
        <v>6</v>
      </c>
      <c r="C4277" s="8" t="s">
        <v>3293</v>
      </c>
      <c r="D4277" s="2" t="s">
        <v>3397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3227</v>
      </c>
      <c r="R4277" s="2" t="s">
        <v>1155</v>
      </c>
      <c r="S4277" s="8">
        <v>1</v>
      </c>
      <c r="T4277" s="2">
        <v>2900</v>
      </c>
      <c r="U4277" s="2">
        <f t="shared" si="671"/>
        <v>667</v>
      </c>
      <c r="V4277" s="10">
        <f>U4277+T4277</f>
        <v>3567</v>
      </c>
      <c r="W4277" s="2">
        <v>2190</v>
      </c>
      <c r="X4277" s="5">
        <f>(T4277-W4277)/T4277</f>
        <v>0.24482758620689654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ref="AK4277:AK4340" si="675">T4277-W4277</f>
        <v>710</v>
      </c>
      <c r="AL4277" s="5">
        <f>(T4277-W4277)/T4277</f>
        <v>0.24482758620689654</v>
      </c>
    </row>
    <row r="4278" spans="1:38" x14ac:dyDescent="0.2">
      <c r="A4278" s="8">
        <v>2026</v>
      </c>
      <c r="B4278" s="8">
        <v>6</v>
      </c>
      <c r="C4278" s="8" t="s">
        <v>3293</v>
      </c>
      <c r="D4278" s="2" t="s">
        <v>3397</v>
      </c>
      <c r="E4278" s="2" t="s">
        <v>752</v>
      </c>
      <c r="F4278" s="2" t="s">
        <v>39</v>
      </c>
      <c r="G4278" s="2">
        <v>513626930</v>
      </c>
      <c r="H4278" s="2" t="s">
        <v>40</v>
      </c>
      <c r="I4278" s="2" t="s">
        <v>339</v>
      </c>
      <c r="J4278" s="2" t="s">
        <v>471</v>
      </c>
      <c r="L4278" s="2" t="s">
        <v>133</v>
      </c>
      <c r="M4278" s="2" t="s">
        <v>109</v>
      </c>
      <c r="O4278" s="2" t="s">
        <v>3228</v>
      </c>
      <c r="P4278" s="2" t="s">
        <v>282</v>
      </c>
      <c r="Q4278" s="6" t="s">
        <v>1158</v>
      </c>
      <c r="R4278" s="2" t="s">
        <v>1159</v>
      </c>
      <c r="S4278" s="8">
        <v>1</v>
      </c>
      <c r="T4278" s="2">
        <v>0</v>
      </c>
      <c r="U4278" s="2">
        <v>0</v>
      </c>
      <c r="V4278" s="2">
        <v>0</v>
      </c>
      <c r="W4278" s="2">
        <v>0</v>
      </c>
      <c r="X4278" s="18">
        <v>-1</v>
      </c>
      <c r="Z4278" s="2" t="s">
        <v>104</v>
      </c>
      <c r="AA4278" s="2" t="s">
        <v>1574</v>
      </c>
      <c r="AB4278" s="2" t="s">
        <v>388</v>
      </c>
      <c r="AC4278" s="2" t="s">
        <v>1327</v>
      </c>
      <c r="AK4278" s="2">
        <f t="shared" si="675"/>
        <v>0</v>
      </c>
      <c r="AL4278" s="18">
        <v>-1</v>
      </c>
    </row>
    <row r="4279" spans="1:38" x14ac:dyDescent="0.2">
      <c r="A4279" s="2">
        <v>2026</v>
      </c>
      <c r="B4279" s="2">
        <v>7</v>
      </c>
      <c r="C4279" s="2" t="s">
        <v>3294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3269</v>
      </c>
      <c r="M4279" s="2" t="s">
        <v>41</v>
      </c>
      <c r="O4279" s="2" t="s">
        <v>3266</v>
      </c>
      <c r="P4279" s="2" t="s">
        <v>43</v>
      </c>
      <c r="Q4279" s="2" t="s">
        <v>44</v>
      </c>
      <c r="R4279" s="2" t="s">
        <v>45</v>
      </c>
      <c r="S4279" s="13">
        <v>1</v>
      </c>
      <c r="T4279" s="14">
        <v>25.2</v>
      </c>
      <c r="U4279" s="2">
        <f t="shared" ref="U4279:U4310" si="676">T4279*23%</f>
        <v>5.7960000000000003</v>
      </c>
      <c r="V4279" s="12">
        <f t="shared" ref="V4279:V4310" si="677">T4279+U4279</f>
        <v>30.995999999999999</v>
      </c>
      <c r="W4279" s="2">
        <v>14.535</v>
      </c>
      <c r="X4279" s="5">
        <f t="shared" ref="X4279:X4310" si="678">(T4279-W4279)/T4279</f>
        <v>0.42321428571428571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675"/>
        <v>10.664999999999999</v>
      </c>
      <c r="AL4279" s="5">
        <f t="shared" ref="AL4279:AL4310" si="679">(T4279-W4279)/T4279</f>
        <v>0.42321428571428571</v>
      </c>
    </row>
    <row r="4280" spans="1:38" x14ac:dyDescent="0.2">
      <c r="A4280" s="2">
        <v>2026</v>
      </c>
      <c r="B4280" s="2">
        <v>7</v>
      </c>
      <c r="C4280" s="2" t="s">
        <v>3294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3269</v>
      </c>
      <c r="M4280" s="2" t="s">
        <v>41</v>
      </c>
      <c r="O4280" s="2" t="s">
        <v>3266</v>
      </c>
      <c r="P4280" s="2" t="s">
        <v>43</v>
      </c>
      <c r="Q4280" s="2" t="s">
        <v>158</v>
      </c>
      <c r="R4280" s="2" t="s">
        <v>159</v>
      </c>
      <c r="S4280" s="13">
        <v>1</v>
      </c>
      <c r="T4280" s="14">
        <v>21</v>
      </c>
      <c r="U4280" s="2">
        <f t="shared" si="676"/>
        <v>4.83</v>
      </c>
      <c r="V4280" s="12">
        <f t="shared" si="677"/>
        <v>25.83</v>
      </c>
      <c r="W4280" s="2">
        <f>9.3*S4280</f>
        <v>9.3000000000000007</v>
      </c>
      <c r="X4280" s="5">
        <f t="shared" si="678"/>
        <v>0.55714285714285716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675"/>
        <v>11.7</v>
      </c>
      <c r="AL4280" s="5">
        <f t="shared" si="679"/>
        <v>0.55714285714285716</v>
      </c>
    </row>
    <row r="4281" spans="1:38" x14ac:dyDescent="0.2">
      <c r="A4281" s="2">
        <v>2026</v>
      </c>
      <c r="B4281" s="2">
        <v>7</v>
      </c>
      <c r="C4281" s="2" t="s">
        <v>3294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3269</v>
      </c>
      <c r="M4281" s="2" t="s">
        <v>41</v>
      </c>
      <c r="O4281" s="2" t="s">
        <v>3266</v>
      </c>
      <c r="P4281" s="2" t="s">
        <v>43</v>
      </c>
      <c r="Q4281" s="2" t="s">
        <v>48</v>
      </c>
      <c r="R4281" s="2" t="s">
        <v>49</v>
      </c>
      <c r="S4281" s="13">
        <v>1</v>
      </c>
      <c r="T4281" s="14">
        <v>13</v>
      </c>
      <c r="U4281" s="2">
        <f t="shared" si="676"/>
        <v>2.99</v>
      </c>
      <c r="V4281" s="12">
        <f t="shared" si="677"/>
        <v>15.99</v>
      </c>
      <c r="W4281" s="2">
        <f>6.6267*S4281</f>
        <v>6.6266999999999996</v>
      </c>
      <c r="X4281" s="5">
        <f t="shared" si="678"/>
        <v>0.49025384615384621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675"/>
        <v>6.3733000000000004</v>
      </c>
      <c r="AL4281" s="5">
        <f t="shared" si="679"/>
        <v>0.49025384615384621</v>
      </c>
    </row>
    <row r="4282" spans="1:38" x14ac:dyDescent="0.2">
      <c r="A4282" s="2">
        <v>2026</v>
      </c>
      <c r="B4282" s="2">
        <v>7</v>
      </c>
      <c r="C4282" s="2" t="s">
        <v>3294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3269</v>
      </c>
      <c r="M4282" s="2" t="s">
        <v>80</v>
      </c>
      <c r="O4282" s="2" t="s">
        <v>3267</v>
      </c>
      <c r="P4282" s="2" t="s">
        <v>43</v>
      </c>
      <c r="Q4282" s="2" t="s">
        <v>50</v>
      </c>
      <c r="R4282" s="2" t="s">
        <v>51</v>
      </c>
      <c r="S4282" s="13">
        <v>1</v>
      </c>
      <c r="T4282" s="14">
        <v>18</v>
      </c>
      <c r="U4282" s="2">
        <f t="shared" si="676"/>
        <v>4.1400000000000006</v>
      </c>
      <c r="V4282" s="12">
        <f t="shared" si="677"/>
        <v>22.14</v>
      </c>
      <c r="W4282" s="2">
        <f>14.4*S4282</f>
        <v>14.4</v>
      </c>
      <c r="X4282" s="5">
        <f t="shared" si="678"/>
        <v>0.19999999999999998</v>
      </c>
      <c r="Z4282" s="2" t="s">
        <v>3226</v>
      </c>
      <c r="AA4282" s="2" t="s">
        <v>46</v>
      </c>
      <c r="AB4282" s="2" t="s">
        <v>47</v>
      </c>
      <c r="AC4282" s="2" t="s">
        <v>57</v>
      </c>
      <c r="AK4282" s="2">
        <f t="shared" si="675"/>
        <v>3.5999999999999996</v>
      </c>
      <c r="AL4282" s="5">
        <f t="shared" si="679"/>
        <v>0.19999999999999998</v>
      </c>
    </row>
    <row r="4283" spans="1:38" x14ac:dyDescent="0.2">
      <c r="A4283" s="2">
        <v>2026</v>
      </c>
      <c r="B4283" s="2">
        <v>7</v>
      </c>
      <c r="C4283" s="2" t="s">
        <v>3294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3269</v>
      </c>
      <c r="M4283" s="2" t="s">
        <v>80</v>
      </c>
      <c r="O4283" s="2" t="s">
        <v>3267</v>
      </c>
      <c r="P4283" s="2" t="s">
        <v>43</v>
      </c>
      <c r="Q4283" s="2" t="s">
        <v>54</v>
      </c>
      <c r="R4283" s="2" t="s">
        <v>55</v>
      </c>
      <c r="S4283" s="13">
        <v>2</v>
      </c>
      <c r="T4283" s="14">
        <v>30</v>
      </c>
      <c r="U4283" s="2">
        <f t="shared" si="676"/>
        <v>6.9</v>
      </c>
      <c r="V4283" s="12">
        <f t="shared" si="677"/>
        <v>36.9</v>
      </c>
      <c r="W4283" s="2">
        <f>10.6*S4283</f>
        <v>21.2</v>
      </c>
      <c r="X4283" s="5">
        <f t="shared" si="678"/>
        <v>0.29333333333333333</v>
      </c>
      <c r="Z4283" s="2" t="s">
        <v>3226</v>
      </c>
      <c r="AA4283" s="2" t="s">
        <v>46</v>
      </c>
      <c r="AB4283" s="2" t="s">
        <v>56</v>
      </c>
      <c r="AC4283" s="2" t="s">
        <v>57</v>
      </c>
      <c r="AK4283" s="2">
        <f t="shared" si="675"/>
        <v>8.8000000000000007</v>
      </c>
      <c r="AL4283" s="5">
        <f t="shared" si="679"/>
        <v>0.29333333333333333</v>
      </c>
    </row>
    <row r="4284" spans="1:38" x14ac:dyDescent="0.2">
      <c r="A4284" s="2">
        <v>2026</v>
      </c>
      <c r="B4284" s="2">
        <v>7</v>
      </c>
      <c r="C4284" s="2" t="s">
        <v>3294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3269</v>
      </c>
      <c r="M4284" s="2" t="s">
        <v>80</v>
      </c>
      <c r="O4284" s="2" t="s">
        <v>3267</v>
      </c>
      <c r="P4284" s="2" t="s">
        <v>43</v>
      </c>
      <c r="Q4284" s="2" t="s">
        <v>162</v>
      </c>
      <c r="R4284" s="2" t="s">
        <v>163</v>
      </c>
      <c r="S4284" s="13">
        <v>2</v>
      </c>
      <c r="T4284" s="14">
        <v>24</v>
      </c>
      <c r="U4284" s="2">
        <f t="shared" si="676"/>
        <v>5.5200000000000005</v>
      </c>
      <c r="V4284" s="12">
        <f t="shared" si="677"/>
        <v>29.52</v>
      </c>
      <c r="W4284" s="2">
        <f>8*S4284</f>
        <v>16</v>
      </c>
      <c r="X4284" s="5">
        <f t="shared" si="678"/>
        <v>0.33333333333333331</v>
      </c>
      <c r="Z4284" s="2" t="s">
        <v>3226</v>
      </c>
      <c r="AA4284" s="2" t="s">
        <v>46</v>
      </c>
      <c r="AB4284" s="2" t="s">
        <v>47</v>
      </c>
      <c r="AC4284" s="2" t="s">
        <v>57</v>
      </c>
      <c r="AK4284" s="2">
        <f t="shared" si="675"/>
        <v>8</v>
      </c>
      <c r="AL4284" s="5">
        <f t="shared" si="679"/>
        <v>0.33333333333333331</v>
      </c>
    </row>
    <row r="4285" spans="1:38" x14ac:dyDescent="0.2">
      <c r="A4285" s="2">
        <v>2026</v>
      </c>
      <c r="B4285" s="2">
        <v>7</v>
      </c>
      <c r="C4285" s="2" t="s">
        <v>3294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3269</v>
      </c>
      <c r="M4285" s="2" t="s">
        <v>80</v>
      </c>
      <c r="O4285" s="2" t="s">
        <v>3268</v>
      </c>
      <c r="P4285" s="2" t="s">
        <v>1038</v>
      </c>
      <c r="Q4285" s="2" t="s">
        <v>3264</v>
      </c>
      <c r="R4285" s="2" t="s">
        <v>3265</v>
      </c>
      <c r="S4285" s="13">
        <v>1</v>
      </c>
      <c r="T4285" s="14">
        <v>187</v>
      </c>
      <c r="U4285" s="2">
        <f t="shared" si="676"/>
        <v>43.010000000000005</v>
      </c>
      <c r="V4285" s="12">
        <f t="shared" si="677"/>
        <v>230.01</v>
      </c>
      <c r="W4285" s="2">
        <v>141.16</v>
      </c>
      <c r="X4285" s="5">
        <f t="shared" si="678"/>
        <v>0.24513368983957221</v>
      </c>
      <c r="Z4285" s="2" t="s">
        <v>3226</v>
      </c>
      <c r="AA4285" s="2" t="s">
        <v>75</v>
      </c>
      <c r="AB4285" s="2" t="s">
        <v>76</v>
      </c>
      <c r="AC4285" s="2" t="s">
        <v>1038</v>
      </c>
      <c r="AK4285" s="2">
        <f t="shared" si="675"/>
        <v>45.84</v>
      </c>
      <c r="AL4285" s="5">
        <f t="shared" si="679"/>
        <v>0.24513368983957221</v>
      </c>
    </row>
    <row r="4286" spans="1:38" x14ac:dyDescent="0.2">
      <c r="A4286" s="2">
        <v>2026</v>
      </c>
      <c r="B4286" s="2">
        <v>7</v>
      </c>
      <c r="C4286" s="2" t="s">
        <v>3294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3269</v>
      </c>
      <c r="M4286" s="2" t="s">
        <v>80</v>
      </c>
      <c r="O4286" s="2" t="s">
        <v>3268</v>
      </c>
      <c r="P4286" s="2" t="s">
        <v>93</v>
      </c>
      <c r="Q4286" s="2" t="s">
        <v>94</v>
      </c>
      <c r="R4286" s="2" t="s">
        <v>95</v>
      </c>
      <c r="S4286" s="13">
        <v>1</v>
      </c>
      <c r="T4286" s="14">
        <v>1.48</v>
      </c>
      <c r="U4286" s="2">
        <f t="shared" si="676"/>
        <v>0.34040000000000004</v>
      </c>
      <c r="V4286" s="12">
        <f t="shared" si="677"/>
        <v>1.8204</v>
      </c>
      <c r="W4286" s="2">
        <v>1.48</v>
      </c>
      <c r="X4286" s="5">
        <f t="shared" si="678"/>
        <v>0</v>
      </c>
      <c r="Z4286" s="2" t="s">
        <v>3226</v>
      </c>
      <c r="AA4286" s="2" t="s">
        <v>96</v>
      </c>
      <c r="AB4286" s="2" t="s">
        <v>76</v>
      </c>
      <c r="AC4286" s="2" t="s">
        <v>93</v>
      </c>
      <c r="AK4286" s="2">
        <f t="shared" si="675"/>
        <v>0</v>
      </c>
      <c r="AL4286" s="5">
        <f t="shared" si="679"/>
        <v>0</v>
      </c>
    </row>
    <row r="4287" spans="1:38" x14ac:dyDescent="0.2">
      <c r="A4287" s="2">
        <v>2026</v>
      </c>
      <c r="B4287" s="2">
        <v>7</v>
      </c>
      <c r="C4287" s="2" t="s">
        <v>3294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3278</v>
      </c>
      <c r="P4287" s="2" t="s">
        <v>72</v>
      </c>
      <c r="Q4287" s="2" t="s">
        <v>3027</v>
      </c>
      <c r="R4287" s="2" t="s">
        <v>331</v>
      </c>
      <c r="S4287" s="13">
        <v>1</v>
      </c>
      <c r="T4287" s="14">
        <v>220</v>
      </c>
      <c r="U4287" s="2">
        <f t="shared" si="676"/>
        <v>50.6</v>
      </c>
      <c r="V4287" s="12">
        <f t="shared" si="677"/>
        <v>270.60000000000002</v>
      </c>
      <c r="W4287" s="2">
        <v>113.4</v>
      </c>
      <c r="X4287" s="5">
        <f t="shared" si="678"/>
        <v>0.4845454545454545</v>
      </c>
      <c r="Z4287" s="2" t="s">
        <v>3226</v>
      </c>
      <c r="AA4287" s="2" t="s">
        <v>75</v>
      </c>
      <c r="AB4287" s="2" t="s">
        <v>76</v>
      </c>
      <c r="AC4287" s="2" t="s">
        <v>77</v>
      </c>
      <c r="AK4287" s="2">
        <f t="shared" si="675"/>
        <v>106.6</v>
      </c>
      <c r="AL4287" s="5">
        <f t="shared" si="679"/>
        <v>0.4845454545454545</v>
      </c>
    </row>
    <row r="4288" spans="1:38" x14ac:dyDescent="0.2">
      <c r="A4288" s="2">
        <v>2026</v>
      </c>
      <c r="B4288" s="2">
        <v>7</v>
      </c>
      <c r="C4288" s="2" t="s">
        <v>3294</v>
      </c>
      <c r="D4288" s="2" t="s">
        <v>1467</v>
      </c>
      <c r="E4288" s="2" t="s">
        <v>38</v>
      </c>
      <c r="F4288" s="2" t="s">
        <v>39</v>
      </c>
      <c r="H4288" s="2" t="s">
        <v>109</v>
      </c>
      <c r="I4288" s="2" t="s">
        <v>1468</v>
      </c>
      <c r="L4288" s="2" t="s">
        <v>360</v>
      </c>
      <c r="M4288" s="2" t="s">
        <v>80</v>
      </c>
      <c r="O4288" s="2" t="s">
        <v>3278</v>
      </c>
      <c r="P4288" s="2" t="s">
        <v>93</v>
      </c>
      <c r="Q4288" s="2" t="s">
        <v>94</v>
      </c>
      <c r="R4288" s="2" t="s">
        <v>95</v>
      </c>
      <c r="S4288" s="13">
        <v>1</v>
      </c>
      <c r="T4288" s="14">
        <v>1.48</v>
      </c>
      <c r="U4288" s="2">
        <f t="shared" si="676"/>
        <v>0.34040000000000004</v>
      </c>
      <c r="V4288" s="12">
        <f t="shared" si="677"/>
        <v>1.8204</v>
      </c>
      <c r="W4288" s="2">
        <v>1.48</v>
      </c>
      <c r="X4288" s="5">
        <f t="shared" si="678"/>
        <v>0</v>
      </c>
      <c r="Z4288" s="2" t="s">
        <v>3226</v>
      </c>
      <c r="AA4288" s="2" t="s">
        <v>96</v>
      </c>
      <c r="AB4288" s="2" t="s">
        <v>76</v>
      </c>
      <c r="AC4288" s="2" t="s">
        <v>93</v>
      </c>
      <c r="AK4288" s="2">
        <f t="shared" si="675"/>
        <v>0</v>
      </c>
      <c r="AL4288" s="5">
        <f t="shared" si="679"/>
        <v>0</v>
      </c>
    </row>
    <row r="4289" spans="1:38" x14ac:dyDescent="0.2">
      <c r="A4289" s="2">
        <v>2026</v>
      </c>
      <c r="B4289" s="2">
        <v>7</v>
      </c>
      <c r="D4289" s="2" t="s">
        <v>1153</v>
      </c>
      <c r="E4289" s="2" t="s">
        <v>108</v>
      </c>
      <c r="F4289" s="2" t="s">
        <v>531</v>
      </c>
      <c r="H4289" s="2" t="s">
        <v>40</v>
      </c>
      <c r="I4289" s="2" t="s">
        <v>3284</v>
      </c>
      <c r="L4289" s="2" t="s">
        <v>339</v>
      </c>
      <c r="M4289" s="2" t="s">
        <v>40</v>
      </c>
      <c r="O4289" s="2" t="s">
        <v>3285</v>
      </c>
      <c r="P4289" s="2" t="s">
        <v>282</v>
      </c>
      <c r="Q4289" s="2" t="s">
        <v>2996</v>
      </c>
      <c r="R4289" s="2" t="s">
        <v>2997</v>
      </c>
      <c r="S4289" s="13">
        <v>1</v>
      </c>
      <c r="T4289" s="14">
        <v>1190</v>
      </c>
      <c r="U4289" s="2">
        <f t="shared" si="676"/>
        <v>273.7</v>
      </c>
      <c r="V4289" s="12">
        <f t="shared" si="677"/>
        <v>1463.7</v>
      </c>
      <c r="W4289" s="2">
        <v>773.5</v>
      </c>
      <c r="X4289" s="5">
        <f t="shared" si="678"/>
        <v>0.35</v>
      </c>
      <c r="Z4289" s="2" t="s">
        <v>117</v>
      </c>
      <c r="AA4289" s="2" t="s">
        <v>181</v>
      </c>
      <c r="AB4289" s="2" t="s">
        <v>3380</v>
      </c>
      <c r="AC4289" s="2" t="s">
        <v>1327</v>
      </c>
      <c r="AK4289" s="2">
        <f t="shared" si="675"/>
        <v>416.5</v>
      </c>
      <c r="AL4289" s="5">
        <f t="shared" si="679"/>
        <v>0.35</v>
      </c>
    </row>
    <row r="4290" spans="1:38" x14ac:dyDescent="0.2">
      <c r="A4290" s="2">
        <v>2026</v>
      </c>
      <c r="B4290" s="2">
        <v>7</v>
      </c>
      <c r="C4290" s="2" t="s">
        <v>3294</v>
      </c>
      <c r="D4290" s="2" t="s">
        <v>3270</v>
      </c>
      <c r="E4290" s="2" t="s">
        <v>38</v>
      </c>
      <c r="F4290" s="2" t="s">
        <v>39</v>
      </c>
      <c r="H4290" s="2" t="s">
        <v>290</v>
      </c>
      <c r="I4290" s="2" t="s">
        <v>3280</v>
      </c>
      <c r="L4290" s="2" t="s">
        <v>339</v>
      </c>
      <c r="M4290" s="2" t="s">
        <v>80</v>
      </c>
      <c r="O4290" s="2" t="s">
        <v>3279</v>
      </c>
      <c r="P4290" s="2" t="s">
        <v>72</v>
      </c>
      <c r="Q4290" s="2" t="s">
        <v>912</v>
      </c>
      <c r="R4290" s="2" t="s">
        <v>74</v>
      </c>
      <c r="S4290" s="13">
        <v>1</v>
      </c>
      <c r="T4290" s="14">
        <v>230.23</v>
      </c>
      <c r="U4290" s="2">
        <f t="shared" si="676"/>
        <v>52.9529</v>
      </c>
      <c r="V4290" s="12">
        <f t="shared" si="677"/>
        <v>283.18290000000002</v>
      </c>
      <c r="W4290" s="2">
        <f>115.92+6.06</f>
        <v>121.98</v>
      </c>
      <c r="X4290" s="5">
        <f t="shared" si="678"/>
        <v>0.47018199192112231</v>
      </c>
      <c r="Z4290" s="2" t="s">
        <v>3226</v>
      </c>
      <c r="AA4290" s="2" t="s">
        <v>75</v>
      </c>
      <c r="AB4290" s="2" t="s">
        <v>76</v>
      </c>
      <c r="AC4290" s="2" t="s">
        <v>77</v>
      </c>
      <c r="AK4290" s="2">
        <f t="shared" si="675"/>
        <v>108.24999999999999</v>
      </c>
      <c r="AL4290" s="5">
        <f t="shared" si="679"/>
        <v>0.47018199192112231</v>
      </c>
    </row>
    <row r="4291" spans="1:38" x14ac:dyDescent="0.2">
      <c r="A4291" s="2">
        <v>2026</v>
      </c>
      <c r="B4291" s="2">
        <v>7</v>
      </c>
      <c r="C4291" s="2" t="s">
        <v>3294</v>
      </c>
      <c r="D4291" s="2" t="s">
        <v>3270</v>
      </c>
      <c r="E4291" s="2" t="s">
        <v>38</v>
      </c>
      <c r="F4291" s="2" t="s">
        <v>39</v>
      </c>
      <c r="H4291" s="2" t="s">
        <v>290</v>
      </c>
      <c r="I4291" s="2" t="s">
        <v>3280</v>
      </c>
      <c r="L4291" s="2" t="s">
        <v>339</v>
      </c>
      <c r="M4291" s="2" t="s">
        <v>80</v>
      </c>
      <c r="O4291" s="2" t="s">
        <v>3279</v>
      </c>
      <c r="P4291" s="2" t="s">
        <v>93</v>
      </c>
      <c r="Q4291" s="2" t="s">
        <v>94</v>
      </c>
      <c r="R4291" s="2" t="s">
        <v>95</v>
      </c>
      <c r="S4291" s="13">
        <v>1</v>
      </c>
      <c r="T4291" s="14">
        <v>1.48</v>
      </c>
      <c r="U4291" s="2">
        <f t="shared" si="676"/>
        <v>0.34040000000000004</v>
      </c>
      <c r="V4291" s="12">
        <f t="shared" si="677"/>
        <v>1.8204</v>
      </c>
      <c r="W4291" s="2">
        <v>1.48</v>
      </c>
      <c r="X4291" s="5">
        <f t="shared" si="678"/>
        <v>0</v>
      </c>
      <c r="Z4291" s="2" t="s">
        <v>3226</v>
      </c>
      <c r="AA4291" s="2" t="s">
        <v>96</v>
      </c>
      <c r="AB4291" s="2" t="s">
        <v>76</v>
      </c>
      <c r="AC4291" s="2" t="s">
        <v>93</v>
      </c>
      <c r="AK4291" s="2">
        <f t="shared" si="675"/>
        <v>0</v>
      </c>
      <c r="AL4291" s="5">
        <f t="shared" si="679"/>
        <v>0</v>
      </c>
    </row>
    <row r="4292" spans="1:38" x14ac:dyDescent="0.2">
      <c r="A4292" s="2">
        <v>2026</v>
      </c>
      <c r="B4292" s="2">
        <v>7</v>
      </c>
      <c r="D4292" s="2" t="s">
        <v>3271</v>
      </c>
      <c r="E4292" s="2" t="s">
        <v>752</v>
      </c>
      <c r="F4292" s="2" t="s">
        <v>918</v>
      </c>
      <c r="H4292" s="2" t="s">
        <v>40</v>
      </c>
      <c r="I4292" s="2" t="s">
        <v>3286</v>
      </c>
      <c r="L4292" s="2" t="s">
        <v>99</v>
      </c>
      <c r="M4292" s="2" t="s">
        <v>40</v>
      </c>
      <c r="O4292" s="2" t="s">
        <v>3287</v>
      </c>
      <c r="P4292" s="2" t="s">
        <v>114</v>
      </c>
      <c r="Q4292" s="2" t="s">
        <v>904</v>
      </c>
      <c r="R4292" s="2" t="s">
        <v>905</v>
      </c>
      <c r="S4292" s="13">
        <v>1</v>
      </c>
      <c r="T4292" s="14">
        <v>699.3</v>
      </c>
      <c r="U4292" s="2">
        <f t="shared" si="676"/>
        <v>160.839</v>
      </c>
      <c r="V4292" s="12">
        <f t="shared" si="677"/>
        <v>860.1389999999999</v>
      </c>
      <c r="W4292" s="2">
        <v>345.20339999999999</v>
      </c>
      <c r="X4292" s="5">
        <f t="shared" si="678"/>
        <v>0.50635864435864431</v>
      </c>
      <c r="Z4292" s="2" t="s">
        <v>117</v>
      </c>
      <c r="AA4292" s="2" t="s">
        <v>181</v>
      </c>
      <c r="AB4292" s="2" t="s">
        <v>119</v>
      </c>
      <c r="AC4292" s="2" t="s">
        <v>114</v>
      </c>
      <c r="AK4292" s="2">
        <f t="shared" si="675"/>
        <v>354.09659999999997</v>
      </c>
      <c r="AL4292" s="5">
        <f t="shared" si="679"/>
        <v>0.50635864435864431</v>
      </c>
    </row>
    <row r="4293" spans="1:38" x14ac:dyDescent="0.2">
      <c r="A4293" s="2">
        <v>2026</v>
      </c>
      <c r="B4293" s="2">
        <v>7</v>
      </c>
      <c r="D4293" s="2" t="s">
        <v>3271</v>
      </c>
      <c r="E4293" s="2" t="s">
        <v>752</v>
      </c>
      <c r="F4293" s="2" t="s">
        <v>918</v>
      </c>
      <c r="H4293" s="2" t="s">
        <v>40</v>
      </c>
      <c r="I4293" s="2" t="s">
        <v>3286</v>
      </c>
      <c r="L4293" s="2" t="s">
        <v>99</v>
      </c>
      <c r="M4293" s="2" t="s">
        <v>40</v>
      </c>
      <c r="O4293" s="2" t="s">
        <v>3287</v>
      </c>
      <c r="P4293" s="2" t="s">
        <v>187</v>
      </c>
      <c r="Q4293" s="2" t="s">
        <v>188</v>
      </c>
      <c r="R4293" s="2" t="s">
        <v>189</v>
      </c>
      <c r="S4293" s="13">
        <v>1</v>
      </c>
      <c r="T4293" s="14">
        <v>55</v>
      </c>
      <c r="U4293" s="2">
        <f t="shared" si="676"/>
        <v>12.65</v>
      </c>
      <c r="V4293" s="12">
        <f t="shared" si="677"/>
        <v>67.650000000000006</v>
      </c>
      <c r="W4293" s="2">
        <f>T4293*40%</f>
        <v>22</v>
      </c>
      <c r="X4293" s="5">
        <f t="shared" si="678"/>
        <v>0.6</v>
      </c>
      <c r="Z4293" s="2" t="s">
        <v>117</v>
      </c>
      <c r="AA4293" s="2" t="s">
        <v>190</v>
      </c>
      <c r="AB4293" s="2" t="s">
        <v>189</v>
      </c>
      <c r="AC4293" s="2" t="s">
        <v>40</v>
      </c>
      <c r="AK4293" s="2">
        <f t="shared" si="675"/>
        <v>33</v>
      </c>
      <c r="AL4293" s="5">
        <f t="shared" si="679"/>
        <v>0.6</v>
      </c>
    </row>
    <row r="4294" spans="1:38" x14ac:dyDescent="0.2">
      <c r="A4294" s="2">
        <v>2026</v>
      </c>
      <c r="B4294" s="2">
        <v>7</v>
      </c>
      <c r="D4294" s="2" t="s">
        <v>3271</v>
      </c>
      <c r="E4294" s="2" t="s">
        <v>752</v>
      </c>
      <c r="F4294" s="2" t="s">
        <v>918</v>
      </c>
      <c r="H4294" s="2" t="s">
        <v>40</v>
      </c>
      <c r="I4294" s="2" t="s">
        <v>3286</v>
      </c>
      <c r="L4294" s="2" t="s">
        <v>99</v>
      </c>
      <c r="M4294" s="2" t="s">
        <v>40</v>
      </c>
      <c r="O4294" s="2" t="s">
        <v>3287</v>
      </c>
      <c r="P4294" s="2" t="s">
        <v>187</v>
      </c>
      <c r="Q4294" s="2" t="s">
        <v>191</v>
      </c>
      <c r="R4294" s="2" t="s">
        <v>190</v>
      </c>
      <c r="S4294" s="13">
        <v>0.5</v>
      </c>
      <c r="T4294" s="14">
        <v>27.5</v>
      </c>
      <c r="U4294" s="2">
        <f t="shared" si="676"/>
        <v>6.3250000000000002</v>
      </c>
      <c r="V4294" s="12">
        <f t="shared" si="677"/>
        <v>33.825000000000003</v>
      </c>
      <c r="W4294" s="2">
        <f>T4294*50%</f>
        <v>13.75</v>
      </c>
      <c r="X4294" s="5">
        <f t="shared" si="678"/>
        <v>0.5</v>
      </c>
      <c r="Z4294" s="2" t="s">
        <v>117</v>
      </c>
      <c r="AA4294" s="2" t="s">
        <v>190</v>
      </c>
      <c r="AB4294" s="2" t="s">
        <v>190</v>
      </c>
      <c r="AC4294" s="2" t="s">
        <v>40</v>
      </c>
      <c r="AK4294" s="2">
        <f t="shared" si="675"/>
        <v>13.75</v>
      </c>
      <c r="AL4294" s="5">
        <f t="shared" si="679"/>
        <v>0.5</v>
      </c>
    </row>
    <row r="4295" spans="1:38" x14ac:dyDescent="0.2">
      <c r="A4295" s="2">
        <v>2026</v>
      </c>
      <c r="B4295" s="2">
        <v>7</v>
      </c>
      <c r="C4295" s="2" t="s">
        <v>3294</v>
      </c>
      <c r="D4295" s="2" t="s">
        <v>3272</v>
      </c>
      <c r="E4295" s="2" t="s">
        <v>108</v>
      </c>
      <c r="F4295" s="2" t="s">
        <v>477</v>
      </c>
      <c r="H4295" s="2" t="s">
        <v>290</v>
      </c>
      <c r="I4295" s="2" t="s">
        <v>3288</v>
      </c>
      <c r="L4295" s="2" t="s">
        <v>293</v>
      </c>
      <c r="M4295" s="2" t="s">
        <v>80</v>
      </c>
      <c r="O4295" s="2" t="s">
        <v>3289</v>
      </c>
      <c r="P4295" s="2" t="s">
        <v>72</v>
      </c>
      <c r="Q4295" s="2" t="s">
        <v>3273</v>
      </c>
      <c r="R4295" s="2" t="s">
        <v>307</v>
      </c>
      <c r="S4295" s="13">
        <v>1</v>
      </c>
      <c r="T4295" s="14">
        <v>220</v>
      </c>
      <c r="U4295" s="2">
        <f t="shared" si="676"/>
        <v>50.6</v>
      </c>
      <c r="V4295" s="12">
        <f t="shared" si="677"/>
        <v>270.60000000000002</v>
      </c>
      <c r="W4295" s="2">
        <v>119.95</v>
      </c>
      <c r="X4295" s="5">
        <f t="shared" si="678"/>
        <v>0.45477272727272727</v>
      </c>
      <c r="Z4295" s="2" t="s">
        <v>3226</v>
      </c>
      <c r="AA4295" s="2" t="s">
        <v>75</v>
      </c>
      <c r="AB4295" s="2" t="s">
        <v>76</v>
      </c>
      <c r="AC4295" s="2" t="s">
        <v>77</v>
      </c>
      <c r="AG4295" s="2">
        <v>119.95</v>
      </c>
      <c r="AK4295" s="2">
        <f t="shared" si="675"/>
        <v>100.05</v>
      </c>
      <c r="AL4295" s="5">
        <f t="shared" si="679"/>
        <v>0.45477272727272727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3272</v>
      </c>
      <c r="E4296" s="2" t="s">
        <v>108</v>
      </c>
      <c r="F4296" s="2" t="s">
        <v>477</v>
      </c>
      <c r="H4296" s="2" t="s">
        <v>290</v>
      </c>
      <c r="I4296" s="2" t="s">
        <v>3288</v>
      </c>
      <c r="L4296" s="2" t="s">
        <v>293</v>
      </c>
      <c r="M4296" s="2" t="s">
        <v>80</v>
      </c>
      <c r="O4296" s="2" t="s">
        <v>3289</v>
      </c>
      <c r="P4296" s="2" t="s">
        <v>93</v>
      </c>
      <c r="Q4296" s="2" t="s">
        <v>94</v>
      </c>
      <c r="R4296" s="2" t="s">
        <v>95</v>
      </c>
      <c r="S4296" s="13">
        <v>1</v>
      </c>
      <c r="T4296" s="14">
        <v>1.48</v>
      </c>
      <c r="U4296" s="2">
        <f t="shared" si="676"/>
        <v>0.34040000000000004</v>
      </c>
      <c r="V4296" s="12">
        <f t="shared" si="677"/>
        <v>1.8204</v>
      </c>
      <c r="W4296" s="2">
        <v>1.48</v>
      </c>
      <c r="X4296" s="5">
        <f t="shared" si="678"/>
        <v>0</v>
      </c>
      <c r="Z4296" s="2" t="s">
        <v>3226</v>
      </c>
      <c r="AA4296" s="2" t="s">
        <v>96</v>
      </c>
      <c r="AB4296" s="2" t="s">
        <v>76</v>
      </c>
      <c r="AC4296" s="2" t="s">
        <v>93</v>
      </c>
      <c r="AG4296" s="2">
        <v>1.48</v>
      </c>
      <c r="AK4296" s="2">
        <f t="shared" si="675"/>
        <v>0</v>
      </c>
      <c r="AL4296" s="5">
        <f t="shared" si="679"/>
        <v>0</v>
      </c>
    </row>
    <row r="4297" spans="1:38" x14ac:dyDescent="0.2">
      <c r="A4297" s="2">
        <v>2026</v>
      </c>
      <c r="B4297" s="2">
        <v>7</v>
      </c>
      <c r="C4297" s="2" t="s">
        <v>3295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3283</v>
      </c>
      <c r="L4297" s="2" t="s">
        <v>133</v>
      </c>
      <c r="M4297" s="2" t="s">
        <v>109</v>
      </c>
      <c r="O4297" s="2" t="s">
        <v>3282</v>
      </c>
      <c r="P4297" s="2" t="s">
        <v>101</v>
      </c>
      <c r="Q4297" s="2" t="s">
        <v>262</v>
      </c>
      <c r="R4297" s="2" t="s">
        <v>263</v>
      </c>
      <c r="S4297" s="13">
        <v>1</v>
      </c>
      <c r="T4297" s="14">
        <v>13000</v>
      </c>
      <c r="U4297" s="2">
        <f t="shared" si="676"/>
        <v>2990</v>
      </c>
      <c r="V4297" s="12">
        <f t="shared" si="677"/>
        <v>15990</v>
      </c>
      <c r="W4297" s="2">
        <v>8765.42</v>
      </c>
      <c r="X4297" s="5">
        <f t="shared" si="678"/>
        <v>0.32573692307692309</v>
      </c>
      <c r="Z4297" s="2" t="s">
        <v>104</v>
      </c>
      <c r="AA4297" s="2" t="s">
        <v>264</v>
      </c>
      <c r="AB4297" s="2" t="s">
        <v>265</v>
      </c>
      <c r="AC4297" s="2" t="s">
        <v>101</v>
      </c>
      <c r="AG4297" s="2">
        <v>8765.42</v>
      </c>
      <c r="AK4297" s="2">
        <f t="shared" si="675"/>
        <v>4234.58</v>
      </c>
      <c r="AL4297" s="5">
        <f t="shared" si="679"/>
        <v>0.32573692307692309</v>
      </c>
    </row>
    <row r="4298" spans="1:38" x14ac:dyDescent="0.2">
      <c r="A4298" s="2">
        <v>2026</v>
      </c>
      <c r="B4298" s="2">
        <v>7</v>
      </c>
      <c r="C4298" s="2" t="s">
        <v>3295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3283</v>
      </c>
      <c r="L4298" s="2" t="s">
        <v>133</v>
      </c>
      <c r="M4298" s="2" t="s">
        <v>109</v>
      </c>
      <c r="O4298" s="2" t="s">
        <v>3282</v>
      </c>
      <c r="P4298" s="2" t="s">
        <v>101</v>
      </c>
      <c r="Q4298" s="2" t="s">
        <v>3274</v>
      </c>
      <c r="R4298" s="2" t="s">
        <v>3275</v>
      </c>
      <c r="S4298" s="13">
        <v>1</v>
      </c>
      <c r="T4298" s="14">
        <v>6000</v>
      </c>
      <c r="U4298" s="2">
        <f t="shared" si="676"/>
        <v>1380</v>
      </c>
      <c r="V4298" s="12">
        <f t="shared" si="677"/>
        <v>7380</v>
      </c>
      <c r="W4298" s="2">
        <v>4221.5600000000004</v>
      </c>
      <c r="X4298" s="5">
        <f t="shared" si="678"/>
        <v>0.2964066666666666</v>
      </c>
      <c r="Z4298" s="2" t="s">
        <v>104</v>
      </c>
      <c r="AA4298" s="2" t="s">
        <v>105</v>
      </c>
      <c r="AB4298" s="2" t="s">
        <v>2027</v>
      </c>
      <c r="AC4298" s="2" t="s">
        <v>101</v>
      </c>
      <c r="AG4298" s="2">
        <v>4221.5600000000004</v>
      </c>
      <c r="AK4298" s="2">
        <f t="shared" si="675"/>
        <v>1778.4399999999996</v>
      </c>
      <c r="AL4298" s="5">
        <f t="shared" si="679"/>
        <v>0.2964066666666666</v>
      </c>
    </row>
    <row r="4299" spans="1:38" x14ac:dyDescent="0.2">
      <c r="A4299" s="2">
        <v>2026</v>
      </c>
      <c r="B4299" s="2">
        <v>7</v>
      </c>
      <c r="C4299" s="2" t="s">
        <v>3295</v>
      </c>
      <c r="D4299" s="2" t="s">
        <v>3099</v>
      </c>
      <c r="E4299" s="2" t="s">
        <v>38</v>
      </c>
      <c r="F4299" s="2" t="s">
        <v>39</v>
      </c>
      <c r="H4299" s="2" t="s">
        <v>109</v>
      </c>
      <c r="I4299" s="2" t="s">
        <v>3283</v>
      </c>
      <c r="L4299" s="2" t="s">
        <v>133</v>
      </c>
      <c r="M4299" s="2" t="s">
        <v>109</v>
      </c>
      <c r="O4299" s="2" t="s">
        <v>3282</v>
      </c>
      <c r="P4299" s="2" t="s">
        <v>101</v>
      </c>
      <c r="Q4299" s="2" t="s">
        <v>3276</v>
      </c>
      <c r="R4299" s="2" t="s">
        <v>3277</v>
      </c>
      <c r="S4299" s="13">
        <v>1</v>
      </c>
      <c r="T4299" s="14">
        <v>1000</v>
      </c>
      <c r="U4299" s="2">
        <f t="shared" si="676"/>
        <v>230</v>
      </c>
      <c r="V4299" s="12">
        <f t="shared" si="677"/>
        <v>1230</v>
      </c>
      <c r="W4299" s="2">
        <v>802.73</v>
      </c>
      <c r="X4299" s="5">
        <f t="shared" si="678"/>
        <v>0.19726999999999997</v>
      </c>
      <c r="Z4299" s="2" t="s">
        <v>104</v>
      </c>
      <c r="AA4299" s="2" t="s">
        <v>1111</v>
      </c>
      <c r="AB4299" s="2" t="s">
        <v>3281</v>
      </c>
      <c r="AC4299" s="2" t="s">
        <v>101</v>
      </c>
      <c r="AG4299" s="2">
        <v>802.73</v>
      </c>
      <c r="AK4299" s="2">
        <f t="shared" si="675"/>
        <v>197.26999999999998</v>
      </c>
      <c r="AL4299" s="5">
        <f t="shared" si="679"/>
        <v>0.19726999999999997</v>
      </c>
    </row>
    <row r="4300" spans="1:38" x14ac:dyDescent="0.2">
      <c r="A4300" s="2">
        <v>2026</v>
      </c>
      <c r="B4300" s="2">
        <v>7</v>
      </c>
      <c r="C4300" s="2" t="s">
        <v>3294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3280</v>
      </c>
      <c r="L4300" s="2" t="s">
        <v>339</v>
      </c>
      <c r="M4300" s="2" t="s">
        <v>40</v>
      </c>
      <c r="O4300" s="2" t="s">
        <v>3290</v>
      </c>
      <c r="P4300" s="2" t="s">
        <v>187</v>
      </c>
      <c r="Q4300" s="2" t="s">
        <v>188</v>
      </c>
      <c r="R4300" s="2" t="s">
        <v>189</v>
      </c>
      <c r="S4300" s="13">
        <v>1</v>
      </c>
      <c r="T4300" s="14">
        <v>60</v>
      </c>
      <c r="U4300" s="2">
        <f t="shared" si="676"/>
        <v>13.8</v>
      </c>
      <c r="V4300" s="12">
        <f t="shared" si="677"/>
        <v>73.8</v>
      </c>
      <c r="W4300" s="2">
        <f>T4300*40%</f>
        <v>24</v>
      </c>
      <c r="X4300" s="5">
        <f t="shared" si="678"/>
        <v>0.6</v>
      </c>
      <c r="Z4300" s="2" t="s">
        <v>117</v>
      </c>
      <c r="AA4300" s="2" t="s">
        <v>190</v>
      </c>
      <c r="AB4300" s="2" t="s">
        <v>189</v>
      </c>
      <c r="AC4300" s="2" t="s">
        <v>40</v>
      </c>
      <c r="AK4300" s="2">
        <f t="shared" si="675"/>
        <v>36</v>
      </c>
      <c r="AL4300" s="5">
        <f t="shared" si="679"/>
        <v>0.6</v>
      </c>
    </row>
    <row r="4301" spans="1:38" x14ac:dyDescent="0.2">
      <c r="A4301" s="2">
        <v>2026</v>
      </c>
      <c r="B4301" s="2">
        <v>7</v>
      </c>
      <c r="C4301" s="2" t="s">
        <v>3438</v>
      </c>
      <c r="D4301" s="2" t="s">
        <v>1993</v>
      </c>
      <c r="E4301" s="2" t="s">
        <v>108</v>
      </c>
      <c r="F4301" s="2" t="s">
        <v>39</v>
      </c>
      <c r="H4301" s="2" t="s">
        <v>290</v>
      </c>
      <c r="I4301" s="2" t="s">
        <v>3280</v>
      </c>
      <c r="L4301" s="2" t="s">
        <v>339</v>
      </c>
      <c r="M4301" s="2" t="s">
        <v>40</v>
      </c>
      <c r="O4301" s="2" t="s">
        <v>3290</v>
      </c>
      <c r="P4301" s="2" t="s">
        <v>187</v>
      </c>
      <c r="Q4301" s="2" t="s">
        <v>191</v>
      </c>
      <c r="R4301" s="2" t="s">
        <v>190</v>
      </c>
      <c r="S4301" s="13">
        <v>1</v>
      </c>
      <c r="T4301" s="14">
        <v>55</v>
      </c>
      <c r="U4301" s="2">
        <f t="shared" si="676"/>
        <v>12.65</v>
      </c>
      <c r="V4301" s="12">
        <f t="shared" si="677"/>
        <v>67.650000000000006</v>
      </c>
      <c r="W4301" s="2">
        <f>T4301*50%</f>
        <v>27.5</v>
      </c>
      <c r="X4301" s="5">
        <f t="shared" si="678"/>
        <v>0.5</v>
      </c>
      <c r="Z4301" s="2" t="s">
        <v>117</v>
      </c>
      <c r="AA4301" s="2" t="s">
        <v>190</v>
      </c>
      <c r="AB4301" s="2" t="s">
        <v>190</v>
      </c>
      <c r="AC4301" s="2" t="s">
        <v>40</v>
      </c>
      <c r="AK4301" s="2">
        <f t="shared" si="675"/>
        <v>27.5</v>
      </c>
      <c r="AL4301" s="5">
        <f t="shared" si="679"/>
        <v>0.5</v>
      </c>
    </row>
    <row r="4302" spans="1:38" x14ac:dyDescent="0.2">
      <c r="A4302" s="2">
        <v>2026</v>
      </c>
      <c r="B4302" s="2">
        <v>7</v>
      </c>
      <c r="C4302" s="2" t="s">
        <v>3294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114</v>
      </c>
      <c r="Q4302" s="2" t="s">
        <v>904</v>
      </c>
      <c r="R4302" s="2" t="s">
        <v>905</v>
      </c>
      <c r="S4302" s="13">
        <v>1</v>
      </c>
      <c r="T4302" s="14">
        <v>699.3</v>
      </c>
      <c r="U4302" s="2">
        <f t="shared" si="676"/>
        <v>160.839</v>
      </c>
      <c r="V4302" s="2">
        <f t="shared" si="677"/>
        <v>860.1389999999999</v>
      </c>
      <c r="W4302" s="2">
        <v>345.20339999999999</v>
      </c>
      <c r="X4302" s="5">
        <f t="shared" si="678"/>
        <v>0.50635864435864431</v>
      </c>
      <c r="Z4302" s="2" t="s">
        <v>117</v>
      </c>
      <c r="AA4302" s="2" t="s">
        <v>181</v>
      </c>
      <c r="AB4302" s="2" t="s">
        <v>119</v>
      </c>
      <c r="AC4302" s="2" t="s">
        <v>114</v>
      </c>
      <c r="AK4302" s="2">
        <f t="shared" si="675"/>
        <v>354.09659999999997</v>
      </c>
      <c r="AL4302" s="5">
        <f t="shared" si="679"/>
        <v>0.50635864435864431</v>
      </c>
    </row>
    <row r="4303" spans="1:38" x14ac:dyDescent="0.2">
      <c r="A4303" s="2">
        <v>2026</v>
      </c>
      <c r="B4303" s="2">
        <v>7</v>
      </c>
      <c r="C4303" s="2" t="s">
        <v>3294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188</v>
      </c>
      <c r="R4303" s="2" t="s">
        <v>189</v>
      </c>
      <c r="S4303" s="13">
        <v>1</v>
      </c>
      <c r="T4303" s="14">
        <v>314</v>
      </c>
      <c r="U4303" s="2">
        <f t="shared" si="676"/>
        <v>72.22</v>
      </c>
      <c r="V4303" s="2">
        <f t="shared" si="677"/>
        <v>386.22</v>
      </c>
      <c r="W4303" s="2">
        <f>T4303*40%</f>
        <v>125.60000000000001</v>
      </c>
      <c r="X4303" s="5">
        <f t="shared" si="678"/>
        <v>0.6</v>
      </c>
      <c r="Z4303" s="2" t="s">
        <v>117</v>
      </c>
      <c r="AA4303" s="2" t="s">
        <v>190</v>
      </c>
      <c r="AB4303" s="2" t="s">
        <v>189</v>
      </c>
      <c r="AC4303" s="2" t="s">
        <v>40</v>
      </c>
      <c r="AK4303" s="2">
        <f t="shared" si="675"/>
        <v>188.39999999999998</v>
      </c>
      <c r="AL4303" s="5">
        <f t="shared" si="679"/>
        <v>0.6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1484</v>
      </c>
      <c r="E4304" s="2" t="s">
        <v>108</v>
      </c>
      <c r="F4304" s="2" t="s">
        <v>39</v>
      </c>
      <c r="L4304" s="2" t="s">
        <v>398</v>
      </c>
      <c r="M4304" s="2" t="s">
        <v>40</v>
      </c>
      <c r="P4304" s="2" t="s">
        <v>187</v>
      </c>
      <c r="Q4304" s="2" t="s">
        <v>191</v>
      </c>
      <c r="R4304" s="2" t="s">
        <v>190</v>
      </c>
      <c r="S4304" s="13">
        <v>1</v>
      </c>
      <c r="T4304" s="14">
        <v>55</v>
      </c>
      <c r="U4304" s="2">
        <f t="shared" si="676"/>
        <v>12.65</v>
      </c>
      <c r="V4304" s="2">
        <f t="shared" si="677"/>
        <v>67.650000000000006</v>
      </c>
      <c r="W4304" s="2">
        <f>T4304*50%</f>
        <v>27.5</v>
      </c>
      <c r="X4304" s="5">
        <f t="shared" si="678"/>
        <v>0.5</v>
      </c>
      <c r="Z4304" s="2" t="s">
        <v>117</v>
      </c>
      <c r="AA4304" s="2" t="s">
        <v>190</v>
      </c>
      <c r="AB4304" s="2" t="s">
        <v>190</v>
      </c>
      <c r="AC4304" s="2" t="s">
        <v>40</v>
      </c>
      <c r="AK4304" s="2">
        <f t="shared" si="675"/>
        <v>27.5</v>
      </c>
      <c r="AL4304" s="5">
        <f t="shared" si="679"/>
        <v>0.5</v>
      </c>
    </row>
    <row r="4305" spans="1:38" x14ac:dyDescent="0.2">
      <c r="A4305" s="2">
        <v>2026</v>
      </c>
      <c r="B4305" s="2">
        <v>7</v>
      </c>
      <c r="C4305" s="2" t="s">
        <v>3295</v>
      </c>
      <c r="D4305" s="2" t="s">
        <v>3332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188</v>
      </c>
      <c r="R4305" s="2" t="s">
        <v>189</v>
      </c>
      <c r="S4305" s="13">
        <v>1</v>
      </c>
      <c r="T4305" s="14">
        <v>60</v>
      </c>
      <c r="U4305" s="2">
        <f t="shared" si="676"/>
        <v>13.8</v>
      </c>
      <c r="V4305" s="2">
        <f t="shared" si="677"/>
        <v>73.8</v>
      </c>
      <c r="W4305" s="2">
        <f>T4305*40%</f>
        <v>24</v>
      </c>
      <c r="X4305" s="5">
        <f t="shared" si="678"/>
        <v>0.6</v>
      </c>
      <c r="Z4305" s="2" t="s">
        <v>117</v>
      </c>
      <c r="AA4305" s="2" t="s">
        <v>190</v>
      </c>
      <c r="AB4305" s="2" t="s">
        <v>189</v>
      </c>
      <c r="AC4305" s="2" t="s">
        <v>40</v>
      </c>
      <c r="AK4305" s="2">
        <f t="shared" si="675"/>
        <v>36</v>
      </c>
      <c r="AL4305" s="5">
        <f t="shared" si="679"/>
        <v>0.6</v>
      </c>
    </row>
    <row r="4306" spans="1:38" x14ac:dyDescent="0.2">
      <c r="A4306" s="2">
        <v>2026</v>
      </c>
      <c r="B4306" s="2">
        <v>7</v>
      </c>
      <c r="C4306" s="2" t="s">
        <v>3295</v>
      </c>
      <c r="D4306" s="2" t="s">
        <v>3332</v>
      </c>
      <c r="E4306" s="2" t="s">
        <v>108</v>
      </c>
      <c r="F4306" s="2" t="s">
        <v>39</v>
      </c>
      <c r="L4306" s="2" t="s">
        <v>339</v>
      </c>
      <c r="M4306" s="2" t="s">
        <v>40</v>
      </c>
      <c r="P4306" s="2" t="s">
        <v>187</v>
      </c>
      <c r="Q4306" s="2" t="s">
        <v>191</v>
      </c>
      <c r="R4306" s="2" t="s">
        <v>190</v>
      </c>
      <c r="S4306" s="13">
        <v>1</v>
      </c>
      <c r="T4306" s="14">
        <v>55</v>
      </c>
      <c r="U4306" s="2">
        <f t="shared" si="676"/>
        <v>12.65</v>
      </c>
      <c r="V4306" s="2">
        <f t="shared" si="677"/>
        <v>67.650000000000006</v>
      </c>
      <c r="W4306" s="2">
        <f>T4306*50%</f>
        <v>27.5</v>
      </c>
      <c r="X4306" s="5">
        <f t="shared" si="678"/>
        <v>0.5</v>
      </c>
      <c r="Z4306" s="2" t="s">
        <v>117</v>
      </c>
      <c r="AA4306" s="2" t="s">
        <v>190</v>
      </c>
      <c r="AB4306" s="2" t="s">
        <v>190</v>
      </c>
      <c r="AC4306" s="2" t="s">
        <v>40</v>
      </c>
      <c r="AK4306" s="2">
        <f t="shared" si="675"/>
        <v>27.5</v>
      </c>
      <c r="AL4306" s="5">
        <f t="shared" si="679"/>
        <v>0.5</v>
      </c>
    </row>
    <row r="4307" spans="1:38" x14ac:dyDescent="0.2">
      <c r="A4307" s="2">
        <v>2026</v>
      </c>
      <c r="B4307" s="2">
        <v>7</v>
      </c>
      <c r="C4307" s="2" t="s">
        <v>3294</v>
      </c>
      <c r="D4307" s="2" t="s">
        <v>3333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72</v>
      </c>
      <c r="Q4307" s="2" t="s">
        <v>664</v>
      </c>
      <c r="R4307" s="2" t="s">
        <v>79</v>
      </c>
      <c r="S4307" s="13">
        <v>1</v>
      </c>
      <c r="T4307" s="14">
        <v>220</v>
      </c>
      <c r="U4307" s="2">
        <f t="shared" si="676"/>
        <v>50.6</v>
      </c>
      <c r="V4307" s="2">
        <f t="shared" si="677"/>
        <v>270.60000000000002</v>
      </c>
      <c r="W4307" s="2">
        <f>113.905+11.25</f>
        <v>125.155</v>
      </c>
      <c r="X4307" s="5">
        <f t="shared" si="678"/>
        <v>0.43111363636363637</v>
      </c>
      <c r="Z4307" s="2" t="s">
        <v>3226</v>
      </c>
      <c r="AA4307" s="2" t="s">
        <v>75</v>
      </c>
      <c r="AB4307" s="2" t="s">
        <v>76</v>
      </c>
      <c r="AC4307" s="2" t="s">
        <v>77</v>
      </c>
      <c r="AK4307" s="2">
        <f t="shared" si="675"/>
        <v>94.844999999999999</v>
      </c>
      <c r="AL4307" s="5">
        <f t="shared" si="679"/>
        <v>0.43111363636363637</v>
      </c>
    </row>
    <row r="4308" spans="1:38" x14ac:dyDescent="0.2">
      <c r="A4308" s="2">
        <v>2026</v>
      </c>
      <c r="B4308" s="2">
        <v>7</v>
      </c>
      <c r="C4308" s="2" t="s">
        <v>3294</v>
      </c>
      <c r="D4308" s="2" t="s">
        <v>3333</v>
      </c>
      <c r="E4308" s="2" t="s">
        <v>38</v>
      </c>
      <c r="F4308" s="2" t="s">
        <v>39</v>
      </c>
      <c r="H4308" s="2" t="s">
        <v>109</v>
      </c>
      <c r="L4308" s="2" t="s">
        <v>461</v>
      </c>
      <c r="M4308" s="2" t="s">
        <v>80</v>
      </c>
      <c r="P4308" s="2" t="s">
        <v>93</v>
      </c>
      <c r="Q4308" s="2" t="s">
        <v>94</v>
      </c>
      <c r="R4308" s="2" t="s">
        <v>95</v>
      </c>
      <c r="S4308" s="13">
        <v>1</v>
      </c>
      <c r="T4308" s="14">
        <v>1.48</v>
      </c>
      <c r="U4308" s="2">
        <f t="shared" si="676"/>
        <v>0.34040000000000004</v>
      </c>
      <c r="V4308" s="2">
        <f t="shared" si="677"/>
        <v>1.8204</v>
      </c>
      <c r="W4308" s="2">
        <v>1.48</v>
      </c>
      <c r="X4308" s="5">
        <f t="shared" si="678"/>
        <v>0</v>
      </c>
      <c r="Z4308" s="2" t="s">
        <v>3226</v>
      </c>
      <c r="AA4308" s="2" t="s">
        <v>96</v>
      </c>
      <c r="AB4308" s="2" t="s">
        <v>76</v>
      </c>
      <c r="AC4308" s="2" t="s">
        <v>93</v>
      </c>
      <c r="AK4308" s="2">
        <f t="shared" si="675"/>
        <v>0</v>
      </c>
      <c r="AL4308" s="5">
        <f t="shared" si="679"/>
        <v>0</v>
      </c>
    </row>
    <row r="4309" spans="1:38" x14ac:dyDescent="0.2">
      <c r="A4309" s="2">
        <v>2026</v>
      </c>
      <c r="B4309" s="2">
        <v>7</v>
      </c>
      <c r="C4309" s="2" t="s">
        <v>3295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188</v>
      </c>
      <c r="R4309" s="2" t="s">
        <v>189</v>
      </c>
      <c r="S4309" s="9">
        <v>2</v>
      </c>
      <c r="T4309" s="14">
        <v>634</v>
      </c>
      <c r="U4309" s="2">
        <f t="shared" si="676"/>
        <v>145.82</v>
      </c>
      <c r="V4309" s="2">
        <f t="shared" si="677"/>
        <v>779.81999999999994</v>
      </c>
      <c r="W4309" s="2">
        <f>T4309*40%</f>
        <v>253.60000000000002</v>
      </c>
      <c r="X4309" s="5">
        <f t="shared" si="678"/>
        <v>0.6</v>
      </c>
      <c r="Z4309" s="2" t="s">
        <v>117</v>
      </c>
      <c r="AA4309" s="2" t="s">
        <v>190</v>
      </c>
      <c r="AB4309" s="2" t="s">
        <v>189</v>
      </c>
      <c r="AC4309" s="2" t="s">
        <v>40</v>
      </c>
      <c r="AK4309" s="2">
        <f t="shared" si="675"/>
        <v>380.4</v>
      </c>
      <c r="AL4309" s="5">
        <f t="shared" si="679"/>
        <v>0.6</v>
      </c>
    </row>
    <row r="4310" spans="1:38" x14ac:dyDescent="0.2">
      <c r="A4310" s="2">
        <v>2026</v>
      </c>
      <c r="B4310" s="2">
        <v>7</v>
      </c>
      <c r="C4310" s="2" t="s">
        <v>3295</v>
      </c>
      <c r="D4310" s="15" t="s">
        <v>715</v>
      </c>
      <c r="E4310" s="2" t="s">
        <v>108</v>
      </c>
      <c r="F4310" s="2" t="s">
        <v>39</v>
      </c>
      <c r="L4310" s="2" t="s">
        <v>344</v>
      </c>
      <c r="M4310" s="2" t="s">
        <v>40</v>
      </c>
      <c r="P4310" s="2" t="s">
        <v>187</v>
      </c>
      <c r="Q4310" s="2" t="s">
        <v>191</v>
      </c>
      <c r="R4310" s="2" t="s">
        <v>190</v>
      </c>
      <c r="S4310" s="9">
        <v>3.5</v>
      </c>
      <c r="T4310" s="14">
        <v>192.5</v>
      </c>
      <c r="U4310" s="2">
        <f t="shared" si="676"/>
        <v>44.274999999999999</v>
      </c>
      <c r="V4310" s="2">
        <f t="shared" si="677"/>
        <v>236.77500000000001</v>
      </c>
      <c r="W4310" s="2">
        <f>T4310*50%</f>
        <v>96.25</v>
      </c>
      <c r="X4310" s="5">
        <f t="shared" si="678"/>
        <v>0.5</v>
      </c>
      <c r="Z4310" s="2" t="s">
        <v>117</v>
      </c>
      <c r="AA4310" s="2" t="s">
        <v>190</v>
      </c>
      <c r="AB4310" s="2" t="s">
        <v>190</v>
      </c>
      <c r="AC4310" s="2" t="s">
        <v>40</v>
      </c>
      <c r="AK4310" s="2">
        <f t="shared" si="675"/>
        <v>96.25</v>
      </c>
      <c r="AL4310" s="5">
        <f t="shared" si="679"/>
        <v>0.5</v>
      </c>
    </row>
    <row r="4311" spans="1:38" x14ac:dyDescent="0.2">
      <c r="A4311" s="2">
        <v>2026</v>
      </c>
      <c r="B4311" s="2">
        <v>7</v>
      </c>
      <c r="C4311" s="2" t="s">
        <v>3294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188</v>
      </c>
      <c r="R4311" s="15" t="s">
        <v>189</v>
      </c>
      <c r="S4311" s="9">
        <v>1</v>
      </c>
      <c r="T4311" s="14">
        <v>60</v>
      </c>
      <c r="U4311" s="2">
        <f t="shared" ref="U4311:U4342" si="680">T4311*23%</f>
        <v>13.8</v>
      </c>
      <c r="V4311" s="2">
        <f t="shared" ref="V4311:V4342" si="681">T4311+U4311</f>
        <v>73.8</v>
      </c>
      <c r="W4311" s="2">
        <f>T4311*40%</f>
        <v>24</v>
      </c>
      <c r="X4311" s="5">
        <f t="shared" ref="X4311:X4329" si="682">(T4311-W4311)/T4311</f>
        <v>0.6</v>
      </c>
      <c r="Z4311" s="2" t="s">
        <v>117</v>
      </c>
      <c r="AA4311" s="2" t="s">
        <v>190</v>
      </c>
      <c r="AB4311" s="2" t="s">
        <v>189</v>
      </c>
      <c r="AC4311" s="2" t="s">
        <v>40</v>
      </c>
      <c r="AK4311" s="2">
        <f t="shared" si="675"/>
        <v>36</v>
      </c>
      <c r="AL4311" s="5">
        <f t="shared" ref="AL4311:AL4329" si="683">(T4311-W4311)/T4311</f>
        <v>0.6</v>
      </c>
    </row>
    <row r="4312" spans="1:38" x14ac:dyDescent="0.2">
      <c r="A4312" s="2">
        <v>2026</v>
      </c>
      <c r="B4312" s="2">
        <v>7</v>
      </c>
      <c r="C4312" s="2" t="s">
        <v>3294</v>
      </c>
      <c r="D4312" s="15" t="s">
        <v>973</v>
      </c>
      <c r="E4312" s="2" t="s">
        <v>108</v>
      </c>
      <c r="F4312" s="2" t="s">
        <v>39</v>
      </c>
      <c r="L4312" s="2" t="s">
        <v>339</v>
      </c>
      <c r="M4312" s="2" t="s">
        <v>40</v>
      </c>
      <c r="P4312" s="2" t="s">
        <v>187</v>
      </c>
      <c r="Q4312" s="16" t="s">
        <v>191</v>
      </c>
      <c r="R4312" s="15" t="s">
        <v>190</v>
      </c>
      <c r="S4312" s="9">
        <v>1.5</v>
      </c>
      <c r="T4312" s="14">
        <v>82.5</v>
      </c>
      <c r="U4312" s="2">
        <f t="shared" si="680"/>
        <v>18.975000000000001</v>
      </c>
      <c r="V4312" s="2">
        <f t="shared" si="681"/>
        <v>101.47499999999999</v>
      </c>
      <c r="W4312" s="2">
        <f>T4312*50%</f>
        <v>41.25</v>
      </c>
      <c r="X4312" s="5">
        <f t="shared" si="682"/>
        <v>0.5</v>
      </c>
      <c r="Z4312" s="2" t="s">
        <v>117</v>
      </c>
      <c r="AA4312" s="2" t="s">
        <v>190</v>
      </c>
      <c r="AB4312" s="2" t="s">
        <v>190</v>
      </c>
      <c r="AC4312" s="2" t="s">
        <v>40</v>
      </c>
      <c r="AK4312" s="2">
        <f t="shared" si="675"/>
        <v>41.25</v>
      </c>
      <c r="AL4312" s="5">
        <f t="shared" si="683"/>
        <v>0.5</v>
      </c>
    </row>
    <row r="4313" spans="1:38" x14ac:dyDescent="0.2">
      <c r="A4313" s="2">
        <v>2026</v>
      </c>
      <c r="B4313" s="2">
        <v>7</v>
      </c>
      <c r="C4313" s="2" t="s">
        <v>3294</v>
      </c>
      <c r="D4313" s="15" t="s">
        <v>332</v>
      </c>
      <c r="E4313" s="2" t="s">
        <v>108</v>
      </c>
      <c r="F4313" s="2" t="s">
        <v>39</v>
      </c>
      <c r="G4313" s="2">
        <v>513493557</v>
      </c>
      <c r="H4313" s="2" t="s">
        <v>41</v>
      </c>
      <c r="I4313" s="2" t="s">
        <v>279</v>
      </c>
      <c r="J4313" s="2" t="s">
        <v>333</v>
      </c>
      <c r="L4313" s="2" t="s">
        <v>177</v>
      </c>
      <c r="M4313" s="2" t="s">
        <v>40</v>
      </c>
      <c r="P4313" s="2" t="s">
        <v>114</v>
      </c>
      <c r="Q4313" s="16" t="s">
        <v>576</v>
      </c>
      <c r="R4313" s="15" t="s">
        <v>577</v>
      </c>
      <c r="S4313" s="13">
        <v>1</v>
      </c>
      <c r="T4313" s="14">
        <v>79.47</v>
      </c>
      <c r="U4313" s="2">
        <f t="shared" si="680"/>
        <v>18.278100000000002</v>
      </c>
      <c r="V4313" s="2">
        <f t="shared" si="681"/>
        <v>97.748099999999994</v>
      </c>
      <c r="W4313" s="2">
        <v>25.2</v>
      </c>
      <c r="X4313" s="5">
        <f t="shared" si="682"/>
        <v>0.68289920724801811</v>
      </c>
      <c r="Z4313" s="2" t="s">
        <v>117</v>
      </c>
      <c r="AA4313" s="2" t="s">
        <v>578</v>
      </c>
      <c r="AB4313" s="2" t="s">
        <v>119</v>
      </c>
      <c r="AC4313" s="2" t="s">
        <v>114</v>
      </c>
      <c r="AK4313" s="2">
        <f t="shared" si="675"/>
        <v>54.269999999999996</v>
      </c>
      <c r="AL4313" s="5">
        <f t="shared" si="683"/>
        <v>0.68289920724801811</v>
      </c>
    </row>
    <row r="4314" spans="1:38" x14ac:dyDescent="0.2">
      <c r="A4314" s="2">
        <v>2026</v>
      </c>
      <c r="B4314" s="2">
        <v>7</v>
      </c>
      <c r="C4314" s="2" t="s">
        <v>3294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1038</v>
      </c>
      <c r="Q4314" s="16" t="s">
        <v>3344</v>
      </c>
      <c r="R4314" s="15" t="s">
        <v>3345</v>
      </c>
      <c r="S4314" s="13">
        <v>1</v>
      </c>
      <c r="T4314" s="14">
        <v>280</v>
      </c>
      <c r="U4314" s="2">
        <f t="shared" si="680"/>
        <v>64.400000000000006</v>
      </c>
      <c r="V4314" s="2">
        <f t="shared" si="681"/>
        <v>344.4</v>
      </c>
      <c r="W4314" s="2">
        <f>144.32+16.82</f>
        <v>161.13999999999999</v>
      </c>
      <c r="X4314" s="5">
        <f t="shared" si="682"/>
        <v>0.42450000000000004</v>
      </c>
      <c r="Z4314" s="2" t="s">
        <v>3226</v>
      </c>
      <c r="AA4314" s="2" t="s">
        <v>75</v>
      </c>
      <c r="AB4314" s="2" t="s">
        <v>76</v>
      </c>
      <c r="AC4314" s="2" t="s">
        <v>1038</v>
      </c>
      <c r="AK4314" s="2">
        <f t="shared" si="675"/>
        <v>118.86000000000001</v>
      </c>
      <c r="AL4314" s="5">
        <f t="shared" si="683"/>
        <v>0.42450000000000004</v>
      </c>
    </row>
    <row r="4315" spans="1:38" x14ac:dyDescent="0.2">
      <c r="A4315" s="2">
        <v>2026</v>
      </c>
      <c r="B4315" s="2">
        <v>7</v>
      </c>
      <c r="C4315" s="2" t="s">
        <v>3294</v>
      </c>
      <c r="D4315" s="15" t="s">
        <v>981</v>
      </c>
      <c r="E4315" s="2" t="s">
        <v>108</v>
      </c>
      <c r="F4315" s="2" t="s">
        <v>717</v>
      </c>
      <c r="L4315" s="2" t="s">
        <v>293</v>
      </c>
      <c r="M4315" s="2" t="s">
        <v>80</v>
      </c>
      <c r="P4315" s="2" t="s">
        <v>93</v>
      </c>
      <c r="Q4315" s="16" t="s">
        <v>94</v>
      </c>
      <c r="R4315" s="15" t="s">
        <v>95</v>
      </c>
      <c r="S4315" s="13">
        <v>1</v>
      </c>
      <c r="T4315" s="14">
        <v>1.48</v>
      </c>
      <c r="U4315" s="2">
        <f t="shared" si="680"/>
        <v>0.34040000000000004</v>
      </c>
      <c r="V4315" s="2">
        <f t="shared" si="681"/>
        <v>1.8204</v>
      </c>
      <c r="W4315" s="2">
        <v>1.48</v>
      </c>
      <c r="X4315" s="5">
        <f t="shared" si="682"/>
        <v>0</v>
      </c>
      <c r="Z4315" s="2" t="s">
        <v>3226</v>
      </c>
      <c r="AA4315" s="2" t="s">
        <v>96</v>
      </c>
      <c r="AB4315" s="2" t="s">
        <v>76</v>
      </c>
      <c r="AC4315" s="2" t="s">
        <v>93</v>
      </c>
      <c r="AK4315" s="2">
        <f t="shared" si="675"/>
        <v>0</v>
      </c>
      <c r="AL4315" s="5">
        <f t="shared" si="683"/>
        <v>0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40</v>
      </c>
      <c r="P4316" s="2" t="s">
        <v>282</v>
      </c>
      <c r="Q4316" s="16" t="s">
        <v>2996</v>
      </c>
      <c r="R4316" s="15" t="s">
        <v>2997</v>
      </c>
      <c r="S4316" s="13">
        <v>1</v>
      </c>
      <c r="T4316" s="14">
        <v>1190</v>
      </c>
      <c r="U4316" s="2">
        <f t="shared" si="680"/>
        <v>273.7</v>
      </c>
      <c r="V4316" s="2">
        <f t="shared" si="681"/>
        <v>1463.7</v>
      </c>
      <c r="W4316" s="2">
        <v>773.5</v>
      </c>
      <c r="X4316" s="5">
        <f t="shared" si="682"/>
        <v>0.35</v>
      </c>
      <c r="Z4316" s="2" t="s">
        <v>117</v>
      </c>
      <c r="AA4316" s="2" t="s">
        <v>181</v>
      </c>
      <c r="AB4316" s="2" t="s">
        <v>3380</v>
      </c>
      <c r="AC4316" s="2" t="s">
        <v>1327</v>
      </c>
      <c r="AK4316" s="2">
        <f t="shared" si="675"/>
        <v>416.5</v>
      </c>
      <c r="AL4316" s="5">
        <f t="shared" si="683"/>
        <v>0.35</v>
      </c>
    </row>
    <row r="4317" spans="1:38" x14ac:dyDescent="0.2">
      <c r="A4317" s="2">
        <v>2026</v>
      </c>
      <c r="B4317" s="2">
        <v>7</v>
      </c>
      <c r="C4317" s="2" t="s">
        <v>3294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72</v>
      </c>
      <c r="Q4317" s="16" t="s">
        <v>73</v>
      </c>
      <c r="R4317" s="15" t="s">
        <v>74</v>
      </c>
      <c r="S4317" s="13">
        <v>1</v>
      </c>
      <c r="T4317" s="14">
        <v>180</v>
      </c>
      <c r="U4317" s="2">
        <f t="shared" si="680"/>
        <v>41.4</v>
      </c>
      <c r="V4317" s="2">
        <f t="shared" si="681"/>
        <v>221.4</v>
      </c>
      <c r="W4317" s="2">
        <v>125.51600000000001</v>
      </c>
      <c r="X4317" s="5">
        <f t="shared" si="682"/>
        <v>0.30268888888888884</v>
      </c>
      <c r="Z4317" s="2" t="s">
        <v>3226</v>
      </c>
      <c r="AA4317" s="2" t="s">
        <v>75</v>
      </c>
      <c r="AB4317" s="2" t="s">
        <v>76</v>
      </c>
      <c r="AC4317" s="2" t="s">
        <v>77</v>
      </c>
      <c r="AK4317" s="2">
        <f t="shared" si="675"/>
        <v>54.483999999999995</v>
      </c>
      <c r="AL4317" s="5">
        <f t="shared" si="683"/>
        <v>0.30268888888888884</v>
      </c>
    </row>
    <row r="4318" spans="1:38" x14ac:dyDescent="0.2">
      <c r="A4318" s="2">
        <v>2026</v>
      </c>
      <c r="B4318" s="2">
        <v>7</v>
      </c>
      <c r="C4318" s="2" t="s">
        <v>3294</v>
      </c>
      <c r="D4318" s="15" t="s">
        <v>1355</v>
      </c>
      <c r="E4318" s="2" t="s">
        <v>752</v>
      </c>
      <c r="F4318" s="2" t="s">
        <v>39</v>
      </c>
      <c r="G4318" s="2">
        <v>518238334</v>
      </c>
      <c r="H4318" s="2" t="s">
        <v>41</v>
      </c>
      <c r="I4318" s="2" t="s">
        <v>762</v>
      </c>
      <c r="J4318" s="2" t="s">
        <v>1356</v>
      </c>
      <c r="L4318" s="2" t="s">
        <v>418</v>
      </c>
      <c r="M4318" s="2" t="s">
        <v>41</v>
      </c>
      <c r="P4318" s="2" t="s">
        <v>93</v>
      </c>
      <c r="Q4318" s="16" t="s">
        <v>94</v>
      </c>
      <c r="R4318" s="15" t="s">
        <v>95</v>
      </c>
      <c r="S4318" s="13">
        <v>1</v>
      </c>
      <c r="T4318" s="14">
        <v>1.48</v>
      </c>
      <c r="U4318" s="2">
        <f t="shared" si="680"/>
        <v>0.34040000000000004</v>
      </c>
      <c r="V4318" s="2">
        <f t="shared" si="681"/>
        <v>1.8204</v>
      </c>
      <c r="W4318" s="2">
        <v>1.48</v>
      </c>
      <c r="X4318" s="5">
        <f t="shared" si="682"/>
        <v>0</v>
      </c>
      <c r="Z4318" s="2" t="s">
        <v>3226</v>
      </c>
      <c r="AA4318" s="2" t="s">
        <v>96</v>
      </c>
      <c r="AB4318" s="2" t="s">
        <v>76</v>
      </c>
      <c r="AC4318" s="2" t="s">
        <v>93</v>
      </c>
      <c r="AK4318" s="2">
        <f t="shared" si="675"/>
        <v>0</v>
      </c>
      <c r="AL4318" s="5">
        <f t="shared" si="683"/>
        <v>0</v>
      </c>
    </row>
    <row r="4319" spans="1:38" x14ac:dyDescent="0.2">
      <c r="A4319" s="2">
        <v>2026</v>
      </c>
      <c r="B4319" s="2">
        <v>7</v>
      </c>
      <c r="C4319" s="2" t="s">
        <v>3294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72</v>
      </c>
      <c r="Q4319" s="16" t="s">
        <v>301</v>
      </c>
      <c r="R4319" s="15" t="s">
        <v>74</v>
      </c>
      <c r="S4319" s="13">
        <v>1</v>
      </c>
      <c r="T4319" s="14">
        <v>230</v>
      </c>
      <c r="U4319" s="2">
        <f t="shared" si="680"/>
        <v>52.900000000000006</v>
      </c>
      <c r="V4319" s="2">
        <f t="shared" si="681"/>
        <v>282.89999999999998</v>
      </c>
      <c r="W4319" s="2">
        <v>135.68</v>
      </c>
      <c r="X4319" s="5">
        <f t="shared" si="682"/>
        <v>0.4100869565217391</v>
      </c>
      <c r="Z4319" s="2" t="s">
        <v>3226</v>
      </c>
      <c r="AA4319" s="2" t="s">
        <v>75</v>
      </c>
      <c r="AB4319" s="2" t="s">
        <v>76</v>
      </c>
      <c r="AC4319" s="2" t="s">
        <v>77</v>
      </c>
      <c r="AK4319" s="2">
        <f t="shared" si="675"/>
        <v>94.32</v>
      </c>
      <c r="AL4319" s="5">
        <f t="shared" si="683"/>
        <v>0.4100869565217391</v>
      </c>
    </row>
    <row r="4320" spans="1:38" x14ac:dyDescent="0.2">
      <c r="A4320" s="2">
        <v>2026</v>
      </c>
      <c r="B4320" s="2">
        <v>7</v>
      </c>
      <c r="C4320" s="2" t="s">
        <v>3294</v>
      </c>
      <c r="D4320" s="15" t="s">
        <v>2557</v>
      </c>
      <c r="E4320" s="2" t="s">
        <v>108</v>
      </c>
      <c r="F4320" s="2" t="s">
        <v>717</v>
      </c>
      <c r="L4320" s="2" t="s">
        <v>398</v>
      </c>
      <c r="M4320" s="2" t="s">
        <v>80</v>
      </c>
      <c r="P4320" s="2" t="s">
        <v>93</v>
      </c>
      <c r="Q4320" s="16" t="s">
        <v>94</v>
      </c>
      <c r="R4320" s="15" t="s">
        <v>95</v>
      </c>
      <c r="S4320" s="13">
        <v>1</v>
      </c>
      <c r="T4320" s="14">
        <v>1.48</v>
      </c>
      <c r="U4320" s="2">
        <f t="shared" si="680"/>
        <v>0.34040000000000004</v>
      </c>
      <c r="V4320" s="2">
        <f t="shared" si="681"/>
        <v>1.8204</v>
      </c>
      <c r="W4320" s="2">
        <v>1.48</v>
      </c>
      <c r="X4320" s="5">
        <f t="shared" si="682"/>
        <v>0</v>
      </c>
      <c r="Z4320" s="2" t="s">
        <v>3226</v>
      </c>
      <c r="AA4320" s="2" t="s">
        <v>96</v>
      </c>
      <c r="AB4320" s="2" t="s">
        <v>76</v>
      </c>
      <c r="AC4320" s="2" t="s">
        <v>93</v>
      </c>
      <c r="AK4320" s="2">
        <f t="shared" si="675"/>
        <v>0</v>
      </c>
      <c r="AL4320" s="5">
        <f t="shared" si="683"/>
        <v>0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114</v>
      </c>
      <c r="Q4321" s="16" t="s">
        <v>3346</v>
      </c>
      <c r="R4321" s="15" t="s">
        <v>3347</v>
      </c>
      <c r="S4321" s="13">
        <v>1</v>
      </c>
      <c r="T4321" s="14">
        <v>37.6</v>
      </c>
      <c r="U4321" s="2">
        <f t="shared" si="680"/>
        <v>8.6480000000000015</v>
      </c>
      <c r="V4321" s="2">
        <f t="shared" si="681"/>
        <v>46.248000000000005</v>
      </c>
      <c r="W4321" s="2">
        <v>21.71</v>
      </c>
      <c r="X4321" s="5">
        <f t="shared" si="682"/>
        <v>0.42260638297872338</v>
      </c>
      <c r="Z4321" s="2" t="s">
        <v>117</v>
      </c>
      <c r="AA4321" s="2" t="s">
        <v>118</v>
      </c>
      <c r="AB4321" s="2" t="s">
        <v>119</v>
      </c>
      <c r="AC4321" s="2" t="s">
        <v>114</v>
      </c>
      <c r="AK4321" s="2">
        <f t="shared" si="675"/>
        <v>15.89</v>
      </c>
      <c r="AL4321" s="5">
        <f t="shared" si="683"/>
        <v>0.42260638297872338</v>
      </c>
    </row>
    <row r="4322" spans="1:38" x14ac:dyDescent="0.2">
      <c r="A4322" s="2">
        <v>2026</v>
      </c>
      <c r="B4322" s="2">
        <v>7</v>
      </c>
      <c r="C4322" s="2" t="s">
        <v>3294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188</v>
      </c>
      <c r="R4322" s="15" t="s">
        <v>189</v>
      </c>
      <c r="S4322" s="13">
        <v>1</v>
      </c>
      <c r="T4322" s="14">
        <v>60</v>
      </c>
      <c r="U4322" s="2">
        <f t="shared" si="680"/>
        <v>13.8</v>
      </c>
      <c r="V4322" s="2">
        <f t="shared" si="681"/>
        <v>73.8</v>
      </c>
      <c r="W4322" s="2">
        <f>T4322*40%</f>
        <v>24</v>
      </c>
      <c r="X4322" s="5">
        <f t="shared" si="682"/>
        <v>0.6</v>
      </c>
      <c r="Z4322" s="2" t="s">
        <v>117</v>
      </c>
      <c r="AA4322" s="2" t="s">
        <v>190</v>
      </c>
      <c r="AB4322" s="2" t="s">
        <v>189</v>
      </c>
      <c r="AC4322" s="2" t="s">
        <v>40</v>
      </c>
      <c r="AK4322" s="2">
        <f t="shared" si="675"/>
        <v>36</v>
      </c>
      <c r="AL4322" s="5">
        <f t="shared" si="683"/>
        <v>0.6</v>
      </c>
    </row>
    <row r="4323" spans="1:38" x14ac:dyDescent="0.2">
      <c r="A4323" s="2">
        <v>2026</v>
      </c>
      <c r="B4323" s="2">
        <v>7</v>
      </c>
      <c r="C4323" s="2" t="s">
        <v>3294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187</v>
      </c>
      <c r="Q4323" s="16" t="s">
        <v>191</v>
      </c>
      <c r="R4323" s="15" t="s">
        <v>190</v>
      </c>
      <c r="S4323" s="13">
        <v>1</v>
      </c>
      <c r="T4323" s="14">
        <v>55</v>
      </c>
      <c r="U4323" s="2">
        <f t="shared" si="680"/>
        <v>12.65</v>
      </c>
      <c r="V4323" s="2">
        <f t="shared" si="681"/>
        <v>67.650000000000006</v>
      </c>
      <c r="W4323" s="2">
        <f>T4323*50%</f>
        <v>27.5</v>
      </c>
      <c r="X4323" s="5">
        <f t="shared" si="682"/>
        <v>0.5</v>
      </c>
      <c r="Z4323" s="2" t="s">
        <v>117</v>
      </c>
      <c r="AA4323" s="2" t="s">
        <v>190</v>
      </c>
      <c r="AB4323" s="2" t="s">
        <v>190</v>
      </c>
      <c r="AC4323" s="2" t="s">
        <v>40</v>
      </c>
      <c r="AK4323" s="2">
        <f t="shared" si="675"/>
        <v>27.5</v>
      </c>
      <c r="AL4323" s="5">
        <f t="shared" si="683"/>
        <v>0.5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744</v>
      </c>
      <c r="E4324" s="2" t="s">
        <v>108</v>
      </c>
      <c r="F4324" s="2" t="s">
        <v>39</v>
      </c>
      <c r="G4324" s="2">
        <v>509181163</v>
      </c>
      <c r="H4324" s="2" t="s">
        <v>40</v>
      </c>
      <c r="I4324" s="2" t="s">
        <v>745</v>
      </c>
      <c r="J4324" s="2" t="s">
        <v>746</v>
      </c>
      <c r="K4324" s="2">
        <v>962372760</v>
      </c>
      <c r="L4324" s="2" t="s">
        <v>201</v>
      </c>
      <c r="M4324" s="2" t="s">
        <v>40</v>
      </c>
      <c r="P4324" s="2" t="s">
        <v>169</v>
      </c>
      <c r="Q4324" s="16" t="s">
        <v>170</v>
      </c>
      <c r="R4324" s="15" t="s">
        <v>170</v>
      </c>
      <c r="S4324" s="13">
        <v>1</v>
      </c>
      <c r="T4324" s="14">
        <v>8</v>
      </c>
      <c r="U4324" s="2">
        <f t="shared" si="680"/>
        <v>1.84</v>
      </c>
      <c r="V4324" s="2">
        <f t="shared" si="681"/>
        <v>9.84</v>
      </c>
      <c r="W4324" s="2">
        <v>6</v>
      </c>
      <c r="X4324" s="5">
        <f t="shared" si="682"/>
        <v>0.25</v>
      </c>
      <c r="Z4324" s="2" t="s">
        <v>169</v>
      </c>
      <c r="AA4324" s="2" t="s">
        <v>169</v>
      </c>
      <c r="AK4324" s="2">
        <f t="shared" si="675"/>
        <v>2</v>
      </c>
      <c r="AL4324" s="5">
        <f t="shared" si="683"/>
        <v>0.25</v>
      </c>
    </row>
    <row r="4325" spans="1:38" x14ac:dyDescent="0.2">
      <c r="A4325" s="2">
        <v>2026</v>
      </c>
      <c r="B4325" s="2">
        <v>7</v>
      </c>
      <c r="C4325" s="2" t="s">
        <v>3294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72</v>
      </c>
      <c r="Q4325" s="16" t="s">
        <v>3273</v>
      </c>
      <c r="R4325" s="15" t="s">
        <v>307</v>
      </c>
      <c r="S4325" s="13">
        <v>1</v>
      </c>
      <c r="T4325" s="14">
        <v>240</v>
      </c>
      <c r="U4325" s="2">
        <f t="shared" si="680"/>
        <v>55.2</v>
      </c>
      <c r="V4325" s="2">
        <f t="shared" si="681"/>
        <v>295.2</v>
      </c>
      <c r="W4325" s="2">
        <v>119.95</v>
      </c>
      <c r="X4325" s="5">
        <f t="shared" si="682"/>
        <v>0.50020833333333337</v>
      </c>
      <c r="Z4325" s="2" t="s">
        <v>3226</v>
      </c>
      <c r="AA4325" s="2" t="s">
        <v>75</v>
      </c>
      <c r="AB4325" s="2" t="s">
        <v>76</v>
      </c>
      <c r="AC4325" s="2" t="s">
        <v>77</v>
      </c>
      <c r="AK4325" s="2">
        <f t="shared" si="675"/>
        <v>120.05</v>
      </c>
      <c r="AL4325" s="5">
        <f t="shared" si="683"/>
        <v>0.50020833333333337</v>
      </c>
    </row>
    <row r="4326" spans="1:38" x14ac:dyDescent="0.2">
      <c r="A4326" s="2">
        <v>2026</v>
      </c>
      <c r="B4326" s="2">
        <v>7</v>
      </c>
      <c r="C4326" s="2" t="s">
        <v>3294</v>
      </c>
      <c r="D4326" s="15" t="s">
        <v>1994</v>
      </c>
      <c r="E4326" s="2" t="s">
        <v>38</v>
      </c>
      <c r="F4326" s="2" t="s">
        <v>39</v>
      </c>
      <c r="L4326" s="2" t="s">
        <v>571</v>
      </c>
      <c r="M4326" s="2" t="s">
        <v>80</v>
      </c>
      <c r="P4326" s="2" t="s">
        <v>93</v>
      </c>
      <c r="Q4326" s="16" t="s">
        <v>94</v>
      </c>
      <c r="R4326" s="15" t="s">
        <v>95</v>
      </c>
      <c r="S4326" s="13">
        <v>1</v>
      </c>
      <c r="T4326" s="14">
        <v>1.48</v>
      </c>
      <c r="U4326" s="2">
        <f t="shared" si="680"/>
        <v>0.34040000000000004</v>
      </c>
      <c r="V4326" s="2">
        <f t="shared" si="681"/>
        <v>1.8204</v>
      </c>
      <c r="W4326" s="2">
        <v>1.48</v>
      </c>
      <c r="X4326" s="5">
        <f t="shared" si="682"/>
        <v>0</v>
      </c>
      <c r="Z4326" s="2" t="s">
        <v>3226</v>
      </c>
      <c r="AA4326" s="2" t="s">
        <v>96</v>
      </c>
      <c r="AB4326" s="2" t="s">
        <v>76</v>
      </c>
      <c r="AC4326" s="2" t="s">
        <v>93</v>
      </c>
      <c r="AK4326" s="2">
        <f t="shared" si="675"/>
        <v>0</v>
      </c>
      <c r="AL4326" s="5">
        <f t="shared" si="683"/>
        <v>0</v>
      </c>
    </row>
    <row r="4327" spans="1:38" x14ac:dyDescent="0.2">
      <c r="A4327" s="2">
        <v>2026</v>
      </c>
      <c r="B4327" s="2">
        <v>7</v>
      </c>
      <c r="C4327" s="2" t="s">
        <v>3294</v>
      </c>
      <c r="D4327" s="15" t="s">
        <v>359</v>
      </c>
      <c r="E4327" s="2" t="s">
        <v>108</v>
      </c>
      <c r="F4327" s="2" t="s">
        <v>39</v>
      </c>
      <c r="L4327" s="2" t="s">
        <v>360</v>
      </c>
      <c r="M4327" s="2" t="s">
        <v>80</v>
      </c>
      <c r="P4327" s="2" t="s">
        <v>72</v>
      </c>
      <c r="Q4327" s="16" t="s">
        <v>330</v>
      </c>
      <c r="R4327" s="15" t="s">
        <v>331</v>
      </c>
      <c r="S4327" s="13">
        <v>1</v>
      </c>
      <c r="T4327" s="14">
        <v>200</v>
      </c>
      <c r="U4327" s="2">
        <f t="shared" si="680"/>
        <v>46</v>
      </c>
      <c r="V4327" s="2">
        <f t="shared" si="681"/>
        <v>246</v>
      </c>
      <c r="W4327" s="2">
        <v>124.6</v>
      </c>
      <c r="X4327" s="5">
        <f t="shared" si="682"/>
        <v>0.377</v>
      </c>
      <c r="Z4327" s="2" t="s">
        <v>3226</v>
      </c>
      <c r="AA4327" s="2" t="s">
        <v>75</v>
      </c>
      <c r="AB4327" s="2" t="s">
        <v>76</v>
      </c>
      <c r="AC4327" s="2" t="s">
        <v>77</v>
      </c>
      <c r="AK4327" s="2">
        <f t="shared" si="675"/>
        <v>75.400000000000006</v>
      </c>
      <c r="AL4327" s="5">
        <f t="shared" si="683"/>
        <v>0.377</v>
      </c>
    </row>
    <row r="4328" spans="1:38" x14ac:dyDescent="0.2">
      <c r="A4328" s="2">
        <v>2026</v>
      </c>
      <c r="B4328" s="2">
        <v>7</v>
      </c>
      <c r="C4328" s="2" t="s">
        <v>3294</v>
      </c>
      <c r="D4328" s="15" t="s">
        <v>359</v>
      </c>
      <c r="E4328" s="2" t="s">
        <v>108</v>
      </c>
      <c r="F4328" s="2" t="s">
        <v>39</v>
      </c>
      <c r="L4328" s="2" t="s">
        <v>360</v>
      </c>
      <c r="M4328" s="2" t="s">
        <v>80</v>
      </c>
      <c r="P4328" s="2" t="s">
        <v>93</v>
      </c>
      <c r="Q4328" s="16" t="s">
        <v>94</v>
      </c>
      <c r="R4328" s="15" t="s">
        <v>95</v>
      </c>
      <c r="S4328" s="13">
        <v>1</v>
      </c>
      <c r="T4328" s="14">
        <v>1.48</v>
      </c>
      <c r="U4328" s="2">
        <f t="shared" si="680"/>
        <v>0.34040000000000004</v>
      </c>
      <c r="V4328" s="2">
        <f t="shared" si="681"/>
        <v>1.8204</v>
      </c>
      <c r="W4328" s="2">
        <v>1.48</v>
      </c>
      <c r="X4328" s="5">
        <f t="shared" si="682"/>
        <v>0</v>
      </c>
      <c r="Z4328" s="2" t="s">
        <v>3226</v>
      </c>
      <c r="AA4328" s="2" t="s">
        <v>96</v>
      </c>
      <c r="AB4328" s="2" t="s">
        <v>76</v>
      </c>
      <c r="AC4328" s="2" t="s">
        <v>93</v>
      </c>
      <c r="AK4328" s="2">
        <f t="shared" si="675"/>
        <v>0</v>
      </c>
      <c r="AL4328" s="5">
        <f t="shared" si="683"/>
        <v>0</v>
      </c>
    </row>
    <row r="4329" spans="1:38" x14ac:dyDescent="0.2">
      <c r="A4329" s="2">
        <v>2026</v>
      </c>
      <c r="B4329" s="2">
        <v>7</v>
      </c>
      <c r="C4329" s="2" t="s">
        <v>3294</v>
      </c>
      <c r="D4329" s="15" t="s">
        <v>3334</v>
      </c>
      <c r="E4329" s="2" t="s">
        <v>3376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1286</v>
      </c>
      <c r="R4329" s="15" t="s">
        <v>1287</v>
      </c>
      <c r="S4329" s="13">
        <v>1</v>
      </c>
      <c r="T4329" s="14">
        <v>2000</v>
      </c>
      <c r="U4329" s="2">
        <f t="shared" si="680"/>
        <v>460</v>
      </c>
      <c r="V4329" s="2">
        <f t="shared" si="681"/>
        <v>2460</v>
      </c>
      <c r="W4329" s="2">
        <v>1150</v>
      </c>
      <c r="X4329" s="5">
        <f t="shared" si="682"/>
        <v>0.42499999999999999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675"/>
        <v>850</v>
      </c>
      <c r="AL4329" s="5">
        <f t="shared" si="683"/>
        <v>0.42499999999999999</v>
      </c>
    </row>
    <row r="4330" spans="1:38" x14ac:dyDescent="0.2">
      <c r="A4330" s="2">
        <v>2026</v>
      </c>
      <c r="B4330" s="2">
        <v>7</v>
      </c>
      <c r="C4330" s="2" t="s">
        <v>3294</v>
      </c>
      <c r="D4330" s="15" t="s">
        <v>3334</v>
      </c>
      <c r="E4330" s="2" t="s">
        <v>3376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1158</v>
      </c>
      <c r="R4330" s="15" t="s">
        <v>1159</v>
      </c>
      <c r="S4330" s="13">
        <v>1</v>
      </c>
      <c r="T4330" s="14">
        <v>0</v>
      </c>
      <c r="U4330" s="2">
        <f t="shared" si="680"/>
        <v>0</v>
      </c>
      <c r="V4330" s="2">
        <f t="shared" si="681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675"/>
        <v>0</v>
      </c>
      <c r="AL4330" s="5">
        <v>0</v>
      </c>
    </row>
    <row r="4331" spans="1:38" ht="10.5" customHeight="1" x14ac:dyDescent="0.2">
      <c r="A4331" s="2">
        <v>2026</v>
      </c>
      <c r="B4331" s="2">
        <v>7</v>
      </c>
      <c r="C4331" s="2" t="s">
        <v>3294</v>
      </c>
      <c r="D4331" s="15" t="s">
        <v>3334</v>
      </c>
      <c r="E4331" s="2" t="s">
        <v>3376</v>
      </c>
      <c r="F4331" s="2" t="s">
        <v>39</v>
      </c>
      <c r="H4331" s="2" t="s">
        <v>41</v>
      </c>
      <c r="L4331" s="2" t="s">
        <v>177</v>
      </c>
      <c r="M4331" s="2" t="s">
        <v>40</v>
      </c>
      <c r="P4331" s="2" t="s">
        <v>282</v>
      </c>
      <c r="Q4331" s="16" t="s">
        <v>1288</v>
      </c>
      <c r="R4331" s="15" t="s">
        <v>1289</v>
      </c>
      <c r="S4331" s="13">
        <v>1</v>
      </c>
      <c r="T4331" s="14">
        <v>0</v>
      </c>
      <c r="U4331" s="2">
        <f t="shared" si="680"/>
        <v>0</v>
      </c>
      <c r="V4331" s="2">
        <f t="shared" si="681"/>
        <v>0</v>
      </c>
      <c r="W4331" s="2">
        <v>0</v>
      </c>
      <c r="X4331" s="5">
        <v>0</v>
      </c>
      <c r="Z4331" s="2" t="s">
        <v>104</v>
      </c>
      <c r="AA4331" s="2" t="s">
        <v>1574</v>
      </c>
      <c r="AB4331" s="2" t="s">
        <v>388</v>
      </c>
      <c r="AC4331" s="2" t="s">
        <v>1327</v>
      </c>
      <c r="AK4331" s="2">
        <f t="shared" si="675"/>
        <v>0</v>
      </c>
      <c r="AL4331" s="5">
        <v>0</v>
      </c>
    </row>
    <row r="4332" spans="1:38" x14ac:dyDescent="0.2">
      <c r="A4332" s="2">
        <v>2026</v>
      </c>
      <c r="B4332" s="2">
        <v>7</v>
      </c>
      <c r="C4332" s="2" t="s">
        <v>3294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72</v>
      </c>
      <c r="Q4332" s="16" t="s">
        <v>3348</v>
      </c>
      <c r="R4332" s="15" t="s">
        <v>74</v>
      </c>
      <c r="S4332" s="13">
        <v>1</v>
      </c>
      <c r="T4332" s="14">
        <v>270</v>
      </c>
      <c r="U4332" s="2">
        <f t="shared" si="680"/>
        <v>62.1</v>
      </c>
      <c r="V4332" s="2">
        <f t="shared" si="681"/>
        <v>332.1</v>
      </c>
      <c r="W4332" s="2">
        <f>118.44+11.7</f>
        <v>130.13999999999999</v>
      </c>
      <c r="X4332" s="5">
        <f t="shared" ref="X4332:X4356" si="684">(T4332-W4332)/T4332</f>
        <v>0.51800000000000002</v>
      </c>
      <c r="Z4332" s="2" t="s">
        <v>3226</v>
      </c>
      <c r="AA4332" s="2" t="s">
        <v>75</v>
      </c>
      <c r="AB4332" s="2" t="s">
        <v>76</v>
      </c>
      <c r="AC4332" s="2" t="s">
        <v>77</v>
      </c>
      <c r="AK4332" s="2">
        <f t="shared" si="675"/>
        <v>139.86000000000001</v>
      </c>
      <c r="AL4332" s="5">
        <f t="shared" ref="AL4332:AL4356" si="685">(T4332-W4332)/T4332</f>
        <v>0.51800000000000002</v>
      </c>
    </row>
    <row r="4333" spans="1:38" x14ac:dyDescent="0.2">
      <c r="A4333" s="2">
        <v>2026</v>
      </c>
      <c r="B4333" s="2">
        <v>7</v>
      </c>
      <c r="C4333" s="2" t="s">
        <v>3294</v>
      </c>
      <c r="D4333" s="15" t="s">
        <v>2944</v>
      </c>
      <c r="E4333" s="2" t="s">
        <v>752</v>
      </c>
      <c r="F4333" s="2" t="s">
        <v>39</v>
      </c>
      <c r="L4333" s="2" t="s">
        <v>480</v>
      </c>
      <c r="M4333" s="2" t="s">
        <v>80</v>
      </c>
      <c r="P4333" s="2" t="s">
        <v>93</v>
      </c>
      <c r="Q4333" s="16" t="s">
        <v>94</v>
      </c>
      <c r="R4333" s="15" t="s">
        <v>95</v>
      </c>
      <c r="S4333" s="13">
        <v>1</v>
      </c>
      <c r="T4333" s="14">
        <v>1.48</v>
      </c>
      <c r="U4333" s="2">
        <f t="shared" si="680"/>
        <v>0.34040000000000004</v>
      </c>
      <c r="V4333" s="2">
        <f t="shared" si="681"/>
        <v>1.8204</v>
      </c>
      <c r="W4333" s="2">
        <v>1.48</v>
      </c>
      <c r="X4333" s="5">
        <f t="shared" si="684"/>
        <v>0</v>
      </c>
      <c r="Z4333" s="2" t="s">
        <v>3226</v>
      </c>
      <c r="AA4333" s="2" t="s">
        <v>96</v>
      </c>
      <c r="AB4333" s="2" t="s">
        <v>76</v>
      </c>
      <c r="AC4333" s="2" t="s">
        <v>93</v>
      </c>
      <c r="AK4333" s="2">
        <f t="shared" si="675"/>
        <v>0</v>
      </c>
      <c r="AL4333" s="5">
        <f t="shared" si="685"/>
        <v>0</v>
      </c>
    </row>
    <row r="4334" spans="1:38" x14ac:dyDescent="0.2">
      <c r="A4334" s="2">
        <v>2026</v>
      </c>
      <c r="B4334" s="2">
        <v>7</v>
      </c>
      <c r="C4334" s="2" t="s">
        <v>3294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188</v>
      </c>
      <c r="R4334" s="15" t="s">
        <v>189</v>
      </c>
      <c r="S4334" s="13">
        <v>1</v>
      </c>
      <c r="T4334" s="14">
        <v>73</v>
      </c>
      <c r="U4334" s="2">
        <f t="shared" si="680"/>
        <v>16.79</v>
      </c>
      <c r="V4334" s="2">
        <f t="shared" si="681"/>
        <v>89.789999999999992</v>
      </c>
      <c r="W4334" s="2">
        <f>T4334*40%</f>
        <v>29.200000000000003</v>
      </c>
      <c r="X4334" s="5">
        <f t="shared" si="684"/>
        <v>0.6</v>
      </c>
      <c r="Z4334" s="2" t="s">
        <v>117</v>
      </c>
      <c r="AA4334" s="2" t="s">
        <v>190</v>
      </c>
      <c r="AB4334" s="2" t="s">
        <v>189</v>
      </c>
      <c r="AC4334" s="2" t="s">
        <v>40</v>
      </c>
      <c r="AK4334" s="2">
        <f t="shared" si="675"/>
        <v>43.8</v>
      </c>
      <c r="AL4334" s="5">
        <f t="shared" si="685"/>
        <v>0.6</v>
      </c>
    </row>
    <row r="4335" spans="1:38" x14ac:dyDescent="0.2">
      <c r="A4335" s="2">
        <v>2026</v>
      </c>
      <c r="B4335" s="2">
        <v>7</v>
      </c>
      <c r="C4335" s="2" t="s">
        <v>3294</v>
      </c>
      <c r="D4335" s="15" t="s">
        <v>1228</v>
      </c>
      <c r="E4335" s="2" t="s">
        <v>38</v>
      </c>
      <c r="F4335" s="2" t="s">
        <v>39</v>
      </c>
      <c r="L4335" s="2" t="s">
        <v>201</v>
      </c>
      <c r="M4335" s="2" t="s">
        <v>40</v>
      </c>
      <c r="P4335" s="2" t="s">
        <v>187</v>
      </c>
      <c r="Q4335" s="16" t="s">
        <v>191</v>
      </c>
      <c r="R4335" s="15" t="s">
        <v>190</v>
      </c>
      <c r="S4335" s="13">
        <v>1</v>
      </c>
      <c r="T4335" s="14">
        <v>55</v>
      </c>
      <c r="U4335" s="2">
        <f t="shared" si="680"/>
        <v>12.65</v>
      </c>
      <c r="V4335" s="2">
        <f t="shared" si="681"/>
        <v>67.650000000000006</v>
      </c>
      <c r="W4335" s="2">
        <f>T4335*50%</f>
        <v>27.5</v>
      </c>
      <c r="X4335" s="5">
        <f t="shared" si="684"/>
        <v>0.5</v>
      </c>
      <c r="Z4335" s="2" t="s">
        <v>117</v>
      </c>
      <c r="AA4335" s="2" t="s">
        <v>190</v>
      </c>
      <c r="AB4335" s="2" t="s">
        <v>190</v>
      </c>
      <c r="AC4335" s="2" t="s">
        <v>40</v>
      </c>
      <c r="AK4335" s="2">
        <f t="shared" si="675"/>
        <v>27.5</v>
      </c>
      <c r="AL4335" s="5">
        <f t="shared" si="685"/>
        <v>0.5</v>
      </c>
    </row>
    <row r="4336" spans="1:38" x14ac:dyDescent="0.2">
      <c r="A4336" s="2">
        <v>2026</v>
      </c>
      <c r="B4336" s="2">
        <v>7</v>
      </c>
      <c r="C4336" s="2" t="s">
        <v>3294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72</v>
      </c>
      <c r="Q4336" s="16" t="s">
        <v>3348</v>
      </c>
      <c r="R4336" s="15" t="s">
        <v>74</v>
      </c>
      <c r="S4336" s="13">
        <v>1</v>
      </c>
      <c r="T4336" s="14">
        <v>220</v>
      </c>
      <c r="U4336" s="2">
        <f t="shared" si="680"/>
        <v>50.6</v>
      </c>
      <c r="V4336" s="2">
        <f t="shared" si="681"/>
        <v>270.60000000000002</v>
      </c>
      <c r="W4336" s="2">
        <f>118.44+11.7</f>
        <v>130.13999999999999</v>
      </c>
      <c r="X4336" s="5">
        <f t="shared" si="684"/>
        <v>0.40845454545454551</v>
      </c>
      <c r="Z4336" s="2" t="s">
        <v>3226</v>
      </c>
      <c r="AA4336" s="2" t="s">
        <v>75</v>
      </c>
      <c r="AB4336" s="2" t="s">
        <v>76</v>
      </c>
      <c r="AC4336" s="2" t="s">
        <v>77</v>
      </c>
      <c r="AK4336" s="2">
        <f t="shared" si="675"/>
        <v>89.860000000000014</v>
      </c>
      <c r="AL4336" s="5">
        <f t="shared" si="685"/>
        <v>0.40845454545454551</v>
      </c>
    </row>
    <row r="4337" spans="1:38" x14ac:dyDescent="0.2">
      <c r="A4337" s="2">
        <v>2026</v>
      </c>
      <c r="B4337" s="2">
        <v>7</v>
      </c>
      <c r="C4337" s="2" t="s">
        <v>3294</v>
      </c>
      <c r="D4337" s="15" t="s">
        <v>1553</v>
      </c>
      <c r="E4337" s="2" t="s">
        <v>108</v>
      </c>
      <c r="F4337" s="2" t="s">
        <v>717</v>
      </c>
      <c r="G4337" s="2">
        <v>500975914</v>
      </c>
      <c r="H4337" s="2" t="s">
        <v>41</v>
      </c>
      <c r="I4337" s="2" t="s">
        <v>1554</v>
      </c>
      <c r="J4337" s="2" t="s">
        <v>1555</v>
      </c>
      <c r="L4337" s="2" t="s">
        <v>177</v>
      </c>
      <c r="M4337" s="2" t="s">
        <v>41</v>
      </c>
      <c r="P4337" s="2" t="s">
        <v>93</v>
      </c>
      <c r="Q4337" s="16" t="s">
        <v>94</v>
      </c>
      <c r="R4337" s="15" t="s">
        <v>95</v>
      </c>
      <c r="S4337" s="13">
        <v>1</v>
      </c>
      <c r="T4337" s="14">
        <v>1.48</v>
      </c>
      <c r="U4337" s="2">
        <f t="shared" si="680"/>
        <v>0.34040000000000004</v>
      </c>
      <c r="V4337" s="2">
        <f t="shared" si="681"/>
        <v>1.8204</v>
      </c>
      <c r="W4337" s="2">
        <v>1.48</v>
      </c>
      <c r="X4337" s="5">
        <f t="shared" si="684"/>
        <v>0</v>
      </c>
      <c r="Z4337" s="2" t="s">
        <v>3226</v>
      </c>
      <c r="AA4337" s="2" t="s">
        <v>96</v>
      </c>
      <c r="AB4337" s="2" t="s">
        <v>76</v>
      </c>
      <c r="AC4337" s="2" t="s">
        <v>93</v>
      </c>
      <c r="AK4337" s="2">
        <f t="shared" si="675"/>
        <v>0</v>
      </c>
      <c r="AL4337" s="5">
        <f t="shared" si="685"/>
        <v>0</v>
      </c>
    </row>
    <row r="4338" spans="1:38" x14ac:dyDescent="0.2">
      <c r="A4338" s="2">
        <v>2026</v>
      </c>
      <c r="B4338" s="2">
        <v>7</v>
      </c>
      <c r="C4338" s="2" t="s">
        <v>3294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114</v>
      </c>
      <c r="Q4338" s="16" t="s">
        <v>3349</v>
      </c>
      <c r="R4338" s="15" t="s">
        <v>3350</v>
      </c>
      <c r="S4338" s="13">
        <v>1</v>
      </c>
      <c r="T4338" s="14">
        <v>59.17</v>
      </c>
      <c r="U4338" s="2">
        <f t="shared" si="680"/>
        <v>13.609100000000002</v>
      </c>
      <c r="V4338" s="2">
        <f t="shared" si="681"/>
        <v>72.7791</v>
      </c>
      <c r="W4338" s="2">
        <v>28.25</v>
      </c>
      <c r="X4338" s="5">
        <f t="shared" si="684"/>
        <v>0.52256210917694779</v>
      </c>
      <c r="Z4338" s="2" t="s">
        <v>117</v>
      </c>
      <c r="AA4338" s="2" t="s">
        <v>118</v>
      </c>
      <c r="AB4338" s="2" t="s">
        <v>119</v>
      </c>
      <c r="AC4338" s="2" t="s">
        <v>114</v>
      </c>
      <c r="AK4338" s="2">
        <f t="shared" si="675"/>
        <v>30.92</v>
      </c>
      <c r="AL4338" s="5">
        <f t="shared" si="685"/>
        <v>0.52256210917694779</v>
      </c>
    </row>
    <row r="4339" spans="1:38" x14ac:dyDescent="0.2">
      <c r="A4339" s="2">
        <v>2026</v>
      </c>
      <c r="B4339" s="2">
        <v>7</v>
      </c>
      <c r="C4339" s="2" t="s">
        <v>3294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187</v>
      </c>
      <c r="Q4339" s="16" t="s">
        <v>188</v>
      </c>
      <c r="R4339" s="15" t="s">
        <v>189</v>
      </c>
      <c r="S4339" s="13">
        <v>1</v>
      </c>
      <c r="T4339" s="14">
        <v>60</v>
      </c>
      <c r="U4339" s="2">
        <f t="shared" si="680"/>
        <v>13.8</v>
      </c>
      <c r="V4339" s="2">
        <f t="shared" si="681"/>
        <v>73.8</v>
      </c>
      <c r="W4339" s="2">
        <f>T4339*40%</f>
        <v>24</v>
      </c>
      <c r="X4339" s="5">
        <f t="shared" si="684"/>
        <v>0.6</v>
      </c>
      <c r="Z4339" s="2" t="s">
        <v>117</v>
      </c>
      <c r="AA4339" s="2" t="s">
        <v>190</v>
      </c>
      <c r="AB4339" s="2" t="s">
        <v>189</v>
      </c>
      <c r="AC4339" s="2" t="s">
        <v>40</v>
      </c>
      <c r="AK4339" s="2">
        <f t="shared" si="675"/>
        <v>36</v>
      </c>
      <c r="AL4339" s="5">
        <f t="shared" si="685"/>
        <v>0.6</v>
      </c>
    </row>
    <row r="4340" spans="1:38" x14ac:dyDescent="0.2">
      <c r="A4340" s="2">
        <v>2026</v>
      </c>
      <c r="B4340" s="2">
        <v>7</v>
      </c>
      <c r="C4340" s="2" t="s">
        <v>3438</v>
      </c>
      <c r="D4340" s="15" t="s">
        <v>803</v>
      </c>
      <c r="E4340" s="2" t="s">
        <v>38</v>
      </c>
      <c r="F4340" s="2" t="s">
        <v>39</v>
      </c>
      <c r="L4340" s="2" t="s">
        <v>99</v>
      </c>
      <c r="M4340" s="2" t="s">
        <v>40</v>
      </c>
      <c r="P4340" s="2" t="s">
        <v>114</v>
      </c>
      <c r="Q4340" s="16" t="s">
        <v>191</v>
      </c>
      <c r="R4340" s="15" t="s">
        <v>190</v>
      </c>
      <c r="S4340" s="13">
        <v>1</v>
      </c>
      <c r="T4340" s="14">
        <v>55</v>
      </c>
      <c r="U4340" s="2">
        <f t="shared" si="680"/>
        <v>12.65</v>
      </c>
      <c r="V4340" s="2">
        <f t="shared" si="681"/>
        <v>67.650000000000006</v>
      </c>
      <c r="W4340" s="2">
        <f>T4340*50%</f>
        <v>27.5</v>
      </c>
      <c r="X4340" s="5">
        <f t="shared" si="684"/>
        <v>0.5</v>
      </c>
      <c r="Z4340" s="2" t="s">
        <v>117</v>
      </c>
      <c r="AA4340" s="2" t="s">
        <v>190</v>
      </c>
      <c r="AB4340" s="2" t="s">
        <v>190</v>
      </c>
      <c r="AC4340" s="2" t="s">
        <v>40</v>
      </c>
      <c r="AK4340" s="2">
        <f t="shared" si="675"/>
        <v>27.5</v>
      </c>
      <c r="AL4340" s="5">
        <f t="shared" si="685"/>
        <v>0.5</v>
      </c>
    </row>
    <row r="4341" spans="1:38" x14ac:dyDescent="0.2">
      <c r="A4341" s="2">
        <v>2026</v>
      </c>
      <c r="B4341" s="2">
        <v>7</v>
      </c>
      <c r="C4341" s="2" t="s">
        <v>3438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72</v>
      </c>
      <c r="Q4341" s="16" t="s">
        <v>73</v>
      </c>
      <c r="R4341" s="15" t="s">
        <v>74</v>
      </c>
      <c r="S4341" s="13">
        <v>1</v>
      </c>
      <c r="T4341" s="14">
        <v>220</v>
      </c>
      <c r="U4341" s="2">
        <f t="shared" si="680"/>
        <v>50.6</v>
      </c>
      <c r="V4341" s="2">
        <f t="shared" si="681"/>
        <v>270.60000000000002</v>
      </c>
      <c r="W4341" s="2">
        <v>125.51600000000001</v>
      </c>
      <c r="X4341" s="5">
        <f t="shared" si="684"/>
        <v>0.42947272727272723</v>
      </c>
      <c r="Z4341" s="2" t="s">
        <v>3226</v>
      </c>
      <c r="AA4341" s="2" t="s">
        <v>75</v>
      </c>
      <c r="AB4341" s="2" t="s">
        <v>76</v>
      </c>
      <c r="AC4341" s="2" t="s">
        <v>77</v>
      </c>
      <c r="AK4341" s="2">
        <f t="shared" ref="AK4341:AK4404" si="686">T4341-W4341</f>
        <v>94.483999999999995</v>
      </c>
      <c r="AL4341" s="5">
        <f t="shared" si="685"/>
        <v>0.42947272727272723</v>
      </c>
    </row>
    <row r="4342" spans="1:38" x14ac:dyDescent="0.2">
      <c r="A4342" s="2">
        <v>2026</v>
      </c>
      <c r="B4342" s="2">
        <v>7</v>
      </c>
      <c r="C4342" s="2" t="s">
        <v>3438</v>
      </c>
      <c r="D4342" s="15" t="s">
        <v>1376</v>
      </c>
      <c r="E4342" s="2" t="s">
        <v>183</v>
      </c>
      <c r="F4342" s="2" t="s">
        <v>366</v>
      </c>
      <c r="L4342" s="2" t="s">
        <v>571</v>
      </c>
      <c r="M4342" s="2" t="s">
        <v>80</v>
      </c>
      <c r="P4342" s="2" t="s">
        <v>93</v>
      </c>
      <c r="Q4342" s="16" t="s">
        <v>94</v>
      </c>
      <c r="R4342" s="15" t="s">
        <v>95</v>
      </c>
      <c r="S4342" s="13">
        <v>1</v>
      </c>
      <c r="T4342" s="14">
        <v>1.48</v>
      </c>
      <c r="U4342" s="2">
        <f t="shared" si="680"/>
        <v>0.34040000000000004</v>
      </c>
      <c r="V4342" s="2">
        <f t="shared" si="681"/>
        <v>1.8204</v>
      </c>
      <c r="W4342" s="2">
        <v>1.48</v>
      </c>
      <c r="X4342" s="5">
        <f t="shared" si="684"/>
        <v>0</v>
      </c>
      <c r="Z4342" s="2" t="s">
        <v>3226</v>
      </c>
      <c r="AA4342" s="2" t="s">
        <v>96</v>
      </c>
      <c r="AB4342" s="2" t="s">
        <v>76</v>
      </c>
      <c r="AC4342" s="2" t="s">
        <v>93</v>
      </c>
      <c r="AK4342" s="2">
        <f t="shared" si="686"/>
        <v>0</v>
      </c>
      <c r="AL4342" s="5">
        <f t="shared" si="685"/>
        <v>0</v>
      </c>
    </row>
    <row r="4343" spans="1:38" x14ac:dyDescent="0.2">
      <c r="A4343" s="2">
        <v>2026</v>
      </c>
      <c r="B4343" s="2">
        <v>7</v>
      </c>
      <c r="C4343" s="2" t="s">
        <v>3438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72</v>
      </c>
      <c r="Q4343" s="16" t="s">
        <v>73</v>
      </c>
      <c r="R4343" s="15" t="s">
        <v>74</v>
      </c>
      <c r="S4343" s="13">
        <v>1</v>
      </c>
      <c r="T4343" s="14">
        <v>220</v>
      </c>
      <c r="U4343" s="2">
        <f t="shared" ref="U4343:U4374" si="687">T4343*23%</f>
        <v>50.6</v>
      </c>
      <c r="V4343" s="2">
        <f t="shared" ref="V4343:V4374" si="688">T4343+U4343</f>
        <v>270.60000000000002</v>
      </c>
      <c r="W4343" s="2">
        <v>125.51600000000001</v>
      </c>
      <c r="X4343" s="5">
        <f t="shared" si="684"/>
        <v>0.42947272727272723</v>
      </c>
      <c r="Z4343" s="2" t="s">
        <v>3226</v>
      </c>
      <c r="AA4343" s="2" t="s">
        <v>75</v>
      </c>
      <c r="AB4343" s="2" t="s">
        <v>76</v>
      </c>
      <c r="AC4343" s="2" t="s">
        <v>77</v>
      </c>
      <c r="AK4343" s="2">
        <f t="shared" si="686"/>
        <v>94.483999999999995</v>
      </c>
      <c r="AL4343" s="5">
        <f t="shared" si="685"/>
        <v>0.42947272727272723</v>
      </c>
    </row>
    <row r="4344" spans="1:38" x14ac:dyDescent="0.2">
      <c r="A4344" s="2">
        <v>2026</v>
      </c>
      <c r="B4344" s="2">
        <v>7</v>
      </c>
      <c r="C4344" s="2" t="s">
        <v>3438</v>
      </c>
      <c r="D4344" s="15" t="s">
        <v>436</v>
      </c>
      <c r="E4344" s="2" t="s">
        <v>108</v>
      </c>
      <c r="F4344" s="2" t="s">
        <v>376</v>
      </c>
      <c r="L4344" s="2" t="s">
        <v>339</v>
      </c>
      <c r="M4344" s="2" t="s">
        <v>80</v>
      </c>
      <c r="P4344" s="2" t="s">
        <v>93</v>
      </c>
      <c r="Q4344" s="16" t="s">
        <v>94</v>
      </c>
      <c r="R4344" s="15" t="s">
        <v>95</v>
      </c>
      <c r="S4344" s="13">
        <v>1</v>
      </c>
      <c r="T4344" s="14">
        <v>1.48</v>
      </c>
      <c r="U4344" s="2">
        <f t="shared" si="687"/>
        <v>0.34040000000000004</v>
      </c>
      <c r="V4344" s="2">
        <f t="shared" si="688"/>
        <v>1.8204</v>
      </c>
      <c r="W4344" s="2">
        <v>1.48</v>
      </c>
      <c r="X4344" s="5">
        <f t="shared" si="684"/>
        <v>0</v>
      </c>
      <c r="Z4344" s="2" t="s">
        <v>3226</v>
      </c>
      <c r="AA4344" s="2" t="s">
        <v>96</v>
      </c>
      <c r="AB4344" s="2" t="s">
        <v>76</v>
      </c>
      <c r="AC4344" s="2" t="s">
        <v>93</v>
      </c>
      <c r="AK4344" s="2">
        <f t="shared" si="686"/>
        <v>0</v>
      </c>
      <c r="AL4344" s="5">
        <f t="shared" si="685"/>
        <v>0</v>
      </c>
    </row>
    <row r="4345" spans="1:38" x14ac:dyDescent="0.2">
      <c r="A4345" s="2">
        <v>2026</v>
      </c>
      <c r="B4345" s="2">
        <v>7</v>
      </c>
      <c r="C4345" s="2" t="s">
        <v>3293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1386</v>
      </c>
      <c r="R4345" s="15" t="s">
        <v>1387</v>
      </c>
      <c r="S4345" s="13">
        <v>1</v>
      </c>
      <c r="T4345" s="14">
        <v>508.68</v>
      </c>
      <c r="U4345" s="2">
        <f t="shared" si="687"/>
        <v>116.99640000000001</v>
      </c>
      <c r="V4345" s="2">
        <f t="shared" si="688"/>
        <v>625.67640000000006</v>
      </c>
      <c r="W4345" s="2">
        <v>178.3383</v>
      </c>
      <c r="X4345" s="5">
        <f t="shared" si="684"/>
        <v>0.64940964850200522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686"/>
        <v>330.3417</v>
      </c>
      <c r="AL4345" s="5">
        <f t="shared" si="685"/>
        <v>0.64940964850200522</v>
      </c>
    </row>
    <row r="4346" spans="1:38" x14ac:dyDescent="0.2">
      <c r="A4346" s="2">
        <v>2026</v>
      </c>
      <c r="B4346" s="2">
        <v>7</v>
      </c>
      <c r="C4346" s="2" t="s">
        <v>3293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114</v>
      </c>
      <c r="Q4346" s="16" t="s">
        <v>646</v>
      </c>
      <c r="R4346" s="15" t="s">
        <v>647</v>
      </c>
      <c r="S4346" s="13">
        <v>1</v>
      </c>
      <c r="T4346" s="14">
        <v>90.66</v>
      </c>
      <c r="U4346" s="2">
        <f t="shared" si="687"/>
        <v>20.851800000000001</v>
      </c>
      <c r="V4346" s="2">
        <f t="shared" si="688"/>
        <v>111.51179999999999</v>
      </c>
      <c r="W4346" s="2">
        <v>30.61</v>
      </c>
      <c r="X4346" s="5">
        <f t="shared" si="684"/>
        <v>0.66236487977057135</v>
      </c>
      <c r="Z4346" s="2" t="s">
        <v>117</v>
      </c>
      <c r="AA4346" s="2" t="s">
        <v>118</v>
      </c>
      <c r="AB4346" s="2" t="s">
        <v>119</v>
      </c>
      <c r="AC4346" s="2" t="s">
        <v>114</v>
      </c>
      <c r="AK4346" s="2">
        <f t="shared" si="686"/>
        <v>60.05</v>
      </c>
      <c r="AL4346" s="5">
        <f t="shared" si="685"/>
        <v>0.66236487977057135</v>
      </c>
    </row>
    <row r="4347" spans="1:38" x14ac:dyDescent="0.2">
      <c r="A4347" s="2">
        <v>2026</v>
      </c>
      <c r="B4347" s="2">
        <v>7</v>
      </c>
      <c r="C4347" s="2" t="s">
        <v>3293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188</v>
      </c>
      <c r="R4347" s="15" t="s">
        <v>189</v>
      </c>
      <c r="S4347" s="13">
        <v>2</v>
      </c>
      <c r="T4347" s="14">
        <v>368</v>
      </c>
      <c r="U4347" s="2">
        <f t="shared" si="687"/>
        <v>84.64</v>
      </c>
      <c r="V4347" s="2">
        <f t="shared" si="688"/>
        <v>452.64</v>
      </c>
      <c r="W4347" s="2">
        <f>T4347*40%</f>
        <v>147.20000000000002</v>
      </c>
      <c r="X4347" s="5">
        <f t="shared" si="684"/>
        <v>0.6</v>
      </c>
      <c r="Z4347" s="2" t="s">
        <v>117</v>
      </c>
      <c r="AA4347" s="2" t="s">
        <v>190</v>
      </c>
      <c r="AB4347" s="2" t="s">
        <v>189</v>
      </c>
      <c r="AC4347" s="2" t="s">
        <v>40</v>
      </c>
      <c r="AK4347" s="2">
        <f t="shared" si="686"/>
        <v>220.79999999999998</v>
      </c>
      <c r="AL4347" s="5">
        <f t="shared" si="685"/>
        <v>0.6</v>
      </c>
    </row>
    <row r="4348" spans="1:38" x14ac:dyDescent="0.2">
      <c r="A4348" s="2">
        <v>2026</v>
      </c>
      <c r="B4348" s="2">
        <v>7</v>
      </c>
      <c r="C4348" s="2" t="s">
        <v>3293</v>
      </c>
      <c r="D4348" s="15" t="s">
        <v>816</v>
      </c>
      <c r="E4348" s="2" t="s">
        <v>38</v>
      </c>
      <c r="F4348" s="2" t="s">
        <v>39</v>
      </c>
      <c r="L4348" s="2" t="s">
        <v>480</v>
      </c>
      <c r="M4348" s="2" t="s">
        <v>40</v>
      </c>
      <c r="P4348" s="2" t="s">
        <v>187</v>
      </c>
      <c r="Q4348" s="16" t="s">
        <v>191</v>
      </c>
      <c r="R4348" s="15" t="s">
        <v>190</v>
      </c>
      <c r="S4348" s="13">
        <v>4</v>
      </c>
      <c r="T4348" s="14">
        <v>220</v>
      </c>
      <c r="U4348" s="2">
        <f t="shared" si="687"/>
        <v>50.6</v>
      </c>
      <c r="V4348" s="2">
        <f t="shared" si="688"/>
        <v>270.60000000000002</v>
      </c>
      <c r="W4348" s="2">
        <f>T4348*50%</f>
        <v>110</v>
      </c>
      <c r="X4348" s="5">
        <f t="shared" si="684"/>
        <v>0.5</v>
      </c>
      <c r="Z4348" s="2" t="s">
        <v>117</v>
      </c>
      <c r="AA4348" s="2" t="s">
        <v>190</v>
      </c>
      <c r="AB4348" s="2" t="s">
        <v>190</v>
      </c>
      <c r="AC4348" s="2" t="s">
        <v>40</v>
      </c>
      <c r="AK4348" s="2">
        <f t="shared" si="686"/>
        <v>110</v>
      </c>
      <c r="AL4348" s="5">
        <f t="shared" si="685"/>
        <v>0.5</v>
      </c>
    </row>
    <row r="4349" spans="1:38" x14ac:dyDescent="0.2">
      <c r="A4349" s="2">
        <v>2026</v>
      </c>
      <c r="B4349" s="2">
        <v>7</v>
      </c>
      <c r="C4349" s="2" t="s">
        <v>3438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188</v>
      </c>
      <c r="R4349" s="15" t="s">
        <v>189</v>
      </c>
      <c r="S4349" s="13">
        <v>1</v>
      </c>
      <c r="T4349" s="14">
        <v>75</v>
      </c>
      <c r="U4349" s="2">
        <f t="shared" si="687"/>
        <v>17.25</v>
      </c>
      <c r="V4349" s="2">
        <f t="shared" si="688"/>
        <v>92.25</v>
      </c>
      <c r="W4349" s="2">
        <f>T4349*40%</f>
        <v>30</v>
      </c>
      <c r="X4349" s="5">
        <f t="shared" si="684"/>
        <v>0.6</v>
      </c>
      <c r="Z4349" s="2" t="s">
        <v>117</v>
      </c>
      <c r="AA4349" s="2" t="s">
        <v>190</v>
      </c>
      <c r="AB4349" s="2" t="s">
        <v>189</v>
      </c>
      <c r="AC4349" s="2" t="s">
        <v>40</v>
      </c>
      <c r="AK4349" s="2">
        <f t="shared" si="686"/>
        <v>45</v>
      </c>
      <c r="AL4349" s="5">
        <f t="shared" si="685"/>
        <v>0.6</v>
      </c>
    </row>
    <row r="4350" spans="1:38" x14ac:dyDescent="0.2">
      <c r="A4350" s="2">
        <v>2026</v>
      </c>
      <c r="B4350" s="2">
        <v>7</v>
      </c>
      <c r="C4350" s="2" t="s">
        <v>3438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187</v>
      </c>
      <c r="Q4350" s="16" t="s">
        <v>191</v>
      </c>
      <c r="R4350" s="15" t="s">
        <v>190</v>
      </c>
      <c r="S4350" s="13">
        <v>1.75</v>
      </c>
      <c r="T4350" s="14">
        <v>96.25</v>
      </c>
      <c r="U4350" s="2">
        <f t="shared" si="687"/>
        <v>22.137499999999999</v>
      </c>
      <c r="V4350" s="2">
        <f t="shared" si="688"/>
        <v>118.3875</v>
      </c>
      <c r="W4350" s="2">
        <f>T4350*50%</f>
        <v>48.125</v>
      </c>
      <c r="X4350" s="5">
        <f t="shared" si="684"/>
        <v>0.5</v>
      </c>
      <c r="Z4350" s="2" t="s">
        <v>117</v>
      </c>
      <c r="AA4350" s="2" t="s">
        <v>190</v>
      </c>
      <c r="AB4350" s="2" t="s">
        <v>190</v>
      </c>
      <c r="AC4350" s="2" t="s">
        <v>40</v>
      </c>
      <c r="AK4350" s="2">
        <f t="shared" si="686"/>
        <v>48.125</v>
      </c>
      <c r="AL4350" s="5">
        <f t="shared" si="685"/>
        <v>0.5</v>
      </c>
    </row>
    <row r="4351" spans="1:38" x14ac:dyDescent="0.2">
      <c r="A4351" s="2">
        <v>2026</v>
      </c>
      <c r="B4351" s="2">
        <v>7</v>
      </c>
      <c r="C4351" s="2" t="s">
        <v>3438</v>
      </c>
      <c r="D4351" s="15" t="s">
        <v>2017</v>
      </c>
      <c r="E4351" s="2" t="s">
        <v>108</v>
      </c>
      <c r="F4351" s="2" t="s">
        <v>39</v>
      </c>
      <c r="L4351" s="2" t="s">
        <v>177</v>
      </c>
      <c r="M4351" s="2" t="s">
        <v>40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297.5</v>
      </c>
      <c r="U4351" s="2">
        <f t="shared" si="687"/>
        <v>68.424999999999997</v>
      </c>
      <c r="V4351" s="2">
        <f t="shared" si="688"/>
        <v>365.92500000000001</v>
      </c>
      <c r="W4351" s="2">
        <f>T4351*70%</f>
        <v>208.25</v>
      </c>
      <c r="X4351" s="5">
        <f t="shared" si="684"/>
        <v>0.3</v>
      </c>
      <c r="Z4351" s="2" t="s">
        <v>119</v>
      </c>
      <c r="AA4351" s="2" t="s">
        <v>3379</v>
      </c>
      <c r="AK4351" s="2">
        <f t="shared" si="686"/>
        <v>89.25</v>
      </c>
      <c r="AL4351" s="5">
        <f t="shared" si="685"/>
        <v>0.3</v>
      </c>
    </row>
    <row r="4352" spans="1:38" x14ac:dyDescent="0.2">
      <c r="A4352" s="2">
        <v>2026</v>
      </c>
      <c r="B4352" s="2">
        <v>7</v>
      </c>
      <c r="C4352" s="2" t="s">
        <v>3295</v>
      </c>
      <c r="D4352" s="15" t="s">
        <v>3335</v>
      </c>
      <c r="E4352" s="2" t="s">
        <v>108</v>
      </c>
      <c r="F4352" s="2" t="s">
        <v>39</v>
      </c>
      <c r="L4352" s="2" t="s">
        <v>398</v>
      </c>
      <c r="M4352" s="2" t="s">
        <v>109</v>
      </c>
      <c r="P4352" s="2" t="s">
        <v>40</v>
      </c>
      <c r="Q4352" s="16" t="s">
        <v>363</v>
      </c>
      <c r="R4352" s="15" t="s">
        <v>364</v>
      </c>
      <c r="S4352" s="13">
        <v>1</v>
      </c>
      <c r="T4352" s="14">
        <v>500</v>
      </c>
      <c r="U4352" s="2">
        <f t="shared" si="687"/>
        <v>115</v>
      </c>
      <c r="V4352" s="2">
        <f t="shared" si="688"/>
        <v>615</v>
      </c>
      <c r="W4352" s="2">
        <f>T4352*70%</f>
        <v>350</v>
      </c>
      <c r="X4352" s="5">
        <f t="shared" si="684"/>
        <v>0.3</v>
      </c>
      <c r="Z4352" s="2" t="s">
        <v>104</v>
      </c>
      <c r="AA4352" s="2" t="s">
        <v>414</v>
      </c>
      <c r="AB4352" s="2" t="s">
        <v>475</v>
      </c>
      <c r="AC4352" s="2" t="s">
        <v>475</v>
      </c>
      <c r="AK4352" s="2">
        <f t="shared" si="686"/>
        <v>150</v>
      </c>
      <c r="AL4352" s="5">
        <f t="shared" si="685"/>
        <v>0.3</v>
      </c>
    </row>
    <row r="4353" spans="1:38" x14ac:dyDescent="0.2">
      <c r="A4353" s="2">
        <v>2026</v>
      </c>
      <c r="B4353" s="2">
        <v>7</v>
      </c>
      <c r="C4353" s="2" t="s">
        <v>3293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399</v>
      </c>
      <c r="R4353" s="15" t="s">
        <v>400</v>
      </c>
      <c r="S4353" s="13">
        <v>2</v>
      </c>
      <c r="T4353" s="14">
        <v>58</v>
      </c>
      <c r="U4353" s="2">
        <f t="shared" si="687"/>
        <v>13.34</v>
      </c>
      <c r="V4353" s="2">
        <f t="shared" si="688"/>
        <v>71.34</v>
      </c>
      <c r="W4353" s="2">
        <f>14.5099*S4353</f>
        <v>29.0198</v>
      </c>
      <c r="X4353" s="5">
        <f t="shared" si="684"/>
        <v>0.49965862068965516</v>
      </c>
      <c r="Z4353" s="2" t="s">
        <v>3226</v>
      </c>
      <c r="AA4353" s="2" t="s">
        <v>46</v>
      </c>
      <c r="AB4353" s="2" t="s">
        <v>60</v>
      </c>
      <c r="AC4353" s="2" t="s">
        <v>3331</v>
      </c>
      <c r="AK4353" s="2">
        <f t="shared" si="686"/>
        <v>28.9802</v>
      </c>
      <c r="AL4353" s="5">
        <f t="shared" si="685"/>
        <v>0.49965862068965516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80</v>
      </c>
      <c r="P4354" s="2" t="s">
        <v>282</v>
      </c>
      <c r="Q4354" s="16" t="s">
        <v>401</v>
      </c>
      <c r="R4354" s="15" t="s">
        <v>402</v>
      </c>
      <c r="S4354" s="13">
        <v>4</v>
      </c>
      <c r="T4354" s="14">
        <v>96</v>
      </c>
      <c r="U4354" s="2">
        <f t="shared" si="687"/>
        <v>22.080000000000002</v>
      </c>
      <c r="V4354" s="2">
        <f t="shared" si="688"/>
        <v>118.08</v>
      </c>
      <c r="W4354" s="2">
        <f>14.5099*S4354</f>
        <v>58.0396</v>
      </c>
      <c r="X4354" s="5">
        <f t="shared" si="684"/>
        <v>0.39542083333333333</v>
      </c>
      <c r="Z4354" s="2" t="s">
        <v>3226</v>
      </c>
      <c r="AA4354" s="2" t="s">
        <v>46</v>
      </c>
      <c r="AB4354" s="2" t="s">
        <v>60</v>
      </c>
      <c r="AC4354" s="2" t="s">
        <v>3331</v>
      </c>
      <c r="AK4354" s="2">
        <f t="shared" si="686"/>
        <v>37.9604</v>
      </c>
      <c r="AL4354" s="5">
        <f t="shared" si="685"/>
        <v>0.39542083333333333</v>
      </c>
    </row>
    <row r="4355" spans="1:38" x14ac:dyDescent="0.2">
      <c r="A4355" s="2">
        <v>2026</v>
      </c>
      <c r="B4355" s="2">
        <v>7</v>
      </c>
      <c r="C4355" s="2" t="s">
        <v>3294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188</v>
      </c>
      <c r="R4355" s="15" t="s">
        <v>189</v>
      </c>
      <c r="S4355" s="13">
        <v>1</v>
      </c>
      <c r="T4355" s="14">
        <v>177</v>
      </c>
      <c r="U4355" s="2">
        <f t="shared" si="687"/>
        <v>40.71</v>
      </c>
      <c r="V4355" s="2">
        <f t="shared" si="688"/>
        <v>217.71</v>
      </c>
      <c r="W4355" s="2">
        <f>T4355*40%</f>
        <v>70.8</v>
      </c>
      <c r="X4355" s="5">
        <f t="shared" si="684"/>
        <v>0.6</v>
      </c>
      <c r="Z4355" s="2" t="s">
        <v>117</v>
      </c>
      <c r="AA4355" s="2" t="s">
        <v>190</v>
      </c>
      <c r="AB4355" s="2" t="s">
        <v>189</v>
      </c>
      <c r="AC4355" s="2" t="s">
        <v>40</v>
      </c>
      <c r="AK4355" s="2">
        <f t="shared" si="686"/>
        <v>106.2</v>
      </c>
      <c r="AL4355" s="5">
        <f t="shared" si="685"/>
        <v>0.6</v>
      </c>
    </row>
    <row r="4356" spans="1:38" x14ac:dyDescent="0.2">
      <c r="A4356" s="2">
        <v>2026</v>
      </c>
      <c r="B4356" s="2">
        <v>7</v>
      </c>
      <c r="C4356" s="2" t="s">
        <v>3294</v>
      </c>
      <c r="D4356" s="15" t="s">
        <v>458</v>
      </c>
      <c r="E4356" s="2" t="s">
        <v>108</v>
      </c>
      <c r="F4356" s="2" t="s">
        <v>477</v>
      </c>
      <c r="L4356" s="2" t="s">
        <v>461</v>
      </c>
      <c r="M4356" s="2" t="s">
        <v>40</v>
      </c>
      <c r="P4356" s="2" t="s">
        <v>187</v>
      </c>
      <c r="Q4356" s="16" t="s">
        <v>191</v>
      </c>
      <c r="R4356" s="15" t="s">
        <v>190</v>
      </c>
      <c r="S4356" s="13">
        <v>1</v>
      </c>
      <c r="T4356" s="14">
        <v>55</v>
      </c>
      <c r="U4356" s="2">
        <f t="shared" si="687"/>
        <v>12.65</v>
      </c>
      <c r="V4356" s="2">
        <f t="shared" si="688"/>
        <v>67.650000000000006</v>
      </c>
      <c r="W4356" s="2">
        <f>T4356*50%</f>
        <v>27.5</v>
      </c>
      <c r="X4356" s="5">
        <f t="shared" si="684"/>
        <v>0.5</v>
      </c>
      <c r="Z4356" s="2" t="s">
        <v>117</v>
      </c>
      <c r="AA4356" s="2" t="s">
        <v>190</v>
      </c>
      <c r="AB4356" s="2" t="s">
        <v>190</v>
      </c>
      <c r="AC4356" s="2" t="s">
        <v>40</v>
      </c>
      <c r="AK4356" s="2">
        <f t="shared" si="686"/>
        <v>27.5</v>
      </c>
      <c r="AL4356" s="5">
        <f t="shared" si="685"/>
        <v>0.5</v>
      </c>
    </row>
    <row r="4357" spans="1:38" x14ac:dyDescent="0.2">
      <c r="A4357" s="2">
        <v>2026</v>
      </c>
      <c r="B4357" s="2">
        <v>7</v>
      </c>
      <c r="C4357" s="2" t="s">
        <v>3294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2647</v>
      </c>
      <c r="R4357" s="15" t="s">
        <v>2648</v>
      </c>
      <c r="S4357" s="13">
        <v>1</v>
      </c>
      <c r="T4357" s="14">
        <v>0</v>
      </c>
      <c r="U4357" s="2">
        <f t="shared" si="687"/>
        <v>0</v>
      </c>
      <c r="V4357" s="2">
        <f t="shared" si="688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686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3294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2651</v>
      </c>
      <c r="R4358" s="15" t="s">
        <v>2652</v>
      </c>
      <c r="S4358" s="13">
        <v>1</v>
      </c>
      <c r="T4358" s="14">
        <v>0</v>
      </c>
      <c r="U4358" s="2">
        <f t="shared" si="687"/>
        <v>0</v>
      </c>
      <c r="V4358" s="2">
        <f t="shared" si="688"/>
        <v>0</v>
      </c>
      <c r="W4358" s="2">
        <v>0</v>
      </c>
      <c r="X4358" s="5">
        <v>0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686"/>
        <v>0</v>
      </c>
      <c r="AL4358" s="5">
        <v>0</v>
      </c>
    </row>
    <row r="4359" spans="1:38" x14ac:dyDescent="0.2">
      <c r="A4359" s="2">
        <v>2026</v>
      </c>
      <c r="B4359" s="2">
        <v>7</v>
      </c>
      <c r="C4359" s="2" t="s">
        <v>3294</v>
      </c>
      <c r="D4359" s="15" t="s">
        <v>1573</v>
      </c>
      <c r="E4359" s="2" t="s">
        <v>752</v>
      </c>
      <c r="F4359" s="2" t="s">
        <v>39</v>
      </c>
      <c r="L4359" s="2" t="s">
        <v>461</v>
      </c>
      <c r="M4359" s="2" t="s">
        <v>109</v>
      </c>
      <c r="P4359" s="2" t="s">
        <v>282</v>
      </c>
      <c r="Q4359" s="16" t="s">
        <v>3351</v>
      </c>
      <c r="R4359" s="15" t="s">
        <v>3352</v>
      </c>
      <c r="S4359" s="13">
        <v>1</v>
      </c>
      <c r="T4359" s="14">
        <v>12000</v>
      </c>
      <c r="U4359" s="2">
        <f t="shared" si="687"/>
        <v>2760</v>
      </c>
      <c r="V4359" s="2">
        <f t="shared" si="688"/>
        <v>14760</v>
      </c>
      <c r="W4359" s="2">
        <f>10440+150</f>
        <v>10590</v>
      </c>
      <c r="X4359" s="5">
        <f t="shared" ref="X4359:X4390" si="689">(T4359-W4359)/T4359</f>
        <v>0.11749999999999999</v>
      </c>
      <c r="Z4359" s="2" t="s">
        <v>104</v>
      </c>
      <c r="AA4359" s="2" t="s">
        <v>1574</v>
      </c>
      <c r="AB4359" s="2" t="s">
        <v>388</v>
      </c>
      <c r="AC4359" s="2" t="s">
        <v>1327</v>
      </c>
      <c r="AK4359" s="2">
        <f t="shared" si="686"/>
        <v>1410</v>
      </c>
      <c r="AL4359" s="5">
        <f t="shared" ref="AL4359:AL4390" si="690">(T4359-W4359)/T4359</f>
        <v>0.11749999999999999</v>
      </c>
    </row>
    <row r="4360" spans="1:38" x14ac:dyDescent="0.2">
      <c r="A4360" s="2">
        <v>2026</v>
      </c>
      <c r="B4360" s="2">
        <v>7</v>
      </c>
      <c r="C4360" s="2" t="s">
        <v>3294</v>
      </c>
      <c r="D4360" s="15" t="s">
        <v>3336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72</v>
      </c>
      <c r="Q4360" s="16" t="s">
        <v>73</v>
      </c>
      <c r="R4360" s="15" t="s">
        <v>74</v>
      </c>
      <c r="S4360" s="13">
        <v>1</v>
      </c>
      <c r="T4360" s="14">
        <v>190</v>
      </c>
      <c r="U4360" s="2">
        <f t="shared" si="687"/>
        <v>43.7</v>
      </c>
      <c r="V4360" s="2">
        <f t="shared" si="688"/>
        <v>233.7</v>
      </c>
      <c r="W4360" s="2">
        <v>125.51600000000001</v>
      </c>
      <c r="X4360" s="5">
        <f t="shared" si="689"/>
        <v>0.33938947368421052</v>
      </c>
      <c r="Z4360" s="2" t="s">
        <v>3226</v>
      </c>
      <c r="AA4360" s="2" t="s">
        <v>75</v>
      </c>
      <c r="AB4360" s="2" t="s">
        <v>76</v>
      </c>
      <c r="AC4360" s="2" t="s">
        <v>77</v>
      </c>
      <c r="AK4360" s="2">
        <f t="shared" si="686"/>
        <v>64.483999999999995</v>
      </c>
      <c r="AL4360" s="5">
        <f t="shared" si="690"/>
        <v>0.33938947368421052</v>
      </c>
    </row>
    <row r="4361" spans="1:38" x14ac:dyDescent="0.2">
      <c r="A4361" s="2">
        <v>2026</v>
      </c>
      <c r="B4361" s="2">
        <v>7</v>
      </c>
      <c r="C4361" s="2" t="s">
        <v>3294</v>
      </c>
      <c r="D4361" s="15" t="s">
        <v>3336</v>
      </c>
      <c r="E4361" s="2" t="s">
        <v>108</v>
      </c>
      <c r="F4361" s="2" t="s">
        <v>39</v>
      </c>
      <c r="L4361" s="2" t="s">
        <v>461</v>
      </c>
      <c r="M4361" s="2" t="s">
        <v>80</v>
      </c>
      <c r="P4361" s="2" t="s">
        <v>93</v>
      </c>
      <c r="Q4361" s="16" t="s">
        <v>94</v>
      </c>
      <c r="R4361" s="15" t="s">
        <v>95</v>
      </c>
      <c r="S4361" s="13">
        <v>1</v>
      </c>
      <c r="T4361" s="14">
        <v>1.48</v>
      </c>
      <c r="U4361" s="2">
        <f t="shared" si="687"/>
        <v>0.34040000000000004</v>
      </c>
      <c r="V4361" s="2">
        <f t="shared" si="688"/>
        <v>1.8204</v>
      </c>
      <c r="W4361" s="2">
        <v>1.48</v>
      </c>
      <c r="X4361" s="5">
        <f t="shared" si="689"/>
        <v>0</v>
      </c>
      <c r="Z4361" s="2" t="s">
        <v>3226</v>
      </c>
      <c r="AA4361" s="2" t="s">
        <v>96</v>
      </c>
      <c r="AB4361" s="2" t="s">
        <v>76</v>
      </c>
      <c r="AC4361" s="2" t="s">
        <v>93</v>
      </c>
      <c r="AK4361" s="2">
        <f t="shared" si="686"/>
        <v>0</v>
      </c>
      <c r="AL4361" s="5">
        <f t="shared" si="690"/>
        <v>0</v>
      </c>
    </row>
    <row r="4362" spans="1:38" x14ac:dyDescent="0.2">
      <c r="A4362" s="2">
        <v>2026</v>
      </c>
      <c r="B4362" s="2">
        <v>7</v>
      </c>
      <c r="C4362" s="2" t="s">
        <v>3294</v>
      </c>
      <c r="D4362" s="15" t="s">
        <v>462</v>
      </c>
      <c r="E4362" s="2" t="s">
        <v>108</v>
      </c>
      <c r="F4362" s="2" t="s">
        <v>39</v>
      </c>
      <c r="L4362" s="2" t="s">
        <v>112</v>
      </c>
      <c r="M4362" s="2" t="s">
        <v>40</v>
      </c>
      <c r="P4362" s="2" t="s">
        <v>114</v>
      </c>
      <c r="Q4362" s="16" t="s">
        <v>779</v>
      </c>
      <c r="R4362" s="15" t="s">
        <v>780</v>
      </c>
      <c r="S4362" s="13">
        <v>1</v>
      </c>
      <c r="T4362" s="14">
        <v>78.59</v>
      </c>
      <c r="U4362" s="2">
        <f t="shared" si="687"/>
        <v>18.075700000000001</v>
      </c>
      <c r="V4362" s="2">
        <f t="shared" si="688"/>
        <v>96.665700000000001</v>
      </c>
      <c r="W4362" s="2">
        <f>36.2258</f>
        <v>36.2258</v>
      </c>
      <c r="X4362" s="5">
        <f t="shared" si="689"/>
        <v>0.53905331467107775</v>
      </c>
      <c r="Z4362" s="2" t="s">
        <v>117</v>
      </c>
      <c r="AA4362" s="2" t="s">
        <v>118</v>
      </c>
      <c r="AB4362" s="2" t="s">
        <v>119</v>
      </c>
      <c r="AC4362" s="2" t="s">
        <v>114</v>
      </c>
      <c r="AK4362" s="2">
        <f t="shared" si="686"/>
        <v>42.364200000000004</v>
      </c>
      <c r="AL4362" s="5">
        <f t="shared" si="690"/>
        <v>0.53905331467107775</v>
      </c>
    </row>
    <row r="4363" spans="1:38" x14ac:dyDescent="0.2">
      <c r="A4363" s="2">
        <v>2026</v>
      </c>
      <c r="B4363" s="2">
        <v>7</v>
      </c>
      <c r="C4363" s="2" t="s">
        <v>3294</v>
      </c>
      <c r="D4363" s="15" t="s">
        <v>462</v>
      </c>
      <c r="E4363" s="2" t="s">
        <v>108</v>
      </c>
      <c r="F4363" s="2" t="s">
        <v>39</v>
      </c>
      <c r="L4363" s="2" t="s">
        <v>112</v>
      </c>
      <c r="M4363" s="2" t="s">
        <v>40</v>
      </c>
      <c r="P4363" s="2" t="s">
        <v>169</v>
      </c>
      <c r="Q4363" s="16" t="s">
        <v>170</v>
      </c>
      <c r="R4363" s="15" t="s">
        <v>170</v>
      </c>
      <c r="S4363" s="13">
        <v>1</v>
      </c>
      <c r="T4363" s="14">
        <v>7</v>
      </c>
      <c r="U4363" s="2">
        <f t="shared" si="687"/>
        <v>1.61</v>
      </c>
      <c r="V4363" s="2">
        <f t="shared" si="688"/>
        <v>8.61</v>
      </c>
      <c r="W4363" s="2">
        <v>6</v>
      </c>
      <c r="X4363" s="5">
        <f t="shared" si="689"/>
        <v>0.14285714285714285</v>
      </c>
      <c r="Z4363" s="2" t="s">
        <v>169</v>
      </c>
      <c r="AA4363" s="2" t="s">
        <v>169</v>
      </c>
      <c r="AK4363" s="2">
        <f t="shared" si="686"/>
        <v>1</v>
      </c>
      <c r="AL4363" s="5">
        <f t="shared" si="690"/>
        <v>0.14285714285714285</v>
      </c>
    </row>
    <row r="4364" spans="1:38" x14ac:dyDescent="0.2">
      <c r="A4364" s="2">
        <v>2026</v>
      </c>
      <c r="B4364" s="2">
        <v>7</v>
      </c>
      <c r="C4364" s="2" t="s">
        <v>3294</v>
      </c>
      <c r="D4364" s="15" t="s">
        <v>3414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709</v>
      </c>
      <c r="R4364" s="15" t="s">
        <v>710</v>
      </c>
      <c r="S4364" s="13">
        <v>1</v>
      </c>
      <c r="T4364" s="14">
        <v>1600</v>
      </c>
      <c r="U4364" s="2">
        <f t="shared" si="687"/>
        <v>368</v>
      </c>
      <c r="V4364" s="2">
        <f t="shared" si="688"/>
        <v>1968</v>
      </c>
      <c r="W4364" s="2">
        <v>1244.2445</v>
      </c>
      <c r="X4364" s="5">
        <f t="shared" si="689"/>
        <v>0.22234718749999999</v>
      </c>
      <c r="Z4364" s="2" t="s">
        <v>104</v>
      </c>
      <c r="AA4364" s="2" t="s">
        <v>578</v>
      </c>
      <c r="AB4364" s="2" t="s">
        <v>701</v>
      </c>
      <c r="AC4364" s="2" t="s">
        <v>114</v>
      </c>
      <c r="AK4364" s="2">
        <f t="shared" si="686"/>
        <v>355.75549999999998</v>
      </c>
      <c r="AL4364" s="5">
        <f t="shared" si="690"/>
        <v>0.22234718749999999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3414</v>
      </c>
      <c r="E4365" s="2" t="s">
        <v>108</v>
      </c>
      <c r="F4365" s="2" t="s">
        <v>39</v>
      </c>
      <c r="L4365" s="2" t="s">
        <v>133</v>
      </c>
      <c r="M4365" s="2" t="s">
        <v>109</v>
      </c>
      <c r="P4365" s="2" t="s">
        <v>114</v>
      </c>
      <c r="Q4365" s="16" t="s">
        <v>838</v>
      </c>
      <c r="R4365" s="15" t="s">
        <v>839</v>
      </c>
      <c r="S4365" s="13">
        <v>1</v>
      </c>
      <c r="T4365" s="14">
        <v>4400</v>
      </c>
      <c r="U4365" s="2">
        <f t="shared" si="687"/>
        <v>1012</v>
      </c>
      <c r="V4365" s="2">
        <f t="shared" si="688"/>
        <v>5412</v>
      </c>
      <c r="W4365" s="2">
        <f>3229.76+112.87</f>
        <v>3342.63</v>
      </c>
      <c r="X4365" s="5">
        <f t="shared" si="689"/>
        <v>0.2403113636363636</v>
      </c>
      <c r="Z4365" s="2" t="s">
        <v>104</v>
      </c>
      <c r="AA4365" s="2" t="s">
        <v>150</v>
      </c>
      <c r="AB4365" s="2" t="s">
        <v>151</v>
      </c>
      <c r="AC4365" s="2" t="s">
        <v>114</v>
      </c>
      <c r="AK4365" s="2">
        <f t="shared" si="686"/>
        <v>1057.3699999999999</v>
      </c>
      <c r="AL4365" s="5">
        <f t="shared" si="690"/>
        <v>0.2403113636363636</v>
      </c>
    </row>
    <row r="4366" spans="1:38" x14ac:dyDescent="0.2">
      <c r="A4366" s="2">
        <v>2026</v>
      </c>
      <c r="B4366" s="2">
        <v>7</v>
      </c>
      <c r="C4366" s="2" t="s">
        <v>3295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114</v>
      </c>
      <c r="Q4366" s="16" t="s">
        <v>1374</v>
      </c>
      <c r="R4366" s="15" t="s">
        <v>1375</v>
      </c>
      <c r="S4366" s="13">
        <v>1</v>
      </c>
      <c r="T4366" s="14">
        <v>58.74</v>
      </c>
      <c r="U4366" s="2">
        <f t="shared" si="687"/>
        <v>13.510200000000001</v>
      </c>
      <c r="V4366" s="2">
        <f t="shared" si="688"/>
        <v>72.250200000000007</v>
      </c>
      <c r="W4366" s="2">
        <v>27.86</v>
      </c>
      <c r="X4366" s="5">
        <f t="shared" si="689"/>
        <v>0.52570650323459311</v>
      </c>
      <c r="Z4366" s="2" t="s">
        <v>117</v>
      </c>
      <c r="AA4366" s="2" t="s">
        <v>118</v>
      </c>
      <c r="AB4366" s="2" t="s">
        <v>119</v>
      </c>
      <c r="AC4366" s="2" t="s">
        <v>114</v>
      </c>
      <c r="AK4366" s="2">
        <f t="shared" si="686"/>
        <v>30.880000000000003</v>
      </c>
      <c r="AL4366" s="5">
        <f t="shared" si="690"/>
        <v>0.52570650323459311</v>
      </c>
    </row>
    <row r="4367" spans="1:38" x14ac:dyDescent="0.2">
      <c r="A4367" s="2">
        <v>2026</v>
      </c>
      <c r="B4367" s="2">
        <v>7</v>
      </c>
      <c r="C4367" s="2" t="s">
        <v>3295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188</v>
      </c>
      <c r="R4367" s="15" t="s">
        <v>189</v>
      </c>
      <c r="S4367" s="13">
        <v>1</v>
      </c>
      <c r="T4367" s="14">
        <v>55</v>
      </c>
      <c r="U4367" s="2">
        <f t="shared" si="687"/>
        <v>12.65</v>
      </c>
      <c r="V4367" s="2">
        <f t="shared" si="688"/>
        <v>67.650000000000006</v>
      </c>
      <c r="W4367" s="2">
        <f>T4367*40%</f>
        <v>22</v>
      </c>
      <c r="X4367" s="5">
        <f t="shared" si="689"/>
        <v>0.6</v>
      </c>
      <c r="Z4367" s="2" t="s">
        <v>117</v>
      </c>
      <c r="AA4367" s="2" t="s">
        <v>190</v>
      </c>
      <c r="AB4367" s="2" t="s">
        <v>189</v>
      </c>
      <c r="AC4367" s="2" t="s">
        <v>40</v>
      </c>
      <c r="AK4367" s="2">
        <f t="shared" si="686"/>
        <v>33</v>
      </c>
      <c r="AL4367" s="5">
        <f t="shared" si="690"/>
        <v>0.6</v>
      </c>
    </row>
    <row r="4368" spans="1:38" x14ac:dyDescent="0.2">
      <c r="A4368" s="2">
        <v>2026</v>
      </c>
      <c r="B4368" s="2">
        <v>7</v>
      </c>
      <c r="C4368" s="2" t="s">
        <v>3295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187</v>
      </c>
      <c r="Q4368" s="16" t="s">
        <v>191</v>
      </c>
      <c r="R4368" s="15" t="s">
        <v>190</v>
      </c>
      <c r="S4368" s="13">
        <v>1.5</v>
      </c>
      <c r="T4368" s="14">
        <v>82.5</v>
      </c>
      <c r="U4368" s="2">
        <f t="shared" si="687"/>
        <v>18.975000000000001</v>
      </c>
      <c r="V4368" s="2">
        <f t="shared" si="688"/>
        <v>101.47499999999999</v>
      </c>
      <c r="W4368" s="2">
        <f>T4368*50%</f>
        <v>41.25</v>
      </c>
      <c r="X4368" s="5">
        <f t="shared" si="689"/>
        <v>0.5</v>
      </c>
      <c r="Z4368" s="2" t="s">
        <v>117</v>
      </c>
      <c r="AA4368" s="2" t="s">
        <v>190</v>
      </c>
      <c r="AB4368" s="2" t="s">
        <v>190</v>
      </c>
      <c r="AC4368" s="2" t="s">
        <v>40</v>
      </c>
      <c r="AK4368" s="2">
        <f t="shared" si="686"/>
        <v>41.25</v>
      </c>
      <c r="AL4368" s="5">
        <f t="shared" si="690"/>
        <v>0.5</v>
      </c>
    </row>
    <row r="4369" spans="1:38" x14ac:dyDescent="0.2">
      <c r="A4369" s="2">
        <v>2026</v>
      </c>
      <c r="B4369" s="2">
        <v>7</v>
      </c>
      <c r="C4369" s="2" t="s">
        <v>3295</v>
      </c>
      <c r="D4369" s="15" t="s">
        <v>840</v>
      </c>
      <c r="E4369" s="2" t="s">
        <v>108</v>
      </c>
      <c r="F4369" s="2" t="s">
        <v>531</v>
      </c>
      <c r="G4369" s="2">
        <v>504981285</v>
      </c>
      <c r="H4369" s="2" t="s">
        <v>290</v>
      </c>
      <c r="I4369" s="2" t="s">
        <v>841</v>
      </c>
      <c r="J4369" s="2" t="s">
        <v>842</v>
      </c>
      <c r="K4369" s="2">
        <v>932209225</v>
      </c>
      <c r="L4369" s="2" t="s">
        <v>339</v>
      </c>
      <c r="M4369" s="2" t="s">
        <v>40</v>
      </c>
      <c r="P4369" s="2" t="s">
        <v>40</v>
      </c>
      <c r="Q4369" s="16" t="s">
        <v>363</v>
      </c>
      <c r="R4369" s="15" t="s">
        <v>364</v>
      </c>
      <c r="S4369" s="13">
        <v>1.7</v>
      </c>
      <c r="T4369" s="14">
        <v>9.34</v>
      </c>
      <c r="U4369" s="2">
        <f t="shared" si="687"/>
        <v>2.1482000000000001</v>
      </c>
      <c r="V4369" s="2">
        <f t="shared" si="688"/>
        <v>11.488199999999999</v>
      </c>
      <c r="W4369" s="2">
        <f>T4369*70%</f>
        <v>6.5379999999999994</v>
      </c>
      <c r="X4369" s="5">
        <f t="shared" si="689"/>
        <v>0.30000000000000004</v>
      </c>
      <c r="Z4369" s="2" t="s">
        <v>119</v>
      </c>
      <c r="AA4369" s="2" t="s">
        <v>3379</v>
      </c>
      <c r="AK4369" s="2">
        <f t="shared" si="686"/>
        <v>2.8020000000000005</v>
      </c>
      <c r="AL4369" s="5">
        <f t="shared" si="690"/>
        <v>0.30000000000000004</v>
      </c>
    </row>
    <row r="4370" spans="1:38" x14ac:dyDescent="0.2">
      <c r="A4370" s="2">
        <v>2026</v>
      </c>
      <c r="B4370" s="2">
        <v>7</v>
      </c>
      <c r="C4370" s="2" t="s">
        <v>3295</v>
      </c>
      <c r="D4370" s="15" t="s">
        <v>3337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114</v>
      </c>
      <c r="Q4370" s="16" t="s">
        <v>179</v>
      </c>
      <c r="R4370" s="15" t="s">
        <v>180</v>
      </c>
      <c r="S4370" s="13">
        <v>1</v>
      </c>
      <c r="T4370" s="14">
        <v>699.3</v>
      </c>
      <c r="U4370" s="2">
        <f t="shared" si="687"/>
        <v>160.839</v>
      </c>
      <c r="V4370" s="2">
        <f t="shared" si="688"/>
        <v>860.1389999999999</v>
      </c>
      <c r="W4370" s="2">
        <v>343.38580000000002</v>
      </c>
      <c r="X4370" s="5">
        <f t="shared" si="689"/>
        <v>0.50895781495781489</v>
      </c>
      <c r="Z4370" s="2" t="s">
        <v>117</v>
      </c>
      <c r="AA4370" s="2" t="s">
        <v>181</v>
      </c>
      <c r="AB4370" s="2" t="s">
        <v>119</v>
      </c>
      <c r="AC4370" s="2" t="s">
        <v>114</v>
      </c>
      <c r="AK4370" s="2">
        <f t="shared" si="686"/>
        <v>355.91419999999994</v>
      </c>
      <c r="AL4370" s="5">
        <f t="shared" si="690"/>
        <v>0.50895781495781489</v>
      </c>
    </row>
    <row r="4371" spans="1:38" x14ac:dyDescent="0.2">
      <c r="A4371" s="2">
        <v>2026</v>
      </c>
      <c r="B4371" s="2">
        <v>7</v>
      </c>
      <c r="C4371" s="2" t="s">
        <v>3295</v>
      </c>
      <c r="D4371" s="15" t="s">
        <v>3337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188</v>
      </c>
      <c r="R4371" s="15" t="s">
        <v>189</v>
      </c>
      <c r="S4371" s="13">
        <v>1</v>
      </c>
      <c r="T4371" s="14">
        <v>175</v>
      </c>
      <c r="U4371" s="2">
        <f t="shared" si="687"/>
        <v>40.25</v>
      </c>
      <c r="V4371" s="2">
        <f t="shared" si="688"/>
        <v>215.25</v>
      </c>
      <c r="W4371" s="2">
        <f>T4371*40%</f>
        <v>70</v>
      </c>
      <c r="X4371" s="5">
        <f t="shared" si="689"/>
        <v>0.6</v>
      </c>
      <c r="Z4371" s="2" t="s">
        <v>117</v>
      </c>
      <c r="AA4371" s="2" t="s">
        <v>190</v>
      </c>
      <c r="AB4371" s="2" t="s">
        <v>189</v>
      </c>
      <c r="AC4371" s="2" t="s">
        <v>40</v>
      </c>
      <c r="AK4371" s="2">
        <f t="shared" si="686"/>
        <v>105</v>
      </c>
      <c r="AL4371" s="5">
        <f t="shared" si="690"/>
        <v>0.6</v>
      </c>
    </row>
    <row r="4372" spans="1:38" x14ac:dyDescent="0.2">
      <c r="A4372" s="2">
        <v>2026</v>
      </c>
      <c r="B4372" s="2">
        <v>7</v>
      </c>
      <c r="C4372" s="2" t="s">
        <v>3295</v>
      </c>
      <c r="D4372" s="15" t="s">
        <v>3337</v>
      </c>
      <c r="E4372" s="2" t="s">
        <v>38</v>
      </c>
      <c r="F4372" s="2" t="s">
        <v>39</v>
      </c>
      <c r="L4372" s="2" t="s">
        <v>133</v>
      </c>
      <c r="M4372" s="2" t="s">
        <v>40</v>
      </c>
      <c r="P4372" s="2" t="s">
        <v>187</v>
      </c>
      <c r="Q4372" s="16" t="s">
        <v>191</v>
      </c>
      <c r="R4372" s="15" t="s">
        <v>190</v>
      </c>
      <c r="S4372" s="13">
        <v>1</v>
      </c>
      <c r="T4372" s="14">
        <v>55</v>
      </c>
      <c r="U4372" s="2">
        <f t="shared" si="687"/>
        <v>12.65</v>
      </c>
      <c r="V4372" s="2">
        <f t="shared" si="688"/>
        <v>67.650000000000006</v>
      </c>
      <c r="W4372" s="2">
        <f>T4372*50%</f>
        <v>27.5</v>
      </c>
      <c r="X4372" s="5">
        <f t="shared" si="689"/>
        <v>0.5</v>
      </c>
      <c r="Z4372" s="2" t="s">
        <v>117</v>
      </c>
      <c r="AA4372" s="2" t="s">
        <v>190</v>
      </c>
      <c r="AB4372" s="2" t="s">
        <v>190</v>
      </c>
      <c r="AC4372" s="2" t="s">
        <v>40</v>
      </c>
      <c r="AK4372" s="2">
        <f t="shared" si="686"/>
        <v>27.5</v>
      </c>
      <c r="AL4372" s="5">
        <f t="shared" si="690"/>
        <v>0.5</v>
      </c>
    </row>
    <row r="4373" spans="1:38" x14ac:dyDescent="0.2">
      <c r="A4373" s="2">
        <v>2026</v>
      </c>
      <c r="B4373" s="2">
        <v>7</v>
      </c>
      <c r="C4373" s="8" t="s">
        <v>3294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48</v>
      </c>
      <c r="R4373" s="15" t="s">
        <v>49</v>
      </c>
      <c r="S4373" s="13">
        <v>1</v>
      </c>
      <c r="T4373" s="14">
        <v>13</v>
      </c>
      <c r="U4373" s="2">
        <f t="shared" si="687"/>
        <v>2.99</v>
      </c>
      <c r="V4373" s="2">
        <f t="shared" si="688"/>
        <v>15.99</v>
      </c>
      <c r="W4373" s="2">
        <f>6.6267*S4373</f>
        <v>6.6266999999999996</v>
      </c>
      <c r="X4373" s="5">
        <f t="shared" si="689"/>
        <v>0.49025384615384621</v>
      </c>
      <c r="Z4373" s="2" t="s">
        <v>3226</v>
      </c>
      <c r="AA4373" s="2" t="s">
        <v>46</v>
      </c>
      <c r="AB4373" s="2" t="s">
        <v>47</v>
      </c>
      <c r="AC4373" s="2" t="s">
        <v>57</v>
      </c>
      <c r="AK4373" s="2">
        <f t="shared" si="686"/>
        <v>6.3733000000000004</v>
      </c>
      <c r="AL4373" s="5">
        <f t="shared" si="690"/>
        <v>0.49025384615384621</v>
      </c>
    </row>
    <row r="4374" spans="1:38" x14ac:dyDescent="0.2">
      <c r="A4374" s="2">
        <v>2026</v>
      </c>
      <c r="B4374" s="2">
        <v>7</v>
      </c>
      <c r="C4374" s="8" t="s">
        <v>3294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54</v>
      </c>
      <c r="R4374" s="15" t="s">
        <v>55</v>
      </c>
      <c r="S4374" s="13">
        <v>2</v>
      </c>
      <c r="T4374" s="14">
        <v>36</v>
      </c>
      <c r="U4374" s="2">
        <f t="shared" si="687"/>
        <v>8.2800000000000011</v>
      </c>
      <c r="V4374" s="2">
        <f t="shared" si="688"/>
        <v>44.28</v>
      </c>
      <c r="W4374" s="2">
        <f>10.6*S4374</f>
        <v>21.2</v>
      </c>
      <c r="X4374" s="5">
        <f t="shared" si="689"/>
        <v>0.41111111111111115</v>
      </c>
      <c r="Z4374" s="2" t="s">
        <v>3226</v>
      </c>
      <c r="AA4374" s="2" t="s">
        <v>46</v>
      </c>
      <c r="AB4374" s="2" t="s">
        <v>56</v>
      </c>
      <c r="AC4374" s="2" t="s">
        <v>57</v>
      </c>
      <c r="AK4374" s="2">
        <f t="shared" si="686"/>
        <v>14.8</v>
      </c>
      <c r="AL4374" s="5">
        <f t="shared" si="690"/>
        <v>0.41111111111111115</v>
      </c>
    </row>
    <row r="4375" spans="1:38" x14ac:dyDescent="0.2">
      <c r="A4375" s="2">
        <v>2026</v>
      </c>
      <c r="B4375" s="2">
        <v>7</v>
      </c>
      <c r="C4375" s="8" t="s">
        <v>3294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43</v>
      </c>
      <c r="Q4375" s="16" t="s">
        <v>58</v>
      </c>
      <c r="R4375" s="15" t="s">
        <v>59</v>
      </c>
      <c r="S4375" s="2">
        <v>100</v>
      </c>
      <c r="T4375" s="14">
        <v>13</v>
      </c>
      <c r="U4375" s="2">
        <f t="shared" ref="U4375:U4406" si="691">T4375*23%</f>
        <v>2.99</v>
      </c>
      <c r="V4375" s="2">
        <f t="shared" ref="V4375:V4406" si="692">T4375+U4375</f>
        <v>15.99</v>
      </c>
      <c r="W4375" s="2">
        <f>0.0914*S4375</f>
        <v>9.1399999999999988</v>
      </c>
      <c r="X4375" s="5">
        <f t="shared" si="689"/>
        <v>0.29692307692307701</v>
      </c>
      <c r="Z4375" s="2" t="s">
        <v>3226</v>
      </c>
      <c r="AA4375" s="2" t="s">
        <v>46</v>
      </c>
      <c r="AB4375" s="2" t="s">
        <v>60</v>
      </c>
      <c r="AC4375" s="2" t="s">
        <v>57</v>
      </c>
      <c r="AK4375" s="2">
        <f t="shared" si="686"/>
        <v>3.8600000000000012</v>
      </c>
      <c r="AL4375" s="5">
        <f t="shared" si="690"/>
        <v>0.29692307692307701</v>
      </c>
    </row>
    <row r="4376" spans="1:38" x14ac:dyDescent="0.2">
      <c r="A4376" s="2">
        <v>2026</v>
      </c>
      <c r="B4376" s="2">
        <v>7</v>
      </c>
      <c r="C4376" s="8" t="s">
        <v>3294</v>
      </c>
      <c r="D4376" s="15" t="s">
        <v>843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418</v>
      </c>
      <c r="K4376" s="2" t="s">
        <v>844</v>
      </c>
      <c r="L4376" s="2" t="s">
        <v>418</v>
      </c>
      <c r="M4376" s="2" t="s">
        <v>41</v>
      </c>
      <c r="P4376" s="2" t="s">
        <v>169</v>
      </c>
      <c r="Q4376" s="16" t="s">
        <v>170</v>
      </c>
      <c r="R4376" s="15" t="s">
        <v>170</v>
      </c>
      <c r="S4376" s="13">
        <v>1</v>
      </c>
      <c r="T4376" s="14">
        <v>8</v>
      </c>
      <c r="U4376" s="2">
        <f t="shared" si="691"/>
        <v>1.84</v>
      </c>
      <c r="V4376" s="2">
        <f t="shared" si="692"/>
        <v>9.84</v>
      </c>
      <c r="W4376" s="2">
        <v>6</v>
      </c>
      <c r="X4376" s="5">
        <f t="shared" si="689"/>
        <v>0.25</v>
      </c>
      <c r="Z4376" s="2" t="s">
        <v>169</v>
      </c>
      <c r="AA4376" s="2" t="s">
        <v>169</v>
      </c>
      <c r="AK4376" s="2">
        <f t="shared" si="686"/>
        <v>2</v>
      </c>
      <c r="AL4376" s="5">
        <f t="shared" si="690"/>
        <v>0.25</v>
      </c>
    </row>
    <row r="4377" spans="1:38" x14ac:dyDescent="0.2">
      <c r="A4377" s="2">
        <v>2026</v>
      </c>
      <c r="B4377" s="2">
        <v>7</v>
      </c>
      <c r="C4377" s="2" t="s">
        <v>3293</v>
      </c>
      <c r="D4377" s="15" t="s">
        <v>3338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50</v>
      </c>
      <c r="R4377" s="15" t="s">
        <v>51</v>
      </c>
      <c r="S4377" s="13">
        <v>2</v>
      </c>
      <c r="T4377" s="14">
        <v>42</v>
      </c>
      <c r="U4377" s="2">
        <f t="shared" si="691"/>
        <v>9.66</v>
      </c>
      <c r="V4377" s="2">
        <f t="shared" si="692"/>
        <v>51.66</v>
      </c>
      <c r="W4377" s="2">
        <f>14.4*S4377</f>
        <v>28.8</v>
      </c>
      <c r="X4377" s="5">
        <f t="shared" si="689"/>
        <v>0.31428571428571428</v>
      </c>
      <c r="Z4377" s="2" t="s">
        <v>3226</v>
      </c>
      <c r="AA4377" s="2" t="s">
        <v>46</v>
      </c>
      <c r="AB4377" s="2" t="s">
        <v>47</v>
      </c>
      <c r="AC4377" s="2" t="s">
        <v>57</v>
      </c>
      <c r="AK4377" s="2">
        <f t="shared" si="686"/>
        <v>13.2</v>
      </c>
      <c r="AL4377" s="5">
        <f t="shared" si="690"/>
        <v>0.31428571428571428</v>
      </c>
    </row>
    <row r="4378" spans="1:38" x14ac:dyDescent="0.2">
      <c r="A4378" s="2">
        <v>2026</v>
      </c>
      <c r="B4378" s="2">
        <v>7</v>
      </c>
      <c r="C4378" s="2" t="s">
        <v>3293</v>
      </c>
      <c r="D4378" s="15" t="s">
        <v>3338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54</v>
      </c>
      <c r="R4378" s="15" t="s">
        <v>55</v>
      </c>
      <c r="S4378" s="13">
        <v>5</v>
      </c>
      <c r="T4378" s="14">
        <v>85</v>
      </c>
      <c r="U4378" s="2">
        <f t="shared" si="691"/>
        <v>19.55</v>
      </c>
      <c r="V4378" s="2">
        <f t="shared" si="692"/>
        <v>104.55</v>
      </c>
      <c r="W4378" s="2">
        <f>10.6*S4378</f>
        <v>53</v>
      </c>
      <c r="X4378" s="5">
        <f t="shared" si="689"/>
        <v>0.37647058823529411</v>
      </c>
      <c r="Z4378" s="2" t="s">
        <v>3226</v>
      </c>
      <c r="AA4378" s="2" t="s">
        <v>46</v>
      </c>
      <c r="AB4378" s="2" t="s">
        <v>56</v>
      </c>
      <c r="AC4378" s="2" t="s">
        <v>57</v>
      </c>
      <c r="AK4378" s="2">
        <f t="shared" si="686"/>
        <v>32</v>
      </c>
      <c r="AL4378" s="5">
        <f t="shared" si="690"/>
        <v>0.37647058823529411</v>
      </c>
    </row>
    <row r="4379" spans="1:38" x14ac:dyDescent="0.2">
      <c r="A4379" s="2">
        <v>2026</v>
      </c>
      <c r="B4379" s="2">
        <v>7</v>
      </c>
      <c r="C4379" s="2" t="s">
        <v>3293</v>
      </c>
      <c r="D4379" s="15" t="s">
        <v>3338</v>
      </c>
      <c r="E4379" s="2" t="s">
        <v>108</v>
      </c>
      <c r="F4379" s="2" t="s">
        <v>39</v>
      </c>
      <c r="L4379" s="2" t="s">
        <v>99</v>
      </c>
      <c r="M4379" s="2" t="s">
        <v>80</v>
      </c>
      <c r="P4379" s="2" t="s">
        <v>43</v>
      </c>
      <c r="Q4379" s="16" t="s">
        <v>61</v>
      </c>
      <c r="R4379" s="15" t="s">
        <v>62</v>
      </c>
      <c r="S4379" s="13">
        <v>400</v>
      </c>
      <c r="T4379" s="14">
        <v>46</v>
      </c>
      <c r="U4379" s="2">
        <f t="shared" si="691"/>
        <v>10.58</v>
      </c>
      <c r="V4379" s="2">
        <f t="shared" si="692"/>
        <v>56.58</v>
      </c>
      <c r="W4379" s="2">
        <f>0.082*S4379</f>
        <v>32.800000000000004</v>
      </c>
      <c r="X4379" s="5">
        <f t="shared" si="689"/>
        <v>0.28695652173913033</v>
      </c>
      <c r="Z4379" s="2" t="s">
        <v>3226</v>
      </c>
      <c r="AA4379" s="2" t="s">
        <v>46</v>
      </c>
      <c r="AB4379" s="2" t="s">
        <v>60</v>
      </c>
      <c r="AC4379" s="2" t="s">
        <v>57</v>
      </c>
      <c r="AK4379" s="2">
        <f t="shared" si="686"/>
        <v>13.199999999999996</v>
      </c>
      <c r="AL4379" s="5">
        <f t="shared" si="690"/>
        <v>0.28695652173913033</v>
      </c>
    </row>
    <row r="4380" spans="1:38" x14ac:dyDescent="0.2">
      <c r="A4380" s="2">
        <v>2026</v>
      </c>
      <c r="B4380" s="2">
        <v>7</v>
      </c>
      <c r="D4380" s="15" t="s">
        <v>488</v>
      </c>
      <c r="E4380" s="2" t="s">
        <v>38</v>
      </c>
      <c r="F4380" s="2" t="s">
        <v>39</v>
      </c>
      <c r="G4380" s="2">
        <v>507380312</v>
      </c>
      <c r="H4380" s="2" t="s">
        <v>40</v>
      </c>
      <c r="I4380" s="2" t="s">
        <v>489</v>
      </c>
      <c r="J4380" s="2" t="s">
        <v>490</v>
      </c>
      <c r="K4380" s="2">
        <v>912293443</v>
      </c>
      <c r="L4380" s="2" t="s">
        <v>99</v>
      </c>
      <c r="M4380" s="2" t="s">
        <v>40</v>
      </c>
      <c r="P4380" s="2" t="s">
        <v>40</v>
      </c>
      <c r="Q4380" s="16" t="s">
        <v>491</v>
      </c>
      <c r="R4380" s="15" t="s">
        <v>492</v>
      </c>
      <c r="S4380" s="13">
        <v>1</v>
      </c>
      <c r="T4380" s="14">
        <v>678.91</v>
      </c>
      <c r="U4380" s="2">
        <f t="shared" si="691"/>
        <v>156.14930000000001</v>
      </c>
      <c r="V4380" s="2">
        <f t="shared" si="692"/>
        <v>835.05930000000001</v>
      </c>
      <c r="X4380" s="5">
        <f t="shared" si="689"/>
        <v>1</v>
      </c>
      <c r="Z4380" s="2" t="s">
        <v>119</v>
      </c>
      <c r="AA4380" s="2" t="s">
        <v>492</v>
      </c>
      <c r="AK4380" s="2">
        <f t="shared" si="686"/>
        <v>678.91</v>
      </c>
      <c r="AL4380" s="5">
        <f t="shared" si="690"/>
        <v>1</v>
      </c>
    </row>
    <row r="4381" spans="1:38" x14ac:dyDescent="0.2">
      <c r="A4381" s="2">
        <v>2026</v>
      </c>
      <c r="B4381" s="2">
        <v>7</v>
      </c>
      <c r="C4381" s="2" t="s">
        <v>3295</v>
      </c>
      <c r="D4381" s="15" t="s">
        <v>3339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114</v>
      </c>
      <c r="Q4381" s="16" t="s">
        <v>179</v>
      </c>
      <c r="R4381" s="15" t="s">
        <v>180</v>
      </c>
      <c r="S4381" s="13">
        <v>1</v>
      </c>
      <c r="T4381" s="14">
        <v>699.3</v>
      </c>
      <c r="U4381" s="2">
        <f t="shared" si="691"/>
        <v>160.839</v>
      </c>
      <c r="V4381" s="2">
        <f t="shared" si="692"/>
        <v>860.1389999999999</v>
      </c>
      <c r="W4381" s="2">
        <v>343.38580000000002</v>
      </c>
      <c r="X4381" s="5">
        <f t="shared" si="689"/>
        <v>0.50895781495781489</v>
      </c>
      <c r="Z4381" s="2" t="s">
        <v>117</v>
      </c>
      <c r="AA4381" s="2" t="s">
        <v>181</v>
      </c>
      <c r="AB4381" s="2" t="s">
        <v>119</v>
      </c>
      <c r="AC4381" s="2" t="s">
        <v>114</v>
      </c>
      <c r="AK4381" s="2">
        <f t="shared" si="686"/>
        <v>355.91419999999994</v>
      </c>
      <c r="AL4381" s="5">
        <f t="shared" si="690"/>
        <v>0.50895781495781489</v>
      </c>
    </row>
    <row r="4382" spans="1:38" x14ac:dyDescent="0.2">
      <c r="A4382" s="2">
        <v>2026</v>
      </c>
      <c r="B4382" s="2">
        <v>7</v>
      </c>
      <c r="C4382" s="2" t="s">
        <v>3295</v>
      </c>
      <c r="D4382" s="15" t="s">
        <v>3339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188</v>
      </c>
      <c r="R4382" s="15" t="s">
        <v>189</v>
      </c>
      <c r="S4382" s="13">
        <v>1</v>
      </c>
      <c r="T4382" s="14">
        <v>60</v>
      </c>
      <c r="U4382" s="2">
        <f t="shared" si="691"/>
        <v>13.8</v>
      </c>
      <c r="V4382" s="2">
        <f t="shared" si="692"/>
        <v>73.8</v>
      </c>
      <c r="W4382" s="2">
        <f>T4382*40%</f>
        <v>24</v>
      </c>
      <c r="X4382" s="5">
        <f t="shared" si="689"/>
        <v>0.6</v>
      </c>
      <c r="Z4382" s="2" t="s">
        <v>117</v>
      </c>
      <c r="AA4382" s="2" t="s">
        <v>190</v>
      </c>
      <c r="AB4382" s="2" t="s">
        <v>189</v>
      </c>
      <c r="AC4382" s="2" t="s">
        <v>40</v>
      </c>
      <c r="AK4382" s="2">
        <f t="shared" si="686"/>
        <v>36</v>
      </c>
      <c r="AL4382" s="5">
        <f t="shared" si="690"/>
        <v>0.6</v>
      </c>
    </row>
    <row r="4383" spans="1:38" x14ac:dyDescent="0.2">
      <c r="A4383" s="2">
        <v>2026</v>
      </c>
      <c r="B4383" s="2">
        <v>7</v>
      </c>
      <c r="C4383" s="2" t="s">
        <v>3295</v>
      </c>
      <c r="D4383" s="15" t="s">
        <v>3339</v>
      </c>
      <c r="E4383" s="2" t="s">
        <v>38</v>
      </c>
      <c r="F4383" s="2" t="s">
        <v>39</v>
      </c>
      <c r="L4383" s="2" t="s">
        <v>339</v>
      </c>
      <c r="M4383" s="2" t="s">
        <v>40</v>
      </c>
      <c r="P4383" s="2" t="s">
        <v>187</v>
      </c>
      <c r="Q4383" s="16" t="s">
        <v>191</v>
      </c>
      <c r="R4383" s="15" t="s">
        <v>190</v>
      </c>
      <c r="S4383" s="13">
        <v>1</v>
      </c>
      <c r="T4383" s="14">
        <v>55</v>
      </c>
      <c r="U4383" s="2">
        <f t="shared" si="691"/>
        <v>12.65</v>
      </c>
      <c r="V4383" s="2">
        <f t="shared" si="692"/>
        <v>67.650000000000006</v>
      </c>
      <c r="W4383" s="2">
        <f>T4383*50%</f>
        <v>27.5</v>
      </c>
      <c r="X4383" s="5">
        <f t="shared" si="689"/>
        <v>0.5</v>
      </c>
      <c r="Z4383" s="2" t="s">
        <v>117</v>
      </c>
      <c r="AA4383" s="2" t="s">
        <v>190</v>
      </c>
      <c r="AB4383" s="2" t="s">
        <v>190</v>
      </c>
      <c r="AC4383" s="2" t="s">
        <v>40</v>
      </c>
      <c r="AK4383" s="2">
        <f t="shared" si="686"/>
        <v>27.5</v>
      </c>
      <c r="AL4383" s="5">
        <f t="shared" si="690"/>
        <v>0.5</v>
      </c>
    </row>
    <row r="4384" spans="1:38" x14ac:dyDescent="0.2">
      <c r="A4384" s="2">
        <v>2026</v>
      </c>
      <c r="B4384" s="2">
        <v>7</v>
      </c>
      <c r="C4384" s="8" t="s">
        <v>3294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188</v>
      </c>
      <c r="R4384" s="15" t="s">
        <v>189</v>
      </c>
      <c r="S4384" s="13">
        <v>1</v>
      </c>
      <c r="T4384" s="14">
        <v>403</v>
      </c>
      <c r="U4384" s="2">
        <f t="shared" si="691"/>
        <v>92.69</v>
      </c>
      <c r="V4384" s="2">
        <f t="shared" si="692"/>
        <v>495.69</v>
      </c>
      <c r="W4384" s="2">
        <f>T4384*40%</f>
        <v>161.20000000000002</v>
      </c>
      <c r="X4384" s="5">
        <f t="shared" si="689"/>
        <v>0.6</v>
      </c>
      <c r="Z4384" s="2" t="s">
        <v>117</v>
      </c>
      <c r="AA4384" s="2" t="s">
        <v>190</v>
      </c>
      <c r="AB4384" s="2" t="s">
        <v>189</v>
      </c>
      <c r="AC4384" s="2" t="s">
        <v>40</v>
      </c>
      <c r="AK4384" s="2">
        <f t="shared" si="686"/>
        <v>241.79999999999998</v>
      </c>
      <c r="AL4384" s="5">
        <f t="shared" si="690"/>
        <v>0.6</v>
      </c>
    </row>
    <row r="4385" spans="1:38" x14ac:dyDescent="0.2">
      <c r="A4385" s="2">
        <v>2026</v>
      </c>
      <c r="B4385" s="2">
        <v>7</v>
      </c>
      <c r="C4385" s="8" t="s">
        <v>3294</v>
      </c>
      <c r="D4385" s="15" t="s">
        <v>2153</v>
      </c>
      <c r="E4385" s="2" t="s">
        <v>38</v>
      </c>
      <c r="F4385" s="2" t="s">
        <v>39</v>
      </c>
      <c r="L4385" s="2" t="s">
        <v>344</v>
      </c>
      <c r="M4385" s="2" t="s">
        <v>40</v>
      </c>
      <c r="P4385" s="2" t="s">
        <v>187</v>
      </c>
      <c r="Q4385" s="16" t="s">
        <v>191</v>
      </c>
      <c r="R4385" s="15" t="s">
        <v>190</v>
      </c>
      <c r="S4385" s="13">
        <v>1</v>
      </c>
      <c r="T4385" s="14">
        <v>55</v>
      </c>
      <c r="U4385" s="2">
        <f t="shared" si="691"/>
        <v>12.65</v>
      </c>
      <c r="V4385" s="2">
        <f t="shared" si="692"/>
        <v>67.650000000000006</v>
      </c>
      <c r="W4385" s="2">
        <f>T4385*50%</f>
        <v>27.5</v>
      </c>
      <c r="X4385" s="5">
        <f t="shared" si="689"/>
        <v>0.5</v>
      </c>
      <c r="Z4385" s="2" t="s">
        <v>117</v>
      </c>
      <c r="AA4385" s="2" t="s">
        <v>190</v>
      </c>
      <c r="AB4385" s="2" t="s">
        <v>190</v>
      </c>
      <c r="AC4385" s="2" t="s">
        <v>40</v>
      </c>
      <c r="AK4385" s="2">
        <f t="shared" si="686"/>
        <v>27.5</v>
      </c>
      <c r="AL4385" s="5">
        <f t="shared" si="690"/>
        <v>0.5</v>
      </c>
    </row>
    <row r="4386" spans="1:38" x14ac:dyDescent="0.2">
      <c r="A4386" s="2">
        <v>2026</v>
      </c>
      <c r="B4386" s="2">
        <v>7</v>
      </c>
      <c r="C4386" s="8" t="s">
        <v>3294</v>
      </c>
      <c r="D4386" s="15" t="s">
        <v>3108</v>
      </c>
      <c r="E4386" s="2" t="s">
        <v>38</v>
      </c>
      <c r="F4386" s="2" t="s">
        <v>39</v>
      </c>
      <c r="L4386" s="2" t="s">
        <v>99</v>
      </c>
      <c r="M4386" s="2" t="s">
        <v>40</v>
      </c>
      <c r="P4386" s="2" t="s">
        <v>114</v>
      </c>
      <c r="Q4386" s="16" t="s">
        <v>3353</v>
      </c>
      <c r="R4386" s="15" t="s">
        <v>3354</v>
      </c>
      <c r="S4386" s="13">
        <v>2</v>
      </c>
      <c r="T4386" s="14">
        <v>32.549999999999997</v>
      </c>
      <c r="U4386" s="2">
        <f t="shared" si="691"/>
        <v>7.4864999999999995</v>
      </c>
      <c r="V4386" s="2">
        <f t="shared" si="692"/>
        <v>40.036499999999997</v>
      </c>
      <c r="W4386" s="2">
        <f>(7.38+0.13)*S4386</f>
        <v>15.02</v>
      </c>
      <c r="X4386" s="5">
        <f t="shared" si="689"/>
        <v>0.53855606758832564</v>
      </c>
      <c r="Z4386" s="2" t="s">
        <v>117</v>
      </c>
      <c r="AA4386" s="2" t="s">
        <v>118</v>
      </c>
      <c r="AB4386" s="2" t="s">
        <v>119</v>
      </c>
      <c r="AC4386" s="2" t="s">
        <v>114</v>
      </c>
      <c r="AK4386" s="2">
        <f t="shared" si="686"/>
        <v>17.529999999999998</v>
      </c>
      <c r="AL4386" s="5">
        <f t="shared" si="690"/>
        <v>0.53855606758832564</v>
      </c>
    </row>
    <row r="4387" spans="1:38" x14ac:dyDescent="0.2">
      <c r="A4387" s="2">
        <v>2026</v>
      </c>
      <c r="B4387" s="2">
        <v>7</v>
      </c>
      <c r="C4387" s="2" t="s">
        <v>3295</v>
      </c>
      <c r="D4387" s="15" t="s">
        <v>2904</v>
      </c>
      <c r="E4387" s="2" t="s">
        <v>38</v>
      </c>
      <c r="F4387" s="2" t="s">
        <v>3444</v>
      </c>
      <c r="L4387" s="2" t="s">
        <v>99</v>
      </c>
      <c r="M4387" s="2" t="s">
        <v>80</v>
      </c>
      <c r="P4387" s="2" t="s">
        <v>282</v>
      </c>
      <c r="Q4387" s="16" t="s">
        <v>399</v>
      </c>
      <c r="R4387" s="15" t="s">
        <v>400</v>
      </c>
      <c r="S4387" s="13">
        <v>1</v>
      </c>
      <c r="T4387" s="14">
        <v>29</v>
      </c>
      <c r="U4387" s="2">
        <f t="shared" si="691"/>
        <v>6.67</v>
      </c>
      <c r="V4387" s="2">
        <f t="shared" si="692"/>
        <v>35.67</v>
      </c>
      <c r="W4387" s="2">
        <f>14.5099*S4387</f>
        <v>14.5099</v>
      </c>
      <c r="X4387" s="5">
        <f t="shared" si="689"/>
        <v>0.49965862068965516</v>
      </c>
      <c r="Z4387" s="2" t="s">
        <v>3226</v>
      </c>
      <c r="AA4387" s="2" t="s">
        <v>46</v>
      </c>
      <c r="AB4387" s="2" t="s">
        <v>60</v>
      </c>
      <c r="AC4387" s="2" t="s">
        <v>3331</v>
      </c>
      <c r="AK4387" s="2">
        <f t="shared" si="686"/>
        <v>14.4901</v>
      </c>
      <c r="AL4387" s="5">
        <f t="shared" si="690"/>
        <v>0.49965862068965516</v>
      </c>
    </row>
    <row r="4388" spans="1:38" x14ac:dyDescent="0.2">
      <c r="A4388" s="2">
        <v>2026</v>
      </c>
      <c r="B4388" s="2">
        <v>7</v>
      </c>
      <c r="C4388" s="8" t="s">
        <v>3294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72</v>
      </c>
      <c r="Q4388" s="16" t="s">
        <v>3355</v>
      </c>
      <c r="R4388" s="15" t="s">
        <v>79</v>
      </c>
      <c r="S4388" s="13">
        <v>1</v>
      </c>
      <c r="T4388" s="14">
        <v>220</v>
      </c>
      <c r="U4388" s="2">
        <f t="shared" si="691"/>
        <v>50.6</v>
      </c>
      <c r="V4388" s="2">
        <f t="shared" si="692"/>
        <v>270.60000000000002</v>
      </c>
      <c r="W4388" s="2">
        <v>125.15</v>
      </c>
      <c r="X4388" s="5">
        <f t="shared" si="689"/>
        <v>0.4311363636363636</v>
      </c>
      <c r="Z4388" s="2" t="s">
        <v>3226</v>
      </c>
      <c r="AA4388" s="2" t="s">
        <v>75</v>
      </c>
      <c r="AB4388" s="2" t="s">
        <v>76</v>
      </c>
      <c r="AC4388" s="2" t="s">
        <v>77</v>
      </c>
      <c r="AK4388" s="2">
        <f t="shared" si="686"/>
        <v>94.85</v>
      </c>
      <c r="AL4388" s="5">
        <f t="shared" si="690"/>
        <v>0.4311363636363636</v>
      </c>
    </row>
    <row r="4389" spans="1:38" x14ac:dyDescent="0.2">
      <c r="A4389" s="2">
        <v>2026</v>
      </c>
      <c r="B4389" s="2">
        <v>7</v>
      </c>
      <c r="C4389" s="8" t="s">
        <v>3294</v>
      </c>
      <c r="D4389" s="15" t="s">
        <v>1073</v>
      </c>
      <c r="E4389" s="2" t="s">
        <v>108</v>
      </c>
      <c r="F4389" s="2" t="s">
        <v>39</v>
      </c>
      <c r="L4389" s="2" t="s">
        <v>461</v>
      </c>
      <c r="M4389" s="2" t="s">
        <v>41</v>
      </c>
      <c r="P4389" s="2" t="s">
        <v>93</v>
      </c>
      <c r="Q4389" s="16" t="s">
        <v>94</v>
      </c>
      <c r="R4389" s="15" t="s">
        <v>95</v>
      </c>
      <c r="S4389" s="13">
        <v>1</v>
      </c>
      <c r="T4389" s="14">
        <v>1.48</v>
      </c>
      <c r="U4389" s="2">
        <f t="shared" si="691"/>
        <v>0.34040000000000004</v>
      </c>
      <c r="V4389" s="2">
        <f t="shared" si="692"/>
        <v>1.8204</v>
      </c>
      <c r="W4389" s="2">
        <v>1.48</v>
      </c>
      <c r="X4389" s="5">
        <f t="shared" si="689"/>
        <v>0</v>
      </c>
      <c r="Z4389" s="2" t="s">
        <v>3226</v>
      </c>
      <c r="AA4389" s="2" t="s">
        <v>96</v>
      </c>
      <c r="AB4389" s="2" t="s">
        <v>76</v>
      </c>
      <c r="AC4389" s="2" t="s">
        <v>93</v>
      </c>
      <c r="AK4389" s="2">
        <f t="shared" si="686"/>
        <v>0</v>
      </c>
      <c r="AL4389" s="5">
        <f t="shared" si="690"/>
        <v>0</v>
      </c>
    </row>
    <row r="4390" spans="1:38" x14ac:dyDescent="0.2">
      <c r="A4390" s="2">
        <v>2026</v>
      </c>
      <c r="B4390" s="2">
        <v>7</v>
      </c>
      <c r="C4390" s="8" t="s">
        <v>3294</v>
      </c>
      <c r="D4390" s="15" t="s">
        <v>3340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188</v>
      </c>
      <c r="R4390" s="15" t="s">
        <v>189</v>
      </c>
      <c r="S4390" s="13">
        <v>1</v>
      </c>
      <c r="T4390" s="14">
        <v>296</v>
      </c>
      <c r="U4390" s="2">
        <f t="shared" si="691"/>
        <v>68.08</v>
      </c>
      <c r="V4390" s="2">
        <f t="shared" si="692"/>
        <v>364.08</v>
      </c>
      <c r="W4390" s="2">
        <f>T4390*40%</f>
        <v>118.4</v>
      </c>
      <c r="X4390" s="5">
        <f t="shared" si="689"/>
        <v>0.6</v>
      </c>
      <c r="Z4390" s="2" t="s">
        <v>117</v>
      </c>
      <c r="AA4390" s="2" t="s">
        <v>190</v>
      </c>
      <c r="AB4390" s="2" t="s">
        <v>189</v>
      </c>
      <c r="AC4390" s="2" t="s">
        <v>40</v>
      </c>
      <c r="AK4390" s="2">
        <f t="shared" si="686"/>
        <v>177.6</v>
      </c>
      <c r="AL4390" s="5">
        <f t="shared" si="690"/>
        <v>0.6</v>
      </c>
    </row>
    <row r="4391" spans="1:38" x14ac:dyDescent="0.2">
      <c r="A4391" s="2">
        <v>2026</v>
      </c>
      <c r="B4391" s="2">
        <v>7</v>
      </c>
      <c r="C4391" s="8" t="s">
        <v>3294</v>
      </c>
      <c r="D4391" s="15" t="s">
        <v>3340</v>
      </c>
      <c r="E4391" s="2" t="s">
        <v>38</v>
      </c>
      <c r="F4391" s="2" t="s">
        <v>39</v>
      </c>
      <c r="L4391" s="2" t="s">
        <v>360</v>
      </c>
      <c r="M4391" s="2" t="s">
        <v>40</v>
      </c>
      <c r="P4391" s="2" t="s">
        <v>187</v>
      </c>
      <c r="Q4391" s="16" t="s">
        <v>191</v>
      </c>
      <c r="R4391" s="15" t="s">
        <v>190</v>
      </c>
      <c r="S4391" s="13">
        <v>1</v>
      </c>
      <c r="T4391" s="14">
        <v>55</v>
      </c>
      <c r="U4391" s="2">
        <f t="shared" si="691"/>
        <v>12.65</v>
      </c>
      <c r="V4391" s="2">
        <f t="shared" si="692"/>
        <v>67.650000000000006</v>
      </c>
      <c r="W4391" s="2">
        <f>T4391*50%</f>
        <v>27.5</v>
      </c>
      <c r="X4391" s="5">
        <f t="shared" ref="X4391:X4422" si="693">(T4391-W4391)/T4391</f>
        <v>0.5</v>
      </c>
      <c r="Z4391" s="2" t="s">
        <v>117</v>
      </c>
      <c r="AA4391" s="2" t="s">
        <v>190</v>
      </c>
      <c r="AB4391" s="2" t="s">
        <v>190</v>
      </c>
      <c r="AC4391" s="2" t="s">
        <v>40</v>
      </c>
      <c r="AK4391" s="2">
        <f t="shared" si="686"/>
        <v>27.5</v>
      </c>
      <c r="AL4391" s="5">
        <f t="shared" ref="AL4391:AL4422" si="694">(T4391-W4391)/T4391</f>
        <v>0.5</v>
      </c>
    </row>
    <row r="4392" spans="1:38" x14ac:dyDescent="0.2">
      <c r="A4392" s="2">
        <v>2026</v>
      </c>
      <c r="B4392" s="2">
        <v>7</v>
      </c>
      <c r="C4392" s="2" t="s">
        <v>3295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72</v>
      </c>
      <c r="Q4392" s="16" t="s">
        <v>73</v>
      </c>
      <c r="R4392" s="15" t="s">
        <v>74</v>
      </c>
      <c r="S4392" s="13">
        <v>1</v>
      </c>
      <c r="T4392" s="14">
        <v>225</v>
      </c>
      <c r="U4392" s="2">
        <f t="shared" si="691"/>
        <v>51.75</v>
      </c>
      <c r="V4392" s="2">
        <f t="shared" si="692"/>
        <v>276.75</v>
      </c>
      <c r="W4392" s="2">
        <v>125.51600000000001</v>
      </c>
      <c r="X4392" s="5">
        <f t="shared" si="693"/>
        <v>0.44215111111111111</v>
      </c>
      <c r="Z4392" s="2" t="s">
        <v>3226</v>
      </c>
      <c r="AA4392" s="2" t="s">
        <v>75</v>
      </c>
      <c r="AB4392" s="2" t="s">
        <v>76</v>
      </c>
      <c r="AC4392" s="2" t="s">
        <v>77</v>
      </c>
      <c r="AK4392" s="2">
        <f t="shared" si="686"/>
        <v>99.483999999999995</v>
      </c>
      <c r="AL4392" s="5">
        <f t="shared" si="694"/>
        <v>0.44215111111111111</v>
      </c>
    </row>
    <row r="4393" spans="1:38" x14ac:dyDescent="0.2">
      <c r="A4393" s="2">
        <v>2026</v>
      </c>
      <c r="B4393" s="2">
        <v>7</v>
      </c>
      <c r="C4393" s="2" t="s">
        <v>3295</v>
      </c>
      <c r="D4393" s="15" t="s">
        <v>2521</v>
      </c>
      <c r="E4393" s="2" t="s">
        <v>38</v>
      </c>
      <c r="F4393" s="2" t="s">
        <v>39</v>
      </c>
      <c r="L4393" s="2" t="s">
        <v>461</v>
      </c>
      <c r="M4393" s="2" t="s">
        <v>80</v>
      </c>
      <c r="P4393" s="2" t="s">
        <v>93</v>
      </c>
      <c r="Q4393" s="16" t="s">
        <v>94</v>
      </c>
      <c r="R4393" s="15" t="s">
        <v>95</v>
      </c>
      <c r="S4393" s="13">
        <v>1</v>
      </c>
      <c r="T4393" s="14">
        <v>1.48</v>
      </c>
      <c r="U4393" s="2">
        <f t="shared" si="691"/>
        <v>0.34040000000000004</v>
      </c>
      <c r="V4393" s="2">
        <f t="shared" si="692"/>
        <v>1.8204</v>
      </c>
      <c r="W4393" s="2">
        <v>1.48</v>
      </c>
      <c r="X4393" s="5">
        <f t="shared" si="693"/>
        <v>0</v>
      </c>
      <c r="Z4393" s="2" t="s">
        <v>3226</v>
      </c>
      <c r="AA4393" s="2" t="s">
        <v>96</v>
      </c>
      <c r="AB4393" s="2" t="s">
        <v>76</v>
      </c>
      <c r="AC4393" s="2" t="s">
        <v>93</v>
      </c>
      <c r="AK4393" s="2">
        <f t="shared" si="686"/>
        <v>0</v>
      </c>
      <c r="AL4393" s="5">
        <f t="shared" si="694"/>
        <v>0</v>
      </c>
    </row>
    <row r="4394" spans="1:38" x14ac:dyDescent="0.2">
      <c r="A4394" s="2">
        <v>2026</v>
      </c>
      <c r="B4394" s="2">
        <v>7</v>
      </c>
      <c r="C4394" s="8" t="s">
        <v>3294</v>
      </c>
      <c r="D4394" s="15" t="s">
        <v>3341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72</v>
      </c>
      <c r="Q4394" s="16" t="s">
        <v>3356</v>
      </c>
      <c r="R4394" s="15" t="s">
        <v>197</v>
      </c>
      <c r="S4394" s="13">
        <v>1</v>
      </c>
      <c r="T4394" s="14">
        <v>375</v>
      </c>
      <c r="U4394" s="2">
        <f t="shared" si="691"/>
        <v>86.25</v>
      </c>
      <c r="V4394" s="2">
        <f t="shared" si="692"/>
        <v>461.25</v>
      </c>
      <c r="W4394" s="2">
        <v>227.14</v>
      </c>
      <c r="X4394" s="5">
        <f t="shared" si="693"/>
        <v>0.39429333333333338</v>
      </c>
      <c r="Z4394" s="2" t="s">
        <v>3226</v>
      </c>
      <c r="AA4394" s="2" t="s">
        <v>75</v>
      </c>
      <c r="AB4394" s="2" t="s">
        <v>76</v>
      </c>
      <c r="AC4394" s="2" t="s">
        <v>77</v>
      </c>
      <c r="AK4394" s="2">
        <f t="shared" si="686"/>
        <v>147.86000000000001</v>
      </c>
      <c r="AL4394" s="5">
        <f t="shared" si="694"/>
        <v>0.39429333333333338</v>
      </c>
    </row>
    <row r="4395" spans="1:38" x14ac:dyDescent="0.2">
      <c r="A4395" s="2">
        <v>2026</v>
      </c>
      <c r="B4395" s="2">
        <v>7</v>
      </c>
      <c r="C4395" s="8" t="s">
        <v>3294</v>
      </c>
      <c r="D4395" s="15" t="s">
        <v>3341</v>
      </c>
      <c r="E4395" s="2" t="s">
        <v>38</v>
      </c>
      <c r="F4395" s="2" t="s">
        <v>39</v>
      </c>
      <c r="L4395" s="2" t="s">
        <v>99</v>
      </c>
      <c r="M4395" s="2" t="s">
        <v>80</v>
      </c>
      <c r="P4395" s="2" t="s">
        <v>93</v>
      </c>
      <c r="Q4395" s="16" t="s">
        <v>94</v>
      </c>
      <c r="R4395" s="15" t="s">
        <v>95</v>
      </c>
      <c r="S4395" s="13">
        <v>1</v>
      </c>
      <c r="T4395" s="14">
        <v>1.48</v>
      </c>
      <c r="U4395" s="2">
        <f t="shared" si="691"/>
        <v>0.34040000000000004</v>
      </c>
      <c r="V4395" s="2">
        <f t="shared" si="692"/>
        <v>1.8204</v>
      </c>
      <c r="W4395" s="2">
        <v>1.48</v>
      </c>
      <c r="X4395" s="5">
        <f t="shared" si="693"/>
        <v>0</v>
      </c>
      <c r="Z4395" s="2" t="s">
        <v>3226</v>
      </c>
      <c r="AA4395" s="2" t="s">
        <v>96</v>
      </c>
      <c r="AB4395" s="2" t="s">
        <v>76</v>
      </c>
      <c r="AC4395" s="2" t="s">
        <v>93</v>
      </c>
      <c r="AK4395" s="2">
        <f t="shared" si="686"/>
        <v>0</v>
      </c>
      <c r="AL4395" s="5">
        <f t="shared" si="694"/>
        <v>0</v>
      </c>
    </row>
    <row r="4396" spans="1:38" x14ac:dyDescent="0.2">
      <c r="A4396" s="2">
        <v>2026</v>
      </c>
      <c r="B4396" s="2">
        <v>7</v>
      </c>
      <c r="C4396" s="2" t="s">
        <v>3295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72</v>
      </c>
      <c r="Q4396" s="16" t="s">
        <v>832</v>
      </c>
      <c r="R4396" s="15" t="s">
        <v>74</v>
      </c>
      <c r="S4396" s="13">
        <v>1</v>
      </c>
      <c r="T4396" s="14">
        <v>225</v>
      </c>
      <c r="U4396" s="2">
        <f t="shared" si="691"/>
        <v>51.75</v>
      </c>
      <c r="V4396" s="2">
        <f t="shared" si="692"/>
        <v>276.75</v>
      </c>
      <c r="W4396" s="2">
        <v>132.35499999999999</v>
      </c>
      <c r="X4396" s="5">
        <f t="shared" si="693"/>
        <v>0.4117555555555556</v>
      </c>
      <c r="Z4396" s="2" t="s">
        <v>3226</v>
      </c>
      <c r="AA4396" s="2" t="s">
        <v>75</v>
      </c>
      <c r="AB4396" s="2" t="s">
        <v>76</v>
      </c>
      <c r="AC4396" s="2" t="s">
        <v>77</v>
      </c>
      <c r="AK4396" s="2">
        <f t="shared" si="686"/>
        <v>92.64500000000001</v>
      </c>
      <c r="AL4396" s="5">
        <f t="shared" si="694"/>
        <v>0.4117555555555556</v>
      </c>
    </row>
    <row r="4397" spans="1:38" x14ac:dyDescent="0.2">
      <c r="A4397" s="2">
        <v>2026</v>
      </c>
      <c r="B4397" s="2">
        <v>7</v>
      </c>
      <c r="C4397" s="2" t="s">
        <v>3295</v>
      </c>
      <c r="D4397" s="15" t="s">
        <v>2559</v>
      </c>
      <c r="E4397" s="2" t="s">
        <v>108</v>
      </c>
      <c r="F4397" s="2" t="s">
        <v>39</v>
      </c>
      <c r="L4397" s="2" t="s">
        <v>99</v>
      </c>
      <c r="M4397" s="2" t="s">
        <v>80</v>
      </c>
      <c r="P4397" s="2" t="s">
        <v>93</v>
      </c>
      <c r="Q4397" s="16" t="s">
        <v>94</v>
      </c>
      <c r="R4397" s="15" t="s">
        <v>95</v>
      </c>
      <c r="S4397" s="13">
        <v>1</v>
      </c>
      <c r="T4397" s="14">
        <v>1.48</v>
      </c>
      <c r="U4397" s="2">
        <f t="shared" si="691"/>
        <v>0.34040000000000004</v>
      </c>
      <c r="V4397" s="2">
        <f t="shared" si="692"/>
        <v>1.8204</v>
      </c>
      <c r="W4397" s="2">
        <v>1.48</v>
      </c>
      <c r="X4397" s="5">
        <f t="shared" si="693"/>
        <v>0</v>
      </c>
      <c r="Z4397" s="2" t="s">
        <v>3226</v>
      </c>
      <c r="AA4397" s="2" t="s">
        <v>96</v>
      </c>
      <c r="AB4397" s="2" t="s">
        <v>76</v>
      </c>
      <c r="AC4397" s="2" t="s">
        <v>93</v>
      </c>
      <c r="AK4397" s="2">
        <f t="shared" si="686"/>
        <v>0</v>
      </c>
      <c r="AL4397" s="5">
        <f t="shared" si="694"/>
        <v>0</v>
      </c>
    </row>
    <row r="4398" spans="1:38" x14ac:dyDescent="0.2">
      <c r="A4398" s="2">
        <v>2026</v>
      </c>
      <c r="B4398" s="2">
        <v>7</v>
      </c>
      <c r="C4398" s="2" t="s">
        <v>3295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63</v>
      </c>
      <c r="R4398" s="15" t="s">
        <v>64</v>
      </c>
      <c r="S4398" s="13">
        <v>20</v>
      </c>
      <c r="T4398" s="14">
        <v>36</v>
      </c>
      <c r="U4398" s="2">
        <f t="shared" si="691"/>
        <v>8.2800000000000011</v>
      </c>
      <c r="V4398" s="2">
        <f t="shared" si="692"/>
        <v>44.28</v>
      </c>
      <c r="W4398" s="2">
        <f>0.8561*S4398</f>
        <v>17.122</v>
      </c>
      <c r="X4398" s="5">
        <f t="shared" si="693"/>
        <v>0.5243888888888889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686"/>
        <v>18.878</v>
      </c>
      <c r="AL4398" s="5">
        <f t="shared" si="694"/>
        <v>0.5243888888888889</v>
      </c>
    </row>
    <row r="4399" spans="1:38" x14ac:dyDescent="0.2">
      <c r="A4399" s="2">
        <v>2026</v>
      </c>
      <c r="B4399" s="2">
        <v>7</v>
      </c>
      <c r="C4399" s="2" t="s">
        <v>3295</v>
      </c>
      <c r="D4399" s="15" t="s">
        <v>574</v>
      </c>
      <c r="E4399" s="2" t="s">
        <v>38</v>
      </c>
      <c r="F4399" s="2" t="s">
        <v>39</v>
      </c>
      <c r="G4399" s="2">
        <v>504811029</v>
      </c>
      <c r="H4399" s="2" t="s">
        <v>41</v>
      </c>
      <c r="I4399" s="2" t="s">
        <v>177</v>
      </c>
      <c r="J4399" s="2" t="s">
        <v>575</v>
      </c>
      <c r="L4399" s="2" t="s">
        <v>177</v>
      </c>
      <c r="M4399" s="2" t="s">
        <v>41</v>
      </c>
      <c r="P4399" s="2" t="s">
        <v>43</v>
      </c>
      <c r="Q4399" s="16" t="s">
        <v>579</v>
      </c>
      <c r="R4399" s="15" t="s">
        <v>580</v>
      </c>
      <c r="S4399" s="13">
        <v>20</v>
      </c>
      <c r="T4399" s="14">
        <v>60</v>
      </c>
      <c r="U4399" s="2">
        <f t="shared" si="691"/>
        <v>13.8</v>
      </c>
      <c r="V4399" s="2">
        <f t="shared" si="692"/>
        <v>73.8</v>
      </c>
      <c r="W4399" s="2">
        <f>1.4114*S4399</f>
        <v>28.228000000000002</v>
      </c>
      <c r="X4399" s="5">
        <f t="shared" si="693"/>
        <v>0.5295333333333333</v>
      </c>
      <c r="Z4399" s="2" t="s">
        <v>3226</v>
      </c>
      <c r="AA4399" s="2" t="s">
        <v>46</v>
      </c>
      <c r="AB4399" s="2" t="s">
        <v>60</v>
      </c>
      <c r="AC4399" s="2" t="s">
        <v>57</v>
      </c>
      <c r="AK4399" s="2">
        <f t="shared" si="686"/>
        <v>31.771999999999998</v>
      </c>
      <c r="AL4399" s="5">
        <f t="shared" si="694"/>
        <v>0.5295333333333333</v>
      </c>
    </row>
    <row r="4400" spans="1:38" x14ac:dyDescent="0.2">
      <c r="A4400" s="2">
        <v>2026</v>
      </c>
      <c r="B4400" s="2">
        <v>7</v>
      </c>
      <c r="C4400" s="2" t="s">
        <v>3294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3357</v>
      </c>
      <c r="R4400" s="15" t="s">
        <v>1100</v>
      </c>
      <c r="S4400" s="13">
        <v>1</v>
      </c>
      <c r="T4400" s="14">
        <v>187.92</v>
      </c>
      <c r="U4400" s="2">
        <f t="shared" si="691"/>
        <v>43.221600000000002</v>
      </c>
      <c r="V4400" s="2">
        <f t="shared" si="692"/>
        <v>231.14159999999998</v>
      </c>
      <c r="W4400" s="2">
        <v>49.96</v>
      </c>
      <c r="X4400" s="5">
        <f t="shared" si="693"/>
        <v>0.73414218816517662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686"/>
        <v>137.95999999999998</v>
      </c>
      <c r="AL4400" s="5">
        <f t="shared" si="694"/>
        <v>0.73414218816517662</v>
      </c>
    </row>
    <row r="4401" spans="1:38" x14ac:dyDescent="0.2">
      <c r="A4401" s="2">
        <v>2026</v>
      </c>
      <c r="B4401" s="2">
        <v>7</v>
      </c>
      <c r="C4401" s="2" t="s">
        <v>3294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114</v>
      </c>
      <c r="Q4401" s="16" t="s">
        <v>793</v>
      </c>
      <c r="R4401" s="15" t="s">
        <v>794</v>
      </c>
      <c r="S4401" s="13">
        <v>1</v>
      </c>
      <c r="T4401" s="14">
        <v>539.16999999999996</v>
      </c>
      <c r="U4401" s="2">
        <f t="shared" si="691"/>
        <v>124.00909999999999</v>
      </c>
      <c r="V4401" s="2">
        <f t="shared" si="692"/>
        <v>663.17909999999995</v>
      </c>
      <c r="W4401" s="2">
        <v>257.3</v>
      </c>
      <c r="X4401" s="5">
        <f t="shared" si="693"/>
        <v>0.52278502142181493</v>
      </c>
      <c r="Z4401" s="2" t="s">
        <v>117</v>
      </c>
      <c r="AA4401" s="2" t="s">
        <v>118</v>
      </c>
      <c r="AB4401" s="2" t="s">
        <v>119</v>
      </c>
      <c r="AC4401" s="2" t="s">
        <v>114</v>
      </c>
      <c r="AK4401" s="2">
        <f t="shared" si="686"/>
        <v>281.86999999999995</v>
      </c>
      <c r="AL4401" s="5">
        <f t="shared" si="694"/>
        <v>0.52278502142181493</v>
      </c>
    </row>
    <row r="4402" spans="1:38" x14ac:dyDescent="0.2">
      <c r="A4402" s="2">
        <v>2026</v>
      </c>
      <c r="B4402" s="2">
        <v>7</v>
      </c>
      <c r="C4402" s="2" t="s">
        <v>3294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188</v>
      </c>
      <c r="R4402" s="15" t="s">
        <v>189</v>
      </c>
      <c r="S4402" s="13">
        <v>1</v>
      </c>
      <c r="T4402" s="14">
        <v>149</v>
      </c>
      <c r="U4402" s="2">
        <f t="shared" si="691"/>
        <v>34.270000000000003</v>
      </c>
      <c r="V4402" s="2">
        <f t="shared" si="692"/>
        <v>183.27</v>
      </c>
      <c r="W4402" s="2">
        <f>T4402*40%</f>
        <v>59.6</v>
      </c>
      <c r="X4402" s="5">
        <f t="shared" si="693"/>
        <v>0.60000000000000009</v>
      </c>
      <c r="Z4402" s="2" t="s">
        <v>117</v>
      </c>
      <c r="AA4402" s="2" t="s">
        <v>190</v>
      </c>
      <c r="AB4402" s="2" t="s">
        <v>189</v>
      </c>
      <c r="AC4402" s="2" t="s">
        <v>40</v>
      </c>
      <c r="AK4402" s="2">
        <f t="shared" si="686"/>
        <v>89.4</v>
      </c>
      <c r="AL4402" s="5">
        <f t="shared" si="694"/>
        <v>0.60000000000000009</v>
      </c>
    </row>
    <row r="4403" spans="1:38" x14ac:dyDescent="0.2">
      <c r="A4403" s="2">
        <v>2026</v>
      </c>
      <c r="B4403" s="2">
        <v>7</v>
      </c>
      <c r="C4403" s="2" t="s">
        <v>3294</v>
      </c>
      <c r="D4403" s="15" t="s">
        <v>2276</v>
      </c>
      <c r="E4403" s="2" t="s">
        <v>38</v>
      </c>
      <c r="F4403" s="2" t="s">
        <v>39</v>
      </c>
      <c r="L4403" s="2" t="s">
        <v>461</v>
      </c>
      <c r="M4403" s="2" t="s">
        <v>40</v>
      </c>
      <c r="P4403" s="2" t="s">
        <v>187</v>
      </c>
      <c r="Q4403" s="16" t="s">
        <v>191</v>
      </c>
      <c r="R4403" s="15" t="s">
        <v>190</v>
      </c>
      <c r="S4403" s="13">
        <v>2</v>
      </c>
      <c r="T4403" s="14">
        <v>110</v>
      </c>
      <c r="U4403" s="2">
        <f t="shared" si="691"/>
        <v>25.3</v>
      </c>
      <c r="V4403" s="2">
        <f t="shared" si="692"/>
        <v>135.30000000000001</v>
      </c>
      <c r="W4403" s="2">
        <f>T4403*50%</f>
        <v>55</v>
      </c>
      <c r="X4403" s="5">
        <f t="shared" si="693"/>
        <v>0.5</v>
      </c>
      <c r="Z4403" s="2" t="s">
        <v>117</v>
      </c>
      <c r="AA4403" s="2" t="s">
        <v>190</v>
      </c>
      <c r="AB4403" s="2" t="s">
        <v>190</v>
      </c>
      <c r="AC4403" s="2" t="s">
        <v>40</v>
      </c>
      <c r="AK4403" s="2">
        <f t="shared" si="686"/>
        <v>55</v>
      </c>
      <c r="AL4403" s="5">
        <f t="shared" si="694"/>
        <v>0.5</v>
      </c>
    </row>
    <row r="4404" spans="1:38" ht="22.5" x14ac:dyDescent="0.2">
      <c r="A4404" s="2">
        <v>2026</v>
      </c>
      <c r="B4404" s="2">
        <v>7</v>
      </c>
      <c r="C4404" s="2" t="s">
        <v>3295</v>
      </c>
      <c r="D4404" s="15" t="s">
        <v>582</v>
      </c>
      <c r="E4404" s="2" t="s">
        <v>108</v>
      </c>
      <c r="F4404" s="2" t="s">
        <v>39</v>
      </c>
      <c r="G4404" s="2">
        <v>503850276</v>
      </c>
      <c r="H4404" s="2" t="s">
        <v>40</v>
      </c>
      <c r="I4404" s="2" t="s">
        <v>583</v>
      </c>
      <c r="J4404" s="2" t="s">
        <v>584</v>
      </c>
      <c r="L4404" s="2" t="s">
        <v>201</v>
      </c>
      <c r="M4404" s="2" t="s">
        <v>40</v>
      </c>
      <c r="P4404" s="2" t="s">
        <v>698</v>
      </c>
      <c r="Q4404" s="16" t="s">
        <v>3358</v>
      </c>
      <c r="R4404" s="15" t="s">
        <v>3359</v>
      </c>
      <c r="S4404" s="13">
        <v>8</v>
      </c>
      <c r="T4404" s="14">
        <v>100.8</v>
      </c>
      <c r="U4404" s="2">
        <f t="shared" si="691"/>
        <v>23.184000000000001</v>
      </c>
      <c r="V4404" s="2">
        <f t="shared" si="692"/>
        <v>123.98399999999999</v>
      </c>
      <c r="W4404" s="2">
        <f>3*S4404</f>
        <v>24</v>
      </c>
      <c r="X4404" s="5">
        <f t="shared" si="693"/>
        <v>0.76190476190476186</v>
      </c>
      <c r="Z4404" s="2" t="s">
        <v>117</v>
      </c>
      <c r="AA4404" s="2" t="s">
        <v>118</v>
      </c>
      <c r="AB4404" s="2" t="s">
        <v>119</v>
      </c>
      <c r="AC4404" s="2" t="s">
        <v>698</v>
      </c>
      <c r="AK4404" s="2">
        <f t="shared" si="686"/>
        <v>76.8</v>
      </c>
      <c r="AL4404" s="5">
        <f t="shared" si="694"/>
        <v>0.76190476190476186</v>
      </c>
    </row>
    <row r="4405" spans="1:38" x14ac:dyDescent="0.2">
      <c r="A4405" s="2">
        <v>2026</v>
      </c>
      <c r="B4405" s="2">
        <v>7</v>
      </c>
      <c r="C4405" s="2" t="s">
        <v>3295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40</v>
      </c>
      <c r="P4405" s="2" t="s">
        <v>114</v>
      </c>
      <c r="Q4405" s="16" t="s">
        <v>373</v>
      </c>
      <c r="R4405" s="15" t="s">
        <v>374</v>
      </c>
      <c r="S4405" s="13">
        <v>1</v>
      </c>
      <c r="T4405" s="14">
        <v>48.95</v>
      </c>
      <c r="U4405" s="2">
        <f t="shared" si="691"/>
        <v>11.258500000000002</v>
      </c>
      <c r="V4405" s="2">
        <f t="shared" si="692"/>
        <v>60.208500000000001</v>
      </c>
      <c r="W4405" s="2">
        <f>23.042*S4405</f>
        <v>23.042000000000002</v>
      </c>
      <c r="X4405" s="5">
        <f t="shared" si="693"/>
        <v>0.52927477017364655</v>
      </c>
      <c r="Z4405" s="2" t="s">
        <v>117</v>
      </c>
      <c r="AA4405" s="2" t="s">
        <v>118</v>
      </c>
      <c r="AB4405" s="2" t="s">
        <v>119</v>
      </c>
      <c r="AC4405" s="2" t="s">
        <v>114</v>
      </c>
      <c r="AK4405" s="2">
        <f t="shared" ref="AK4405:AK4468" si="695">T4405-W4405</f>
        <v>25.908000000000001</v>
      </c>
      <c r="AL4405" s="5">
        <f t="shared" si="694"/>
        <v>0.52927477017364655</v>
      </c>
    </row>
    <row r="4406" spans="1:38" x14ac:dyDescent="0.2">
      <c r="A4406" s="2">
        <v>2026</v>
      </c>
      <c r="B4406" s="2">
        <v>7</v>
      </c>
      <c r="C4406" s="2" t="s">
        <v>3295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48</v>
      </c>
      <c r="R4406" s="15" t="s">
        <v>49</v>
      </c>
      <c r="S4406" s="13">
        <v>3</v>
      </c>
      <c r="T4406" s="14">
        <v>39</v>
      </c>
      <c r="U4406" s="2">
        <f t="shared" si="691"/>
        <v>8.9700000000000006</v>
      </c>
      <c r="V4406" s="2">
        <f t="shared" si="692"/>
        <v>47.97</v>
      </c>
      <c r="W4406" s="2">
        <f>6.6267*S4406</f>
        <v>19.880099999999999</v>
      </c>
      <c r="X4406" s="5">
        <f t="shared" si="693"/>
        <v>0.49025384615384621</v>
      </c>
      <c r="Z4406" s="2" t="s">
        <v>3226</v>
      </c>
      <c r="AA4406" s="2" t="s">
        <v>46</v>
      </c>
      <c r="AB4406" s="2" t="s">
        <v>47</v>
      </c>
      <c r="AC4406" s="2" t="s">
        <v>57</v>
      </c>
      <c r="AK4406" s="2">
        <f t="shared" si="695"/>
        <v>19.119900000000001</v>
      </c>
      <c r="AL4406" s="5">
        <f t="shared" si="694"/>
        <v>0.49025384615384621</v>
      </c>
    </row>
    <row r="4407" spans="1:38" x14ac:dyDescent="0.2">
      <c r="A4407" s="2">
        <v>2026</v>
      </c>
      <c r="B4407" s="2">
        <v>7</v>
      </c>
      <c r="C4407" s="2" t="s">
        <v>3295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54</v>
      </c>
      <c r="R4407" s="15" t="s">
        <v>55</v>
      </c>
      <c r="S4407" s="13">
        <v>10</v>
      </c>
      <c r="T4407" s="14">
        <v>150</v>
      </c>
      <c r="U4407" s="2">
        <f t="shared" ref="U4407:U4414" si="696">T4407*23%</f>
        <v>34.5</v>
      </c>
      <c r="V4407" s="2">
        <f t="shared" ref="V4407:V4414" si="697">T4407+U4407</f>
        <v>184.5</v>
      </c>
      <c r="W4407" s="2">
        <f>10.6*S4407</f>
        <v>106</v>
      </c>
      <c r="X4407" s="5">
        <f t="shared" si="693"/>
        <v>0.29333333333333333</v>
      </c>
      <c r="Z4407" s="2" t="s">
        <v>3226</v>
      </c>
      <c r="AA4407" s="2" t="s">
        <v>46</v>
      </c>
      <c r="AB4407" s="2" t="s">
        <v>56</v>
      </c>
      <c r="AC4407" s="2" t="s">
        <v>57</v>
      </c>
      <c r="AK4407" s="2">
        <f t="shared" si="695"/>
        <v>44</v>
      </c>
      <c r="AL4407" s="5">
        <f t="shared" si="694"/>
        <v>0.29333333333333333</v>
      </c>
    </row>
    <row r="4408" spans="1:38" x14ac:dyDescent="0.2">
      <c r="A4408" s="2">
        <v>2026</v>
      </c>
      <c r="B4408" s="2">
        <v>7</v>
      </c>
      <c r="C4408" s="2" t="s">
        <v>3295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41</v>
      </c>
      <c r="P4408" s="2" t="s">
        <v>43</v>
      </c>
      <c r="Q4408" s="16" t="s">
        <v>58</v>
      </c>
      <c r="R4408" s="15" t="s">
        <v>59</v>
      </c>
      <c r="S4408" s="2">
        <v>100</v>
      </c>
      <c r="T4408" s="14">
        <v>14</v>
      </c>
      <c r="U4408" s="2">
        <f t="shared" si="696"/>
        <v>3.22</v>
      </c>
      <c r="V4408" s="2">
        <f t="shared" si="697"/>
        <v>17.22</v>
      </c>
      <c r="W4408" s="2">
        <f>0.0914*S4408</f>
        <v>9.1399999999999988</v>
      </c>
      <c r="X4408" s="5">
        <f t="shared" si="693"/>
        <v>0.34714285714285725</v>
      </c>
      <c r="Z4408" s="2" t="s">
        <v>3226</v>
      </c>
      <c r="AA4408" s="2" t="s">
        <v>46</v>
      </c>
      <c r="AB4408" s="2" t="s">
        <v>60</v>
      </c>
      <c r="AC4408" s="2" t="s">
        <v>57</v>
      </c>
      <c r="AK4408" s="2">
        <f t="shared" si="695"/>
        <v>4.8600000000000012</v>
      </c>
      <c r="AL4408" s="5">
        <f t="shared" si="694"/>
        <v>0.34714285714285725</v>
      </c>
    </row>
    <row r="4409" spans="1:38" x14ac:dyDescent="0.2">
      <c r="A4409" s="2">
        <v>2026</v>
      </c>
      <c r="B4409" s="2">
        <v>7</v>
      </c>
      <c r="C4409" s="2" t="s">
        <v>3295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188</v>
      </c>
      <c r="R4409" s="15" t="s">
        <v>189</v>
      </c>
      <c r="S4409" s="13">
        <v>1</v>
      </c>
      <c r="T4409" s="14">
        <v>76</v>
      </c>
      <c r="U4409" s="2">
        <f t="shared" si="696"/>
        <v>17.48</v>
      </c>
      <c r="V4409" s="2">
        <f t="shared" si="697"/>
        <v>93.48</v>
      </c>
      <c r="W4409" s="2">
        <f>T4409*40%</f>
        <v>30.400000000000002</v>
      </c>
      <c r="X4409" s="5">
        <f t="shared" si="693"/>
        <v>0.6</v>
      </c>
      <c r="Z4409" s="2" t="s">
        <v>117</v>
      </c>
      <c r="AA4409" s="2" t="s">
        <v>190</v>
      </c>
      <c r="AB4409" s="2" t="s">
        <v>189</v>
      </c>
      <c r="AC4409" s="2" t="s">
        <v>40</v>
      </c>
      <c r="AK4409" s="2">
        <f t="shared" si="695"/>
        <v>45.599999999999994</v>
      </c>
      <c r="AL4409" s="5">
        <f t="shared" si="694"/>
        <v>0.6</v>
      </c>
    </row>
    <row r="4410" spans="1:38" x14ac:dyDescent="0.2">
      <c r="A4410" s="2">
        <v>2026</v>
      </c>
      <c r="B4410" s="2">
        <v>7</v>
      </c>
      <c r="C4410" s="2" t="s">
        <v>3295</v>
      </c>
      <c r="D4410" s="15" t="s">
        <v>588</v>
      </c>
      <c r="E4410" s="2" t="s">
        <v>38</v>
      </c>
      <c r="F4410" s="2" t="s">
        <v>39</v>
      </c>
      <c r="L4410" s="2" t="s">
        <v>177</v>
      </c>
      <c r="M4410" s="2" t="s">
        <v>40</v>
      </c>
      <c r="P4410" s="2" t="s">
        <v>187</v>
      </c>
      <c r="Q4410" s="16" t="s">
        <v>191</v>
      </c>
      <c r="R4410" s="15" t="s">
        <v>190</v>
      </c>
      <c r="S4410" s="13">
        <v>1</v>
      </c>
      <c r="T4410" s="14">
        <v>55</v>
      </c>
      <c r="U4410" s="2">
        <f t="shared" si="696"/>
        <v>12.65</v>
      </c>
      <c r="V4410" s="2">
        <f t="shared" si="697"/>
        <v>67.650000000000006</v>
      </c>
      <c r="W4410" s="2">
        <f>T4410*50%</f>
        <v>27.5</v>
      </c>
      <c r="X4410" s="5">
        <f t="shared" si="693"/>
        <v>0.5</v>
      </c>
      <c r="Z4410" s="2" t="s">
        <v>117</v>
      </c>
      <c r="AA4410" s="2" t="s">
        <v>190</v>
      </c>
      <c r="AB4410" s="2" t="s">
        <v>190</v>
      </c>
      <c r="AC4410" s="2" t="s">
        <v>40</v>
      </c>
      <c r="AK4410" s="2">
        <f t="shared" si="695"/>
        <v>27.5</v>
      </c>
      <c r="AL4410" s="5">
        <f t="shared" si="694"/>
        <v>0.5</v>
      </c>
    </row>
    <row r="4411" spans="1:38" x14ac:dyDescent="0.2">
      <c r="A4411" s="2">
        <v>2026</v>
      </c>
      <c r="B4411" s="2">
        <v>7</v>
      </c>
      <c r="C4411" s="2" t="s">
        <v>3295</v>
      </c>
      <c r="D4411" s="15" t="s">
        <v>606</v>
      </c>
      <c r="E4411" s="2" t="s">
        <v>108</v>
      </c>
      <c r="F4411" s="2" t="s">
        <v>39</v>
      </c>
      <c r="L4411" s="2" t="s">
        <v>461</v>
      </c>
      <c r="M4411" s="2" t="s">
        <v>40</v>
      </c>
      <c r="P4411" s="2" t="s">
        <v>114</v>
      </c>
      <c r="Q4411" s="16" t="s">
        <v>735</v>
      </c>
      <c r="R4411" s="15" t="s">
        <v>736</v>
      </c>
      <c r="S4411" s="13">
        <v>2</v>
      </c>
      <c r="T4411" s="14">
        <v>44.1</v>
      </c>
      <c r="U4411" s="2">
        <f t="shared" si="696"/>
        <v>10.143000000000001</v>
      </c>
      <c r="V4411" s="2">
        <f t="shared" si="697"/>
        <v>54.243000000000002</v>
      </c>
      <c r="W4411" s="2">
        <f>10.38*S4411</f>
        <v>20.76</v>
      </c>
      <c r="X4411" s="5">
        <f t="shared" si="693"/>
        <v>0.52925170068027205</v>
      </c>
      <c r="Z4411" s="2" t="s">
        <v>117</v>
      </c>
      <c r="AA4411" s="2" t="s">
        <v>118</v>
      </c>
      <c r="AB4411" s="2" t="s">
        <v>119</v>
      </c>
      <c r="AC4411" s="2" t="s">
        <v>114</v>
      </c>
      <c r="AK4411" s="2">
        <f t="shared" si="695"/>
        <v>23.34</v>
      </c>
      <c r="AL4411" s="5">
        <f t="shared" si="694"/>
        <v>0.52925170068027205</v>
      </c>
    </row>
    <row r="4412" spans="1:38" x14ac:dyDescent="0.2">
      <c r="A4412" s="2">
        <v>2026</v>
      </c>
      <c r="B4412" s="2">
        <v>7</v>
      </c>
      <c r="C4412" s="2" t="s">
        <v>3295</v>
      </c>
      <c r="D4412" s="15" t="s">
        <v>606</v>
      </c>
      <c r="E4412" s="2" t="s">
        <v>108</v>
      </c>
      <c r="F4412" s="2" t="s">
        <v>39</v>
      </c>
      <c r="L4412" s="2" t="s">
        <v>461</v>
      </c>
      <c r="M4412" s="2" t="s">
        <v>40</v>
      </c>
      <c r="P4412" s="2" t="s">
        <v>169</v>
      </c>
      <c r="Q4412" s="16" t="s">
        <v>170</v>
      </c>
      <c r="R4412" s="15" t="s">
        <v>170</v>
      </c>
      <c r="S4412" s="13">
        <v>1</v>
      </c>
      <c r="T4412" s="14">
        <v>8</v>
      </c>
      <c r="U4412" s="2">
        <f t="shared" si="696"/>
        <v>1.84</v>
      </c>
      <c r="V4412" s="2">
        <f t="shared" si="697"/>
        <v>9.84</v>
      </c>
      <c r="W4412" s="2">
        <v>6</v>
      </c>
      <c r="X4412" s="5">
        <f t="shared" si="693"/>
        <v>0.25</v>
      </c>
      <c r="Z4412" s="2" t="s">
        <v>169</v>
      </c>
      <c r="AA4412" s="2" t="s">
        <v>169</v>
      </c>
      <c r="AK4412" s="2">
        <f t="shared" si="695"/>
        <v>2</v>
      </c>
      <c r="AL4412" s="5">
        <f t="shared" si="694"/>
        <v>0.25</v>
      </c>
    </row>
    <row r="4413" spans="1:38" x14ac:dyDescent="0.2">
      <c r="A4413" s="2">
        <v>2026</v>
      </c>
      <c r="B4413" s="2">
        <v>7</v>
      </c>
      <c r="C4413" s="2" t="s">
        <v>3295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114</v>
      </c>
      <c r="Q4413" s="16" t="s">
        <v>561</v>
      </c>
      <c r="R4413" s="15" t="s">
        <v>562</v>
      </c>
      <c r="S4413" s="13">
        <v>4</v>
      </c>
      <c r="T4413" s="14">
        <v>57.15</v>
      </c>
      <c r="U4413" s="2">
        <f t="shared" si="696"/>
        <v>13.144500000000001</v>
      </c>
      <c r="V4413" s="2">
        <f t="shared" si="697"/>
        <v>70.294499999999999</v>
      </c>
      <c r="W4413" s="2">
        <f>5.33*S4413</f>
        <v>21.32</v>
      </c>
      <c r="X4413" s="5">
        <f t="shared" si="693"/>
        <v>0.62694663167104114</v>
      </c>
      <c r="Z4413" s="2" t="s">
        <v>117</v>
      </c>
      <c r="AA4413" s="2" t="s">
        <v>118</v>
      </c>
      <c r="AB4413" s="2" t="s">
        <v>119</v>
      </c>
      <c r="AC4413" s="2" t="s">
        <v>114</v>
      </c>
      <c r="AK4413" s="2">
        <f t="shared" si="695"/>
        <v>35.83</v>
      </c>
      <c r="AL4413" s="5">
        <f>(T4413-W4413)/T4413</f>
        <v>0.62694663167104114</v>
      </c>
    </row>
    <row r="4414" spans="1:38" x14ac:dyDescent="0.2">
      <c r="A4414" s="2">
        <v>2026</v>
      </c>
      <c r="B4414" s="2">
        <v>7</v>
      </c>
      <c r="C4414" s="2" t="s">
        <v>3295</v>
      </c>
      <c r="D4414" s="15" t="s">
        <v>2781</v>
      </c>
      <c r="E4414" s="2" t="s">
        <v>108</v>
      </c>
      <c r="F4414" s="2" t="s">
        <v>39</v>
      </c>
      <c r="L4414" s="2" t="s">
        <v>99</v>
      </c>
      <c r="M4414" s="2" t="s">
        <v>40</v>
      </c>
      <c r="P4414" s="2" t="s">
        <v>169</v>
      </c>
      <c r="Q4414" s="16" t="s">
        <v>170</v>
      </c>
      <c r="R4414" s="15" t="s">
        <v>170</v>
      </c>
      <c r="S4414" s="13">
        <v>1</v>
      </c>
      <c r="T4414" s="14">
        <v>8</v>
      </c>
      <c r="U4414" s="2">
        <f t="shared" si="696"/>
        <v>1.84</v>
      </c>
      <c r="V4414" s="2">
        <f t="shared" si="697"/>
        <v>9.84</v>
      </c>
      <c r="W4414" s="2">
        <v>6</v>
      </c>
      <c r="X4414" s="5">
        <f t="shared" si="693"/>
        <v>0.25</v>
      </c>
      <c r="Z4414" s="2" t="s">
        <v>169</v>
      </c>
      <c r="AA4414" s="2" t="s">
        <v>169</v>
      </c>
      <c r="AK4414" s="2">
        <f t="shared" si="695"/>
        <v>2</v>
      </c>
      <c r="AL4414" s="5">
        <f t="shared" si="694"/>
        <v>0.25</v>
      </c>
    </row>
    <row r="4415" spans="1:38" x14ac:dyDescent="0.2">
      <c r="A4415" s="2">
        <v>2026</v>
      </c>
      <c r="B4415" s="2">
        <v>7</v>
      </c>
      <c r="C4415" s="2" t="s">
        <v>3294</v>
      </c>
      <c r="D4415" s="15" t="s">
        <v>624</v>
      </c>
      <c r="E4415" s="2" t="s">
        <v>38</v>
      </c>
      <c r="F4415" s="2" t="s">
        <v>39</v>
      </c>
      <c r="G4415" s="2" t="s">
        <v>625</v>
      </c>
      <c r="H4415" s="2" t="s">
        <v>40</v>
      </c>
      <c r="I4415" s="2" t="s">
        <v>626</v>
      </c>
      <c r="J4415" s="2" t="s">
        <v>627</v>
      </c>
      <c r="L4415" s="2" t="s">
        <v>626</v>
      </c>
      <c r="M4415" s="2" t="s">
        <v>40</v>
      </c>
      <c r="P4415" s="2" t="s">
        <v>114</v>
      </c>
      <c r="Q4415" s="16" t="s">
        <v>135</v>
      </c>
      <c r="R4415" s="15" t="s">
        <v>136</v>
      </c>
      <c r="S4415" s="9">
        <v>1</v>
      </c>
      <c r="T4415" s="14">
        <v>577.91999999999996</v>
      </c>
      <c r="V4415" s="2">
        <f>T4415</f>
        <v>577.91999999999996</v>
      </c>
      <c r="W4415" s="2">
        <v>344.89339999999999</v>
      </c>
      <c r="X4415" s="5">
        <f t="shared" si="693"/>
        <v>0.40321601605758584</v>
      </c>
      <c r="Z4415" s="2" t="s">
        <v>117</v>
      </c>
      <c r="AA4415" s="2" t="s">
        <v>118</v>
      </c>
      <c r="AB4415" s="2" t="s">
        <v>119</v>
      </c>
      <c r="AC4415" s="2" t="s">
        <v>114</v>
      </c>
      <c r="AK4415" s="2">
        <f t="shared" si="695"/>
        <v>233.02659999999997</v>
      </c>
      <c r="AL4415" s="5">
        <f t="shared" si="694"/>
        <v>0.40321601605758584</v>
      </c>
    </row>
    <row r="4416" spans="1:38" ht="22.5" x14ac:dyDescent="0.2">
      <c r="A4416" s="2">
        <v>2026</v>
      </c>
      <c r="B4416" s="2">
        <v>7</v>
      </c>
      <c r="C4416" s="2" t="s">
        <v>3294</v>
      </c>
      <c r="D4416" s="15" t="s">
        <v>909</v>
      </c>
      <c r="E4416" s="2" t="s">
        <v>38</v>
      </c>
      <c r="F4416" s="2" t="s">
        <v>39</v>
      </c>
      <c r="H4416" s="2" t="s">
        <v>109</v>
      </c>
      <c r="I4416" s="2" t="s">
        <v>133</v>
      </c>
      <c r="L4416" s="2" t="s">
        <v>133</v>
      </c>
      <c r="M4416" s="2" t="s">
        <v>109</v>
      </c>
      <c r="P4416" s="2" t="s">
        <v>114</v>
      </c>
      <c r="Q4416" s="16" t="s">
        <v>412</v>
      </c>
      <c r="R4416" s="15" t="s">
        <v>413</v>
      </c>
      <c r="S4416" s="13">
        <v>1</v>
      </c>
      <c r="T4416" s="14">
        <v>14000</v>
      </c>
      <c r="U4416" s="2">
        <f t="shared" ref="U4416:U4447" si="698">T4416*23%</f>
        <v>3220</v>
      </c>
      <c r="V4416" s="2">
        <f t="shared" ref="V4416:V4447" si="699">T4416+U4416</f>
        <v>17220</v>
      </c>
      <c r="W4416" s="2">
        <f>10699.41+285.74</f>
        <v>10985.15</v>
      </c>
      <c r="X4416" s="5">
        <f t="shared" si="693"/>
        <v>0.21534642857142861</v>
      </c>
      <c r="Z4416" s="2" t="s">
        <v>104</v>
      </c>
      <c r="AA4416" s="2" t="s">
        <v>414</v>
      </c>
      <c r="AB4416" s="2" t="s">
        <v>151</v>
      </c>
      <c r="AC4416" s="2" t="s">
        <v>114</v>
      </c>
      <c r="AK4416" s="2">
        <f t="shared" si="695"/>
        <v>3014.8500000000004</v>
      </c>
      <c r="AL4416" s="5">
        <f t="shared" si="694"/>
        <v>0.21534642857142861</v>
      </c>
    </row>
    <row r="4417" spans="1:38" x14ac:dyDescent="0.2">
      <c r="A4417" s="2">
        <v>2026</v>
      </c>
      <c r="B4417" s="2">
        <v>7</v>
      </c>
      <c r="C4417" s="2" t="s">
        <v>3294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72</v>
      </c>
      <c r="Q4417" s="16" t="s">
        <v>664</v>
      </c>
      <c r="R4417" s="15" t="s">
        <v>79</v>
      </c>
      <c r="S4417" s="13">
        <v>1</v>
      </c>
      <c r="T4417" s="14">
        <v>210</v>
      </c>
      <c r="U4417" s="2">
        <f t="shared" si="698"/>
        <v>48.300000000000004</v>
      </c>
      <c r="V4417" s="2">
        <f t="shared" si="699"/>
        <v>258.3</v>
      </c>
      <c r="W4417" s="2">
        <f>113.905+11.25</f>
        <v>125.155</v>
      </c>
      <c r="X4417" s="5">
        <f t="shared" si="693"/>
        <v>0.40402380952380951</v>
      </c>
      <c r="Z4417" s="2" t="s">
        <v>3226</v>
      </c>
      <c r="AA4417" s="2" t="s">
        <v>75</v>
      </c>
      <c r="AB4417" s="2" t="s">
        <v>76</v>
      </c>
      <c r="AC4417" s="2" t="s">
        <v>77</v>
      </c>
      <c r="AK4417" s="2">
        <f t="shared" si="695"/>
        <v>84.844999999999999</v>
      </c>
      <c r="AL4417" s="5">
        <f t="shared" si="694"/>
        <v>0.40402380952380951</v>
      </c>
    </row>
    <row r="4418" spans="1:38" ht="12" customHeight="1" x14ac:dyDescent="0.2">
      <c r="A4418" s="2">
        <v>2026</v>
      </c>
      <c r="B4418" s="2">
        <v>7</v>
      </c>
      <c r="C4418" s="2" t="s">
        <v>3294</v>
      </c>
      <c r="D4418" s="15" t="s">
        <v>633</v>
      </c>
      <c r="E4418" s="2" t="s">
        <v>183</v>
      </c>
      <c r="F4418" s="2" t="s">
        <v>366</v>
      </c>
      <c r="H4418" s="2" t="s">
        <v>290</v>
      </c>
      <c r="L4418" s="2" t="s">
        <v>339</v>
      </c>
      <c r="M4418" s="2" t="s">
        <v>80</v>
      </c>
      <c r="P4418" s="2" t="s">
        <v>93</v>
      </c>
      <c r="Q4418" s="16" t="s">
        <v>94</v>
      </c>
      <c r="R4418" s="15" t="s">
        <v>95</v>
      </c>
      <c r="S4418" s="13">
        <v>1</v>
      </c>
      <c r="T4418" s="14">
        <v>1.48</v>
      </c>
      <c r="U4418" s="2">
        <f t="shared" si="698"/>
        <v>0.34040000000000004</v>
      </c>
      <c r="V4418" s="2">
        <f t="shared" si="699"/>
        <v>1.8204</v>
      </c>
      <c r="W4418" s="2">
        <v>1.48</v>
      </c>
      <c r="X4418" s="5">
        <f t="shared" si="693"/>
        <v>0</v>
      </c>
      <c r="Z4418" s="2" t="s">
        <v>3226</v>
      </c>
      <c r="AA4418" s="2" t="s">
        <v>96</v>
      </c>
      <c r="AB4418" s="2" t="s">
        <v>76</v>
      </c>
      <c r="AC4418" s="2" t="s">
        <v>93</v>
      </c>
      <c r="AK4418" s="2">
        <f t="shared" si="695"/>
        <v>0</v>
      </c>
      <c r="AL4418" s="5">
        <f t="shared" si="694"/>
        <v>0</v>
      </c>
    </row>
    <row r="4419" spans="1:38" x14ac:dyDescent="0.2">
      <c r="A4419" s="2">
        <v>2026</v>
      </c>
      <c r="B4419" s="2">
        <v>7</v>
      </c>
      <c r="C4419" s="2" t="s">
        <v>3294</v>
      </c>
      <c r="D4419" s="15" t="s">
        <v>634</v>
      </c>
      <c r="E4419" s="2" t="s">
        <v>108</v>
      </c>
      <c r="F4419" s="2" t="s">
        <v>395</v>
      </c>
      <c r="G4419" s="2">
        <v>502967056</v>
      </c>
      <c r="H4419" s="2" t="s">
        <v>109</v>
      </c>
      <c r="I4419" s="2" t="s">
        <v>635</v>
      </c>
      <c r="J4419" s="2" t="s">
        <v>636</v>
      </c>
      <c r="L4419" s="2" t="s">
        <v>112</v>
      </c>
      <c r="M4419" s="2" t="s">
        <v>40</v>
      </c>
      <c r="P4419" s="2" t="s">
        <v>114</v>
      </c>
      <c r="Q4419" s="16" t="s">
        <v>3360</v>
      </c>
      <c r="R4419" s="15" t="s">
        <v>3361</v>
      </c>
      <c r="S4419" s="13">
        <v>1</v>
      </c>
      <c r="T4419" s="14">
        <v>103.55</v>
      </c>
      <c r="U4419" s="2">
        <f t="shared" si="698"/>
        <v>23.816500000000001</v>
      </c>
      <c r="V4419" s="2">
        <f t="shared" si="699"/>
        <v>127.3665</v>
      </c>
      <c r="W4419" s="2">
        <f>57.53+1</f>
        <v>58.53</v>
      </c>
      <c r="X4419" s="5">
        <f t="shared" si="693"/>
        <v>0.43476581361661032</v>
      </c>
      <c r="Z4419" s="2" t="s">
        <v>117</v>
      </c>
      <c r="AA4419" s="2" t="s">
        <v>118</v>
      </c>
      <c r="AB4419" s="2" t="s">
        <v>119</v>
      </c>
      <c r="AC4419" s="2" t="s">
        <v>114</v>
      </c>
      <c r="AK4419" s="2">
        <f t="shared" si="695"/>
        <v>45.019999999999996</v>
      </c>
      <c r="AL4419" s="5">
        <f t="shared" si="694"/>
        <v>0.43476581361661032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3342</v>
      </c>
      <c r="E4420" s="2" t="s">
        <v>752</v>
      </c>
      <c r="F4420" s="2" t="s">
        <v>39</v>
      </c>
      <c r="L4420" s="2" t="s">
        <v>177</v>
      </c>
      <c r="M4420" s="2" t="s">
        <v>40</v>
      </c>
      <c r="P4420" s="2" t="s">
        <v>282</v>
      </c>
      <c r="Q4420" s="16" t="s">
        <v>3088</v>
      </c>
      <c r="R4420" s="15" t="s">
        <v>3089</v>
      </c>
      <c r="S4420" s="13">
        <v>1</v>
      </c>
      <c r="T4420" s="14">
        <v>2490</v>
      </c>
      <c r="U4420" s="2">
        <f t="shared" si="698"/>
        <v>572.70000000000005</v>
      </c>
      <c r="V4420" s="2">
        <f t="shared" si="699"/>
        <v>3062.7</v>
      </c>
      <c r="W4420" s="2">
        <f>1907.5+49</f>
        <v>1956.5</v>
      </c>
      <c r="X4420" s="5">
        <f t="shared" si="693"/>
        <v>0.21425702811244979</v>
      </c>
      <c r="Z4420" s="2" t="s">
        <v>104</v>
      </c>
      <c r="AA4420" s="2" t="s">
        <v>387</v>
      </c>
      <c r="AB4420" s="2" t="s">
        <v>1330</v>
      </c>
      <c r="AC4420" s="2" t="s">
        <v>1327</v>
      </c>
      <c r="AK4420" s="2">
        <f t="shared" si="695"/>
        <v>533.5</v>
      </c>
      <c r="AL4420" s="5">
        <f t="shared" si="694"/>
        <v>0.21425702811244979</v>
      </c>
    </row>
    <row r="4421" spans="1:38" x14ac:dyDescent="0.2">
      <c r="A4421" s="2">
        <v>2026</v>
      </c>
      <c r="B4421" s="2">
        <v>7</v>
      </c>
      <c r="C4421" s="2" t="s">
        <v>3294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3375</v>
      </c>
      <c r="P4421" s="2" t="s">
        <v>114</v>
      </c>
      <c r="Q4421" s="16" t="s">
        <v>179</v>
      </c>
      <c r="R4421" s="15" t="s">
        <v>180</v>
      </c>
      <c r="S4421" s="13">
        <v>1</v>
      </c>
      <c r="T4421" s="14">
        <v>699.3</v>
      </c>
      <c r="U4421" s="2">
        <f t="shared" si="698"/>
        <v>160.839</v>
      </c>
      <c r="V4421" s="2">
        <f t="shared" si="699"/>
        <v>860.1389999999999</v>
      </c>
      <c r="W4421" s="2">
        <v>343.38580000000002</v>
      </c>
      <c r="X4421" s="5">
        <f t="shared" si="693"/>
        <v>0.50895781495781489</v>
      </c>
      <c r="Z4421" s="2" t="s">
        <v>117</v>
      </c>
      <c r="AA4421" s="2" t="s">
        <v>181</v>
      </c>
      <c r="AB4421" s="2" t="s">
        <v>119</v>
      </c>
      <c r="AC4421" s="2" t="s">
        <v>114</v>
      </c>
      <c r="AK4421" s="2">
        <f t="shared" si="695"/>
        <v>355.91419999999994</v>
      </c>
      <c r="AL4421" s="5">
        <f t="shared" si="694"/>
        <v>0.50895781495781489</v>
      </c>
    </row>
    <row r="4422" spans="1:38" x14ac:dyDescent="0.2">
      <c r="A4422" s="2">
        <v>2026</v>
      </c>
      <c r="B4422" s="2">
        <v>7</v>
      </c>
      <c r="C4422" s="2" t="s">
        <v>3294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3375</v>
      </c>
      <c r="P4422" s="2" t="s">
        <v>187</v>
      </c>
      <c r="Q4422" s="16" t="s">
        <v>188</v>
      </c>
      <c r="R4422" s="15" t="s">
        <v>189</v>
      </c>
      <c r="S4422" s="13">
        <v>1</v>
      </c>
      <c r="T4422" s="14">
        <v>246</v>
      </c>
      <c r="U4422" s="2">
        <f t="shared" si="698"/>
        <v>56.580000000000005</v>
      </c>
      <c r="V4422" s="2">
        <f t="shared" si="699"/>
        <v>302.58</v>
      </c>
      <c r="W4422" s="2">
        <f>T4422*40%</f>
        <v>98.4</v>
      </c>
      <c r="X4422" s="5">
        <f t="shared" si="693"/>
        <v>0.6</v>
      </c>
      <c r="Z4422" s="2" t="s">
        <v>117</v>
      </c>
      <c r="AA4422" s="2" t="s">
        <v>190</v>
      </c>
      <c r="AB4422" s="2" t="s">
        <v>189</v>
      </c>
      <c r="AC4422" s="2" t="s">
        <v>40</v>
      </c>
      <c r="AK4422" s="2">
        <f t="shared" si="695"/>
        <v>147.6</v>
      </c>
      <c r="AL4422" s="5">
        <f t="shared" si="694"/>
        <v>0.6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1120</v>
      </c>
      <c r="E4423" s="2" t="s">
        <v>108</v>
      </c>
      <c r="F4423" s="2" t="s">
        <v>39</v>
      </c>
      <c r="G4423" s="2">
        <v>504923765</v>
      </c>
      <c r="H4423" s="2" t="s">
        <v>109</v>
      </c>
      <c r="I4423" s="2" t="s">
        <v>3244</v>
      </c>
      <c r="J4423" s="2" t="s">
        <v>3245</v>
      </c>
      <c r="K4423" s="2">
        <v>96179412</v>
      </c>
      <c r="L4423" s="2" t="s">
        <v>461</v>
      </c>
      <c r="M4423" s="2" t="s">
        <v>40</v>
      </c>
      <c r="O4423" s="2" t="s">
        <v>3375</v>
      </c>
      <c r="P4423" s="2" t="s">
        <v>187</v>
      </c>
      <c r="Q4423" s="16" t="s">
        <v>191</v>
      </c>
      <c r="R4423" s="15" t="s">
        <v>190</v>
      </c>
      <c r="S4423" s="13">
        <v>1.5</v>
      </c>
      <c r="T4423" s="14">
        <v>82.5</v>
      </c>
      <c r="U4423" s="2">
        <f t="shared" si="698"/>
        <v>18.975000000000001</v>
      </c>
      <c r="V4423" s="2">
        <f t="shared" si="699"/>
        <v>101.47499999999999</v>
      </c>
      <c r="W4423" s="2">
        <f>T4423*50%</f>
        <v>41.25</v>
      </c>
      <c r="X4423" s="5">
        <f t="shared" ref="X4423:X4454" si="700">(T4423-W4423)/T4423</f>
        <v>0.5</v>
      </c>
      <c r="Z4423" s="2" t="s">
        <v>117</v>
      </c>
      <c r="AA4423" s="2" t="s">
        <v>190</v>
      </c>
      <c r="AB4423" s="2" t="s">
        <v>190</v>
      </c>
      <c r="AC4423" s="2" t="s">
        <v>40</v>
      </c>
      <c r="AK4423" s="2">
        <f t="shared" si="695"/>
        <v>41.25</v>
      </c>
      <c r="AL4423" s="5">
        <f t="shared" ref="AL4423:AL4454" si="701">(T4423-W4423)/T4423</f>
        <v>0.5</v>
      </c>
    </row>
    <row r="4424" spans="1:38" x14ac:dyDescent="0.2">
      <c r="A4424" s="2">
        <v>2026</v>
      </c>
      <c r="B4424" s="2">
        <v>7</v>
      </c>
      <c r="C4424" s="2" t="s">
        <v>3295</v>
      </c>
      <c r="D4424" s="15" t="s">
        <v>3343</v>
      </c>
      <c r="E4424" s="2" t="s">
        <v>38</v>
      </c>
      <c r="F4424" s="2" t="s">
        <v>39</v>
      </c>
      <c r="H4424" s="2" t="s">
        <v>40</v>
      </c>
      <c r="I4424" s="2" t="s">
        <v>3374</v>
      </c>
      <c r="L4424" s="2" t="s">
        <v>201</v>
      </c>
      <c r="M4424" s="2" t="s">
        <v>80</v>
      </c>
      <c r="P4424" s="2" t="s">
        <v>72</v>
      </c>
      <c r="Q4424" s="16" t="s">
        <v>73</v>
      </c>
      <c r="R4424" s="15" t="s">
        <v>74</v>
      </c>
      <c r="S4424" s="13">
        <v>1</v>
      </c>
      <c r="T4424" s="14">
        <v>230</v>
      </c>
      <c r="U4424" s="2">
        <f t="shared" si="698"/>
        <v>52.900000000000006</v>
      </c>
      <c r="V4424" s="2">
        <f t="shared" si="699"/>
        <v>282.89999999999998</v>
      </c>
      <c r="W4424" s="2">
        <v>125.51600000000001</v>
      </c>
      <c r="X4424" s="5">
        <f t="shared" si="700"/>
        <v>0.45427826086956519</v>
      </c>
      <c r="Z4424" s="2" t="s">
        <v>3226</v>
      </c>
      <c r="AA4424" s="2" t="s">
        <v>75</v>
      </c>
      <c r="AB4424" s="2" t="s">
        <v>76</v>
      </c>
      <c r="AC4424" s="2" t="s">
        <v>77</v>
      </c>
      <c r="AK4424" s="2">
        <f t="shared" si="695"/>
        <v>104.48399999999999</v>
      </c>
      <c r="AL4424" s="5">
        <f t="shared" si="701"/>
        <v>0.45427826086956519</v>
      </c>
    </row>
    <row r="4425" spans="1:38" x14ac:dyDescent="0.2">
      <c r="A4425" s="2">
        <v>2026</v>
      </c>
      <c r="B4425" s="2">
        <v>7</v>
      </c>
      <c r="C4425" s="2" t="s">
        <v>3295</v>
      </c>
      <c r="D4425" s="15" t="s">
        <v>3343</v>
      </c>
      <c r="E4425" s="2" t="s">
        <v>38</v>
      </c>
      <c r="F4425" s="2" t="s">
        <v>39</v>
      </c>
      <c r="H4425" s="2" t="s">
        <v>40</v>
      </c>
      <c r="I4425" s="2" t="s">
        <v>3374</v>
      </c>
      <c r="L4425" s="2" t="s">
        <v>201</v>
      </c>
      <c r="M4425" s="2" t="s">
        <v>80</v>
      </c>
      <c r="P4425" s="2" t="s">
        <v>93</v>
      </c>
      <c r="Q4425" s="16" t="s">
        <v>94</v>
      </c>
      <c r="R4425" s="15" t="s">
        <v>95</v>
      </c>
      <c r="S4425" s="13">
        <v>1</v>
      </c>
      <c r="T4425" s="14">
        <v>1.48</v>
      </c>
      <c r="U4425" s="2">
        <f t="shared" si="698"/>
        <v>0.34040000000000004</v>
      </c>
      <c r="V4425" s="2">
        <f t="shared" si="699"/>
        <v>1.8204</v>
      </c>
      <c r="W4425" s="2">
        <v>1.48</v>
      </c>
      <c r="X4425" s="5">
        <f t="shared" si="700"/>
        <v>0</v>
      </c>
      <c r="Z4425" s="2" t="s">
        <v>3226</v>
      </c>
      <c r="AA4425" s="2" t="s">
        <v>96</v>
      </c>
      <c r="AB4425" s="2" t="s">
        <v>76</v>
      </c>
      <c r="AC4425" s="2" t="s">
        <v>93</v>
      </c>
      <c r="AK4425" s="2">
        <f t="shared" si="695"/>
        <v>0</v>
      </c>
      <c r="AL4425" s="5">
        <f t="shared" si="701"/>
        <v>0</v>
      </c>
    </row>
    <row r="4426" spans="1:38" x14ac:dyDescent="0.2">
      <c r="A4426" s="2">
        <v>2026</v>
      </c>
      <c r="B4426" s="2">
        <v>7</v>
      </c>
      <c r="C4426" s="2" t="s">
        <v>3295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3373</v>
      </c>
      <c r="P4426" s="2" t="s">
        <v>43</v>
      </c>
      <c r="Q4426" s="16" t="s">
        <v>158</v>
      </c>
      <c r="R4426" s="15" t="s">
        <v>159</v>
      </c>
      <c r="S4426" s="13">
        <v>1</v>
      </c>
      <c r="T4426" s="14">
        <v>21</v>
      </c>
      <c r="U4426" s="2">
        <f t="shared" si="698"/>
        <v>4.83</v>
      </c>
      <c r="V4426" s="2">
        <f t="shared" si="699"/>
        <v>25.83</v>
      </c>
      <c r="W4426" s="2">
        <f>9.3*S4426</f>
        <v>9.3000000000000007</v>
      </c>
      <c r="X4426" s="5">
        <f t="shared" si="700"/>
        <v>0.55714285714285716</v>
      </c>
      <c r="Z4426" s="2" t="s">
        <v>3226</v>
      </c>
      <c r="AA4426" s="2" t="s">
        <v>46</v>
      </c>
      <c r="AB4426" s="2" t="s">
        <v>47</v>
      </c>
      <c r="AC4426" s="2" t="s">
        <v>57</v>
      </c>
      <c r="AK4426" s="2">
        <f t="shared" si="695"/>
        <v>11.7</v>
      </c>
      <c r="AL4426" s="5">
        <f t="shared" si="701"/>
        <v>0.55714285714285716</v>
      </c>
    </row>
    <row r="4427" spans="1:38" x14ac:dyDescent="0.2">
      <c r="A4427" s="2">
        <v>2026</v>
      </c>
      <c r="B4427" s="2">
        <v>7</v>
      </c>
      <c r="C4427" s="2" t="s">
        <v>3295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3373</v>
      </c>
      <c r="P4427" s="2" t="s">
        <v>43</v>
      </c>
      <c r="Q4427" s="16" t="s">
        <v>54</v>
      </c>
      <c r="R4427" s="15" t="s">
        <v>55</v>
      </c>
      <c r="S4427" s="13">
        <v>2</v>
      </c>
      <c r="T4427" s="14">
        <v>36</v>
      </c>
      <c r="U4427" s="2">
        <f t="shared" si="698"/>
        <v>8.2800000000000011</v>
      </c>
      <c r="V4427" s="2">
        <f t="shared" si="699"/>
        <v>44.28</v>
      </c>
      <c r="W4427" s="2">
        <f>10.6*S4427</f>
        <v>21.2</v>
      </c>
      <c r="X4427" s="5">
        <f t="shared" si="700"/>
        <v>0.41111111111111115</v>
      </c>
      <c r="Z4427" s="2" t="s">
        <v>3226</v>
      </c>
      <c r="AA4427" s="2" t="s">
        <v>46</v>
      </c>
      <c r="AB4427" s="2" t="s">
        <v>56</v>
      </c>
      <c r="AC4427" s="2" t="s">
        <v>57</v>
      </c>
      <c r="AK4427" s="2">
        <f t="shared" si="695"/>
        <v>14.8</v>
      </c>
      <c r="AL4427" s="5">
        <f t="shared" si="701"/>
        <v>0.41111111111111115</v>
      </c>
    </row>
    <row r="4428" spans="1:38" x14ac:dyDescent="0.2">
      <c r="A4428" s="2">
        <v>2026</v>
      </c>
      <c r="B4428" s="2">
        <v>7</v>
      </c>
      <c r="C4428" s="2" t="s">
        <v>3295</v>
      </c>
      <c r="D4428" s="15" t="s">
        <v>1312</v>
      </c>
      <c r="E4428" s="2" t="s">
        <v>38</v>
      </c>
      <c r="F4428" s="2" t="s">
        <v>39</v>
      </c>
      <c r="G4428" s="2">
        <v>509512739</v>
      </c>
      <c r="H4428" s="2" t="s">
        <v>41</v>
      </c>
      <c r="I4428" s="2" t="s">
        <v>177</v>
      </c>
      <c r="J4428" s="2" t="s">
        <v>1313</v>
      </c>
      <c r="L4428" s="2" t="s">
        <v>177</v>
      </c>
      <c r="M4428" s="2" t="s">
        <v>41</v>
      </c>
      <c r="O4428" s="2" t="s">
        <v>3373</v>
      </c>
      <c r="P4428" s="2" t="s">
        <v>43</v>
      </c>
      <c r="Q4428" s="16" t="s">
        <v>254</v>
      </c>
      <c r="R4428" s="15" t="s">
        <v>255</v>
      </c>
      <c r="S4428" s="13">
        <v>100</v>
      </c>
      <c r="T4428" s="14">
        <v>14</v>
      </c>
      <c r="U4428" s="2">
        <f t="shared" si="698"/>
        <v>3.22</v>
      </c>
      <c r="V4428" s="2">
        <f t="shared" si="699"/>
        <v>17.22</v>
      </c>
      <c r="W4428" s="2">
        <f>0.0914*S4428</f>
        <v>9.1399999999999988</v>
      </c>
      <c r="X4428" s="5">
        <f t="shared" si="700"/>
        <v>0.34714285714285725</v>
      </c>
      <c r="Z4428" s="2" t="s">
        <v>3226</v>
      </c>
      <c r="AA4428" s="2" t="s">
        <v>46</v>
      </c>
      <c r="AB4428" s="2" t="s">
        <v>60</v>
      </c>
      <c r="AC4428" s="2" t="s">
        <v>57</v>
      </c>
      <c r="AK4428" s="2">
        <f t="shared" si="695"/>
        <v>4.8600000000000012</v>
      </c>
      <c r="AL4428" s="5">
        <f t="shared" si="701"/>
        <v>0.34714285714285725</v>
      </c>
    </row>
    <row r="4429" spans="1:38" x14ac:dyDescent="0.2">
      <c r="A4429" s="2">
        <v>2026</v>
      </c>
      <c r="B4429" s="2">
        <v>7</v>
      </c>
      <c r="C4429" s="2" t="s">
        <v>3294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3372</v>
      </c>
      <c r="P4429" s="2" t="s">
        <v>114</v>
      </c>
      <c r="Q4429" s="16" t="s">
        <v>3362</v>
      </c>
      <c r="R4429" s="15" t="s">
        <v>3363</v>
      </c>
      <c r="S4429" s="13">
        <v>12</v>
      </c>
      <c r="T4429" s="14">
        <v>157.75</v>
      </c>
      <c r="U4429" s="2">
        <f t="shared" si="698"/>
        <v>36.282499999999999</v>
      </c>
      <c r="V4429" s="2">
        <f t="shared" si="699"/>
        <v>194.0325</v>
      </c>
      <c r="W4429" s="2">
        <f>6.26*S4429</f>
        <v>75.12</v>
      </c>
      <c r="X4429" s="5">
        <f t="shared" si="700"/>
        <v>0.52380348652931852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695"/>
        <v>82.63</v>
      </c>
      <c r="AL4429" s="5">
        <f t="shared" si="701"/>
        <v>0.52380348652931852</v>
      </c>
    </row>
    <row r="4430" spans="1:38" x14ac:dyDescent="0.2">
      <c r="A4430" s="2">
        <v>2026</v>
      </c>
      <c r="B4430" s="2">
        <v>7</v>
      </c>
      <c r="C4430" s="2" t="s">
        <v>3294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3372</v>
      </c>
      <c r="P4430" s="2" t="s">
        <v>114</v>
      </c>
      <c r="Q4430" s="16" t="s">
        <v>3364</v>
      </c>
      <c r="R4430" s="15" t="s">
        <v>3365</v>
      </c>
      <c r="S4430" s="13">
        <v>2</v>
      </c>
      <c r="T4430" s="14">
        <v>571.12</v>
      </c>
      <c r="U4430" s="2">
        <f t="shared" si="698"/>
        <v>131.35760000000002</v>
      </c>
      <c r="V4430" s="2">
        <f t="shared" si="699"/>
        <v>702.47760000000005</v>
      </c>
      <c r="W4430" s="2">
        <f>135.98+1.76*S4430</f>
        <v>139.5</v>
      </c>
      <c r="X4430" s="5">
        <f t="shared" si="700"/>
        <v>0.75574310127468836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695"/>
        <v>431.62</v>
      </c>
      <c r="AL4430" s="5">
        <f t="shared" si="701"/>
        <v>0.75574310127468836</v>
      </c>
    </row>
    <row r="4431" spans="1:38" x14ac:dyDescent="0.2">
      <c r="A4431" s="2">
        <v>2026</v>
      </c>
      <c r="B4431" s="2">
        <v>7</v>
      </c>
      <c r="C4431" s="2" t="s">
        <v>3294</v>
      </c>
      <c r="D4431" s="15" t="s">
        <v>1125</v>
      </c>
      <c r="E4431" s="2" t="s">
        <v>108</v>
      </c>
      <c r="F4431" s="2" t="s">
        <v>39</v>
      </c>
      <c r="L4431" s="2" t="s">
        <v>461</v>
      </c>
      <c r="M4431" s="2" t="s">
        <v>40</v>
      </c>
      <c r="O4431" s="2" t="s">
        <v>3372</v>
      </c>
      <c r="P4431" s="2" t="s">
        <v>114</v>
      </c>
      <c r="Q4431" s="16" t="s">
        <v>3366</v>
      </c>
      <c r="R4431" s="15" t="s">
        <v>3367</v>
      </c>
      <c r="S4431" s="13">
        <v>16</v>
      </c>
      <c r="T4431" s="14">
        <v>117.6</v>
      </c>
      <c r="U4431" s="2">
        <f t="shared" si="698"/>
        <v>27.047999999999998</v>
      </c>
      <c r="V4431" s="2">
        <f t="shared" si="699"/>
        <v>144.648</v>
      </c>
      <c r="W4431" s="2">
        <f>3.5+5*S4431</f>
        <v>83.5</v>
      </c>
      <c r="X4431" s="5">
        <f t="shared" si="700"/>
        <v>0.28996598639455778</v>
      </c>
      <c r="Z4431" s="2" t="s">
        <v>117</v>
      </c>
      <c r="AA4431" s="2" t="s">
        <v>118</v>
      </c>
      <c r="AB4431" s="2" t="s">
        <v>119</v>
      </c>
      <c r="AC4431" s="2" t="s">
        <v>114</v>
      </c>
      <c r="AK4431" s="2">
        <f t="shared" si="695"/>
        <v>34.099999999999994</v>
      </c>
      <c r="AL4431" s="5">
        <f t="shared" si="701"/>
        <v>0.28996598639455778</v>
      </c>
    </row>
    <row r="4432" spans="1:38" x14ac:dyDescent="0.2">
      <c r="A4432" s="2">
        <v>2026</v>
      </c>
      <c r="B4432" s="2">
        <v>7</v>
      </c>
      <c r="C4432" s="2" t="s">
        <v>3424</v>
      </c>
      <c r="D4432" s="2" t="s">
        <v>37</v>
      </c>
      <c r="E4432" s="2" t="s">
        <v>38</v>
      </c>
      <c r="F4432" s="2" t="s">
        <v>39</v>
      </c>
      <c r="L4432" s="2" t="s">
        <v>3269</v>
      </c>
      <c r="M4432" s="2" t="s">
        <v>80</v>
      </c>
      <c r="P4432" s="2" t="s">
        <v>43</v>
      </c>
      <c r="Q4432" s="23" t="s">
        <v>54</v>
      </c>
      <c r="R4432" s="23" t="s">
        <v>55</v>
      </c>
      <c r="S4432" s="21">
        <v>3</v>
      </c>
      <c r="T4432" s="22">
        <v>48</v>
      </c>
      <c r="U4432" s="2">
        <f t="shared" si="698"/>
        <v>11.040000000000001</v>
      </c>
      <c r="V4432" s="2">
        <f t="shared" si="699"/>
        <v>59.04</v>
      </c>
      <c r="W4432" s="2">
        <f>10.6*S4432</f>
        <v>31.799999999999997</v>
      </c>
      <c r="X4432" s="5">
        <f t="shared" si="700"/>
        <v>0.33750000000000008</v>
      </c>
      <c r="Z4432" s="2" t="s">
        <v>3226</v>
      </c>
      <c r="AA4432" s="2" t="s">
        <v>46</v>
      </c>
      <c r="AB4432" s="2" t="s">
        <v>56</v>
      </c>
      <c r="AC4432" s="2" t="s">
        <v>57</v>
      </c>
      <c r="AK4432" s="2">
        <f t="shared" si="695"/>
        <v>16.200000000000003</v>
      </c>
      <c r="AL4432" s="5">
        <f t="shared" si="701"/>
        <v>0.33750000000000008</v>
      </c>
    </row>
    <row r="4433" spans="1:38" x14ac:dyDescent="0.2">
      <c r="A4433" s="2">
        <v>2026</v>
      </c>
      <c r="B4433" s="2">
        <v>7</v>
      </c>
      <c r="C4433" s="2" t="s">
        <v>3424</v>
      </c>
      <c r="D4433" s="2" t="s">
        <v>37</v>
      </c>
      <c r="E4433" s="2" t="s">
        <v>38</v>
      </c>
      <c r="F4433" s="2" t="s">
        <v>39</v>
      </c>
      <c r="K4433" s="2" t="s">
        <v>3502</v>
      </c>
      <c r="L4433" s="2" t="s">
        <v>3269</v>
      </c>
      <c r="M4433" s="2" t="s">
        <v>80</v>
      </c>
      <c r="P4433" s="2" t="s">
        <v>43</v>
      </c>
      <c r="Q4433" s="23" t="s">
        <v>61</v>
      </c>
      <c r="R4433" s="23" t="s">
        <v>62</v>
      </c>
      <c r="S4433" s="21">
        <v>700</v>
      </c>
      <c r="T4433" s="22">
        <v>70</v>
      </c>
      <c r="U4433" s="2">
        <f t="shared" si="698"/>
        <v>16.100000000000001</v>
      </c>
      <c r="V4433" s="2">
        <f t="shared" si="699"/>
        <v>86.1</v>
      </c>
      <c r="W4433" s="2">
        <f>0.082*S4433</f>
        <v>57.400000000000006</v>
      </c>
      <c r="X4433" s="5">
        <f t="shared" si="700"/>
        <v>0.17999999999999991</v>
      </c>
      <c r="Z4433" s="2" t="s">
        <v>3226</v>
      </c>
      <c r="AA4433" s="2" t="s">
        <v>46</v>
      </c>
      <c r="AB4433" s="2" t="s">
        <v>60</v>
      </c>
      <c r="AC4433" s="2" t="s">
        <v>57</v>
      </c>
      <c r="AK4433" s="2">
        <f t="shared" si="695"/>
        <v>12.599999999999994</v>
      </c>
      <c r="AL4433" s="5">
        <f t="shared" si="701"/>
        <v>0.17999999999999991</v>
      </c>
    </row>
    <row r="4434" spans="1:38" x14ac:dyDescent="0.2">
      <c r="A4434" s="2">
        <v>2026</v>
      </c>
      <c r="B4434" s="2">
        <v>7</v>
      </c>
      <c r="C4434" s="2" t="s">
        <v>3424</v>
      </c>
      <c r="D4434" s="23" t="s">
        <v>1543</v>
      </c>
      <c r="E4434" s="2" t="s">
        <v>108</v>
      </c>
      <c r="F4434" s="2" t="s">
        <v>39</v>
      </c>
      <c r="L4434" s="2" t="s">
        <v>177</v>
      </c>
      <c r="M4434" s="2" t="s">
        <v>40</v>
      </c>
      <c r="P4434" s="2" t="s">
        <v>114</v>
      </c>
      <c r="Q4434" s="23" t="s">
        <v>561</v>
      </c>
      <c r="R4434" s="23" t="s">
        <v>562</v>
      </c>
      <c r="S4434" s="21">
        <v>1</v>
      </c>
      <c r="T4434" s="22">
        <v>14.29</v>
      </c>
      <c r="U4434" s="2">
        <f t="shared" si="698"/>
        <v>3.2866999999999997</v>
      </c>
      <c r="V4434" s="2">
        <f t="shared" si="699"/>
        <v>17.576699999999999</v>
      </c>
      <c r="W4434" s="2">
        <f>5.33*S4434</f>
        <v>5.33</v>
      </c>
      <c r="X4434" s="5">
        <f t="shared" si="700"/>
        <v>0.62701189643107069</v>
      </c>
      <c r="Y4434" s="2" t="s">
        <v>3300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695"/>
        <v>8.9599999999999991</v>
      </c>
      <c r="AL4434" s="5">
        <f>(T4434-W4434)/T4434</f>
        <v>0.62701189643107069</v>
      </c>
    </row>
    <row r="4435" spans="1:38" x14ac:dyDescent="0.2">
      <c r="A4435" s="2">
        <v>2026</v>
      </c>
      <c r="B4435" s="2">
        <v>7</v>
      </c>
      <c r="C4435" s="2" t="s">
        <v>3424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114</v>
      </c>
      <c r="Q4435" s="23" t="s">
        <v>467</v>
      </c>
      <c r="R4435" s="23" t="s">
        <v>468</v>
      </c>
      <c r="S4435" s="21">
        <v>1</v>
      </c>
      <c r="T4435" s="22">
        <v>418.99</v>
      </c>
      <c r="U4435" s="2">
        <f t="shared" si="698"/>
        <v>96.367699999999999</v>
      </c>
      <c r="V4435" s="2">
        <f t="shared" si="699"/>
        <v>515.35770000000002</v>
      </c>
      <c r="W4435" s="2">
        <v>237.8466</v>
      </c>
      <c r="X4435" s="5">
        <f t="shared" si="700"/>
        <v>0.43233346857920241</v>
      </c>
      <c r="Z4435" s="2" t="s">
        <v>117</v>
      </c>
      <c r="AA4435" s="2" t="s">
        <v>118</v>
      </c>
      <c r="AB4435" s="2" t="s">
        <v>119</v>
      </c>
      <c r="AC4435" s="2" t="s">
        <v>114</v>
      </c>
      <c r="AK4435" s="2">
        <f t="shared" si="695"/>
        <v>181.14340000000001</v>
      </c>
      <c r="AL4435" s="5">
        <f t="shared" si="701"/>
        <v>0.43233346857920241</v>
      </c>
    </row>
    <row r="4436" spans="1:38" x14ac:dyDescent="0.2">
      <c r="A4436" s="2">
        <v>2026</v>
      </c>
      <c r="B4436" s="2">
        <v>7</v>
      </c>
      <c r="C4436" s="2" t="s">
        <v>3424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188</v>
      </c>
      <c r="R4436" s="23" t="s">
        <v>189</v>
      </c>
      <c r="S4436" s="21">
        <v>1</v>
      </c>
      <c r="T4436" s="22">
        <v>99</v>
      </c>
      <c r="U4436" s="2">
        <f t="shared" si="698"/>
        <v>22.77</v>
      </c>
      <c r="V4436" s="2">
        <f t="shared" si="699"/>
        <v>121.77</v>
      </c>
      <c r="W4436" s="2">
        <f>T4436*40%</f>
        <v>39.6</v>
      </c>
      <c r="X4436" s="5">
        <f t="shared" si="700"/>
        <v>0.6</v>
      </c>
      <c r="Z4436" s="2" t="s">
        <v>117</v>
      </c>
      <c r="AA4436" s="2" t="s">
        <v>190</v>
      </c>
      <c r="AB4436" s="2" t="s">
        <v>189</v>
      </c>
      <c r="AC4436" s="2" t="s">
        <v>40</v>
      </c>
      <c r="AK4436" s="2">
        <f t="shared" si="695"/>
        <v>59.4</v>
      </c>
      <c r="AL4436" s="5">
        <f t="shared" si="701"/>
        <v>0.6</v>
      </c>
    </row>
    <row r="4437" spans="1:38" x14ac:dyDescent="0.2">
      <c r="A4437" s="2">
        <v>2026</v>
      </c>
      <c r="B4437" s="2">
        <v>7</v>
      </c>
      <c r="C4437" s="2" t="s">
        <v>3424</v>
      </c>
      <c r="D4437" s="23" t="s">
        <v>2774</v>
      </c>
      <c r="E4437" s="2" t="s">
        <v>108</v>
      </c>
      <c r="F4437" s="2" t="s">
        <v>39</v>
      </c>
      <c r="L4437" s="2" t="s">
        <v>2438</v>
      </c>
      <c r="M4437" s="2" t="s">
        <v>40</v>
      </c>
      <c r="P4437" s="2" t="s">
        <v>187</v>
      </c>
      <c r="Q4437" s="23" t="s">
        <v>191</v>
      </c>
      <c r="R4437" s="23" t="s">
        <v>190</v>
      </c>
      <c r="S4437" s="21">
        <v>1</v>
      </c>
      <c r="T4437" s="22">
        <v>49.5</v>
      </c>
      <c r="U4437" s="2">
        <f t="shared" si="698"/>
        <v>11.385</v>
      </c>
      <c r="V4437" s="2">
        <f t="shared" si="699"/>
        <v>60.884999999999998</v>
      </c>
      <c r="W4437" s="2">
        <f>T4437*50%</f>
        <v>24.75</v>
      </c>
      <c r="X4437" s="5">
        <f t="shared" si="700"/>
        <v>0.5</v>
      </c>
      <c r="Z4437" s="2" t="s">
        <v>117</v>
      </c>
      <c r="AA4437" s="2" t="s">
        <v>190</v>
      </c>
      <c r="AB4437" s="2" t="s">
        <v>190</v>
      </c>
      <c r="AC4437" s="2" t="s">
        <v>40</v>
      </c>
      <c r="AK4437" s="2">
        <f t="shared" si="695"/>
        <v>24.75</v>
      </c>
      <c r="AL4437" s="5">
        <f t="shared" si="701"/>
        <v>0.5</v>
      </c>
    </row>
    <row r="4438" spans="1:38" x14ac:dyDescent="0.2">
      <c r="A4438" s="2">
        <v>2026</v>
      </c>
      <c r="B4438" s="2">
        <v>7</v>
      </c>
      <c r="C4438" s="2" t="s">
        <v>3424</v>
      </c>
      <c r="D4438" s="23" t="s">
        <v>1573</v>
      </c>
      <c r="E4438" s="2" t="s">
        <v>752</v>
      </c>
      <c r="F4438" s="2" t="s">
        <v>39</v>
      </c>
      <c r="L4438" s="2" t="s">
        <v>461</v>
      </c>
      <c r="M4438" s="2" t="s">
        <v>109</v>
      </c>
      <c r="P4438" s="2" t="s">
        <v>282</v>
      </c>
      <c r="Q4438" s="23" t="s">
        <v>2996</v>
      </c>
      <c r="R4438" s="23" t="s">
        <v>2997</v>
      </c>
      <c r="S4438" s="21">
        <v>1</v>
      </c>
      <c r="T4438" s="22">
        <v>1130.5</v>
      </c>
      <c r="U4438" s="2">
        <f t="shared" si="698"/>
        <v>260.01499999999999</v>
      </c>
      <c r="V4438" s="2">
        <f t="shared" si="699"/>
        <v>1390.5149999999999</v>
      </c>
      <c r="W4438" s="2">
        <v>773.5</v>
      </c>
      <c r="X4438" s="5">
        <f t="shared" si="700"/>
        <v>0.31578947368421051</v>
      </c>
      <c r="Z4438" s="2" t="s">
        <v>104</v>
      </c>
      <c r="AA4438" s="2" t="s">
        <v>181</v>
      </c>
      <c r="AB4438" s="2" t="s">
        <v>119</v>
      </c>
      <c r="AC4438" s="2" t="s">
        <v>1327</v>
      </c>
      <c r="AK4438" s="2">
        <f t="shared" si="695"/>
        <v>357</v>
      </c>
      <c r="AL4438" s="5">
        <f t="shared" si="701"/>
        <v>0.31578947368421051</v>
      </c>
    </row>
    <row r="4439" spans="1:38" x14ac:dyDescent="0.2">
      <c r="A4439" s="2">
        <v>2026</v>
      </c>
      <c r="B4439" s="2">
        <v>7</v>
      </c>
      <c r="C4439" s="2" t="s">
        <v>3424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188</v>
      </c>
      <c r="R4439" s="23" t="s">
        <v>189</v>
      </c>
      <c r="S4439" s="21">
        <v>1</v>
      </c>
      <c r="T4439" s="22">
        <v>60</v>
      </c>
      <c r="U4439" s="2">
        <f t="shared" si="698"/>
        <v>13.8</v>
      </c>
      <c r="V4439" s="2">
        <f t="shared" si="699"/>
        <v>73.8</v>
      </c>
      <c r="W4439" s="2">
        <f>T4439*40%</f>
        <v>24</v>
      </c>
      <c r="X4439" s="5">
        <f t="shared" si="700"/>
        <v>0.6</v>
      </c>
      <c r="Z4439" s="2" t="s">
        <v>117</v>
      </c>
      <c r="AA4439" s="2" t="s">
        <v>190</v>
      </c>
      <c r="AB4439" s="2" t="s">
        <v>189</v>
      </c>
      <c r="AC4439" s="2" t="s">
        <v>40</v>
      </c>
      <c r="AK4439" s="2">
        <f t="shared" si="695"/>
        <v>36</v>
      </c>
      <c r="AL4439" s="5">
        <f t="shared" si="701"/>
        <v>0.6</v>
      </c>
    </row>
    <row r="4440" spans="1:38" x14ac:dyDescent="0.2">
      <c r="A4440" s="2">
        <v>2026</v>
      </c>
      <c r="B4440" s="2">
        <v>7</v>
      </c>
      <c r="C4440" s="2" t="s">
        <v>3424</v>
      </c>
      <c r="D4440" s="23" t="s">
        <v>840</v>
      </c>
      <c r="E4440" s="2" t="s">
        <v>108</v>
      </c>
      <c r="F4440" s="2" t="s">
        <v>531</v>
      </c>
      <c r="G4440" s="2">
        <v>504981285</v>
      </c>
      <c r="H4440" s="2" t="s">
        <v>290</v>
      </c>
      <c r="I4440" s="2" t="s">
        <v>841</v>
      </c>
      <c r="J4440" s="2" t="s">
        <v>842</v>
      </c>
      <c r="K4440" s="2">
        <v>932209225</v>
      </c>
      <c r="L4440" s="2" t="s">
        <v>339</v>
      </c>
      <c r="M4440" s="2" t="s">
        <v>40</v>
      </c>
      <c r="P4440" s="2" t="s">
        <v>187</v>
      </c>
      <c r="Q4440" s="23" t="s">
        <v>191</v>
      </c>
      <c r="R4440" s="23" t="s">
        <v>190</v>
      </c>
      <c r="S4440" s="21">
        <v>2</v>
      </c>
      <c r="T4440" s="22">
        <v>110</v>
      </c>
      <c r="U4440" s="2">
        <f t="shared" si="698"/>
        <v>25.3</v>
      </c>
      <c r="V4440" s="2">
        <f t="shared" si="699"/>
        <v>135.30000000000001</v>
      </c>
      <c r="W4440" s="2">
        <f>T4440*50%</f>
        <v>55</v>
      </c>
      <c r="X4440" s="5">
        <f t="shared" si="700"/>
        <v>0.5</v>
      </c>
      <c r="Z4440" s="2" t="s">
        <v>117</v>
      </c>
      <c r="AA4440" s="2" t="s">
        <v>190</v>
      </c>
      <c r="AB4440" s="2" t="s">
        <v>190</v>
      </c>
      <c r="AC4440" s="2" t="s">
        <v>40</v>
      </c>
      <c r="AK4440" s="2">
        <f t="shared" si="695"/>
        <v>55</v>
      </c>
      <c r="AL4440" s="5">
        <f t="shared" si="701"/>
        <v>0.5</v>
      </c>
    </row>
    <row r="4441" spans="1:38" x14ac:dyDescent="0.2">
      <c r="A4441" s="2">
        <v>2026</v>
      </c>
      <c r="B4441" s="2">
        <v>7</v>
      </c>
      <c r="C4441" s="2" t="s">
        <v>3424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72</v>
      </c>
      <c r="Q4441" s="23" t="s">
        <v>306</v>
      </c>
      <c r="R4441" s="23" t="s">
        <v>307</v>
      </c>
      <c r="S4441" s="21">
        <v>1</v>
      </c>
      <c r="T4441" s="22">
        <v>230</v>
      </c>
      <c r="U4441" s="2">
        <f t="shared" si="698"/>
        <v>52.900000000000006</v>
      </c>
      <c r="V4441" s="2">
        <f t="shared" si="699"/>
        <v>282.89999999999998</v>
      </c>
      <c r="W4441" s="2">
        <v>134.57</v>
      </c>
      <c r="X4441" s="5">
        <f t="shared" si="700"/>
        <v>0.41491304347826091</v>
      </c>
      <c r="Z4441" s="2" t="s">
        <v>3226</v>
      </c>
      <c r="AA4441" s="2" t="s">
        <v>75</v>
      </c>
      <c r="AB4441" s="2" t="s">
        <v>76</v>
      </c>
      <c r="AC4441" s="2" t="s">
        <v>77</v>
      </c>
      <c r="AK4441" s="2">
        <f t="shared" si="695"/>
        <v>95.43</v>
      </c>
      <c r="AL4441" s="5">
        <f t="shared" si="701"/>
        <v>0.41491304347826091</v>
      </c>
    </row>
    <row r="4442" spans="1:38" x14ac:dyDescent="0.2">
      <c r="A4442" s="2">
        <v>2026</v>
      </c>
      <c r="B4442" s="2">
        <v>7</v>
      </c>
      <c r="C4442" s="2" t="s">
        <v>3424</v>
      </c>
      <c r="D4442" s="23" t="s">
        <v>1622</v>
      </c>
      <c r="E4442" s="2" t="s">
        <v>108</v>
      </c>
      <c r="F4442" s="2" t="s">
        <v>477</v>
      </c>
      <c r="G4442" s="2">
        <v>504161342</v>
      </c>
      <c r="H4442" s="2" t="s">
        <v>290</v>
      </c>
      <c r="I4442" s="2" t="s">
        <v>1623</v>
      </c>
      <c r="J4442" s="2" t="s">
        <v>1624</v>
      </c>
      <c r="L4442" s="2" t="s">
        <v>293</v>
      </c>
      <c r="M4442" s="2" t="s">
        <v>80</v>
      </c>
      <c r="P4442" s="2" t="s">
        <v>93</v>
      </c>
      <c r="Q4442" s="23" t="s">
        <v>94</v>
      </c>
      <c r="R4442" s="23" t="s">
        <v>95</v>
      </c>
      <c r="S4442" s="21">
        <v>1</v>
      </c>
      <c r="T4442" s="22">
        <v>1.48</v>
      </c>
      <c r="U4442" s="2">
        <f t="shared" si="698"/>
        <v>0.34040000000000004</v>
      </c>
      <c r="V4442" s="2">
        <f t="shared" si="699"/>
        <v>1.8204</v>
      </c>
      <c r="W4442" s="2">
        <v>1.48</v>
      </c>
      <c r="X4442" s="5">
        <f t="shared" si="700"/>
        <v>0</v>
      </c>
      <c r="Z4442" s="2" t="s">
        <v>3226</v>
      </c>
      <c r="AA4442" s="2" t="s">
        <v>96</v>
      </c>
      <c r="AB4442" s="2" t="s">
        <v>76</v>
      </c>
      <c r="AC4442" s="2" t="s">
        <v>93</v>
      </c>
      <c r="AK4442" s="2">
        <f t="shared" si="695"/>
        <v>0</v>
      </c>
      <c r="AL4442" s="5">
        <f t="shared" si="701"/>
        <v>0</v>
      </c>
    </row>
    <row r="4443" spans="1:38" x14ac:dyDescent="0.2">
      <c r="A4443" s="2">
        <v>2026</v>
      </c>
      <c r="B4443" s="2">
        <v>7</v>
      </c>
      <c r="C4443" s="2" t="s">
        <v>3424</v>
      </c>
      <c r="D4443" s="2" t="s">
        <v>3425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72</v>
      </c>
      <c r="Q4443" s="2" t="s">
        <v>73</v>
      </c>
      <c r="R4443" s="2" t="s">
        <v>74</v>
      </c>
      <c r="S4443" s="13">
        <v>1</v>
      </c>
      <c r="T4443" s="14">
        <v>230</v>
      </c>
      <c r="U4443" s="2">
        <f t="shared" si="698"/>
        <v>52.900000000000006</v>
      </c>
      <c r="V4443" s="2">
        <f t="shared" si="699"/>
        <v>282.89999999999998</v>
      </c>
      <c r="W4443" s="2">
        <v>133.4614</v>
      </c>
      <c r="X4443" s="5">
        <f t="shared" si="700"/>
        <v>0.4197330434782609</v>
      </c>
      <c r="Z4443" s="2" t="s">
        <v>3226</v>
      </c>
      <c r="AA4443" s="2" t="s">
        <v>75</v>
      </c>
      <c r="AB4443" s="2" t="s">
        <v>76</v>
      </c>
      <c r="AC4443" s="2" t="s">
        <v>77</v>
      </c>
      <c r="AK4443" s="2">
        <f t="shared" si="695"/>
        <v>96.538600000000002</v>
      </c>
      <c r="AL4443" s="5">
        <f t="shared" si="701"/>
        <v>0.4197330434782609</v>
      </c>
    </row>
    <row r="4444" spans="1:38" x14ac:dyDescent="0.2">
      <c r="A4444" s="2">
        <v>2026</v>
      </c>
      <c r="B4444" s="2">
        <v>7</v>
      </c>
      <c r="C4444" s="2" t="s">
        <v>3424</v>
      </c>
      <c r="D4444" s="2" t="s">
        <v>3425</v>
      </c>
      <c r="E4444" s="2" t="s">
        <v>38</v>
      </c>
      <c r="F4444" s="2" t="s">
        <v>39</v>
      </c>
      <c r="L4444" s="2" t="s">
        <v>339</v>
      </c>
      <c r="M4444" s="2" t="s">
        <v>80</v>
      </c>
      <c r="P4444" s="2" t="s">
        <v>93</v>
      </c>
      <c r="Q4444" s="2" t="s">
        <v>94</v>
      </c>
      <c r="R4444" s="2" t="s">
        <v>95</v>
      </c>
      <c r="S4444" s="13">
        <v>1</v>
      </c>
      <c r="T4444" s="14">
        <v>1.48</v>
      </c>
      <c r="U4444" s="2">
        <f t="shared" si="698"/>
        <v>0.34040000000000004</v>
      </c>
      <c r="V4444" s="2">
        <f t="shared" si="699"/>
        <v>1.8204</v>
      </c>
      <c r="W4444" s="2">
        <v>1.48</v>
      </c>
      <c r="X4444" s="5">
        <f t="shared" si="700"/>
        <v>0</v>
      </c>
      <c r="Z4444" s="2" t="s">
        <v>3226</v>
      </c>
      <c r="AA4444" s="2" t="s">
        <v>96</v>
      </c>
      <c r="AB4444" s="2" t="s">
        <v>76</v>
      </c>
      <c r="AC4444" s="2" t="s">
        <v>93</v>
      </c>
      <c r="AK4444" s="2">
        <f t="shared" si="695"/>
        <v>0</v>
      </c>
      <c r="AL4444" s="5">
        <f t="shared" si="701"/>
        <v>0</v>
      </c>
    </row>
    <row r="4445" spans="1:38" x14ac:dyDescent="0.2">
      <c r="A4445" s="2">
        <v>2026</v>
      </c>
      <c r="B4445" s="2">
        <v>7</v>
      </c>
      <c r="C4445" s="2" t="s">
        <v>3424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1038</v>
      </c>
      <c r="Q4445" s="2" t="s">
        <v>2889</v>
      </c>
      <c r="R4445" s="2" t="s">
        <v>2890</v>
      </c>
      <c r="S4445" s="13">
        <v>1</v>
      </c>
      <c r="T4445" s="14">
        <v>223.1</v>
      </c>
      <c r="U4445" s="2">
        <f t="shared" si="698"/>
        <v>51.313000000000002</v>
      </c>
      <c r="V4445" s="2">
        <f t="shared" si="699"/>
        <v>274.41300000000001</v>
      </c>
      <c r="W4445" s="2">
        <v>141.16</v>
      </c>
      <c r="X4445" s="5">
        <f t="shared" si="700"/>
        <v>0.36727924697445091</v>
      </c>
      <c r="Z4445" s="2" t="s">
        <v>3226</v>
      </c>
      <c r="AA4445" s="2" t="s">
        <v>75</v>
      </c>
      <c r="AB4445" s="2" t="s">
        <v>76</v>
      </c>
      <c r="AC4445" s="2" t="s">
        <v>1038</v>
      </c>
      <c r="AK4445" s="2">
        <f t="shared" si="695"/>
        <v>81.94</v>
      </c>
      <c r="AL4445" s="5">
        <f t="shared" si="701"/>
        <v>0.36727924697445091</v>
      </c>
    </row>
    <row r="4446" spans="1:38" x14ac:dyDescent="0.2">
      <c r="A4446" s="2">
        <v>2026</v>
      </c>
      <c r="B4446" s="2">
        <v>7</v>
      </c>
      <c r="C4446" s="2" t="s">
        <v>3424</v>
      </c>
      <c r="D4446" s="2" t="s">
        <v>2578</v>
      </c>
      <c r="E4446" s="2" t="s">
        <v>183</v>
      </c>
      <c r="F4446" s="2" t="s">
        <v>2579</v>
      </c>
      <c r="G4446" s="2">
        <v>515259144</v>
      </c>
      <c r="H4446" s="2" t="s">
        <v>80</v>
      </c>
      <c r="I4446" s="2" t="s">
        <v>156</v>
      </c>
      <c r="J4446" s="2" t="s">
        <v>2580</v>
      </c>
      <c r="K4446" s="2">
        <v>968626165</v>
      </c>
      <c r="L4446" s="2" t="s">
        <v>99</v>
      </c>
      <c r="M4446" s="2" t="s">
        <v>80</v>
      </c>
      <c r="P4446" s="2" t="s">
        <v>93</v>
      </c>
      <c r="Q4446" s="2" t="s">
        <v>94</v>
      </c>
      <c r="R4446" s="2" t="s">
        <v>95</v>
      </c>
      <c r="S4446" s="13">
        <v>1</v>
      </c>
      <c r="T4446" s="14">
        <v>1.48</v>
      </c>
      <c r="U4446" s="2">
        <f t="shared" si="698"/>
        <v>0.34040000000000004</v>
      </c>
      <c r="V4446" s="2">
        <f t="shared" si="699"/>
        <v>1.8204</v>
      </c>
      <c r="W4446" s="2">
        <v>1.48</v>
      </c>
      <c r="X4446" s="5">
        <f t="shared" si="700"/>
        <v>0</v>
      </c>
      <c r="Z4446" s="2" t="s">
        <v>3226</v>
      </c>
      <c r="AA4446" s="2" t="s">
        <v>96</v>
      </c>
      <c r="AB4446" s="2" t="s">
        <v>76</v>
      </c>
      <c r="AC4446" s="2" t="s">
        <v>93</v>
      </c>
      <c r="AK4446" s="2">
        <f t="shared" si="695"/>
        <v>0</v>
      </c>
      <c r="AL4446" s="5">
        <f t="shared" si="701"/>
        <v>0</v>
      </c>
    </row>
    <row r="4447" spans="1:38" x14ac:dyDescent="0.2">
      <c r="A4447" s="2">
        <v>2026</v>
      </c>
      <c r="B4447" s="2">
        <v>7</v>
      </c>
      <c r="C4447" s="2" t="s">
        <v>3424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50</v>
      </c>
      <c r="R4447" s="2" t="s">
        <v>51</v>
      </c>
      <c r="S4447" s="13">
        <v>1</v>
      </c>
      <c r="T4447" s="14">
        <v>21</v>
      </c>
      <c r="U4447" s="2">
        <f t="shared" si="698"/>
        <v>4.83</v>
      </c>
      <c r="V4447" s="2">
        <f t="shared" si="699"/>
        <v>25.83</v>
      </c>
      <c r="W4447" s="2">
        <f>14.4*S4447</f>
        <v>14.4</v>
      </c>
      <c r="X4447" s="5">
        <f t="shared" si="700"/>
        <v>0.31428571428571428</v>
      </c>
      <c r="Z4447" s="2" t="s">
        <v>3226</v>
      </c>
      <c r="AA4447" s="2" t="s">
        <v>46</v>
      </c>
      <c r="AB4447" s="2" t="s">
        <v>47</v>
      </c>
      <c r="AC4447" s="2" t="s">
        <v>57</v>
      </c>
      <c r="AK4447" s="2">
        <f t="shared" si="695"/>
        <v>6.6</v>
      </c>
      <c r="AL4447" s="5">
        <f t="shared" si="701"/>
        <v>0.31428571428571428</v>
      </c>
    </row>
    <row r="4448" spans="1:38" x14ac:dyDescent="0.2">
      <c r="A4448" s="2">
        <v>2026</v>
      </c>
      <c r="B4448" s="2">
        <v>7</v>
      </c>
      <c r="C4448" s="2" t="s">
        <v>3424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43</v>
      </c>
      <c r="Q4448" s="2" t="s">
        <v>54</v>
      </c>
      <c r="R4448" s="2" t="s">
        <v>55</v>
      </c>
      <c r="S4448" s="13">
        <v>2</v>
      </c>
      <c r="T4448" s="14">
        <v>36</v>
      </c>
      <c r="U4448" s="2">
        <f t="shared" ref="U4448:U4479" si="702">T4448*23%</f>
        <v>8.2800000000000011</v>
      </c>
      <c r="V4448" s="2">
        <f t="shared" ref="V4448:V4479" si="703">T4448+U4448</f>
        <v>44.28</v>
      </c>
      <c r="W4448" s="2">
        <f>10.6*S4448</f>
        <v>21.2</v>
      </c>
      <c r="X4448" s="5">
        <f t="shared" si="700"/>
        <v>0.41111111111111115</v>
      </c>
      <c r="Z4448" s="2" t="s">
        <v>3226</v>
      </c>
      <c r="AA4448" s="2" t="s">
        <v>46</v>
      </c>
      <c r="AB4448" s="2" t="s">
        <v>56</v>
      </c>
      <c r="AC4448" s="2" t="s">
        <v>57</v>
      </c>
      <c r="AK4448" s="2">
        <f t="shared" si="695"/>
        <v>14.8</v>
      </c>
      <c r="AL4448" s="5">
        <f t="shared" si="701"/>
        <v>0.41111111111111115</v>
      </c>
    </row>
    <row r="4449" spans="1:38" x14ac:dyDescent="0.2">
      <c r="A4449" s="2">
        <v>2026</v>
      </c>
      <c r="B4449" s="2">
        <v>7</v>
      </c>
      <c r="C4449" s="2" t="s">
        <v>3424</v>
      </c>
      <c r="D4449" s="2" t="s">
        <v>1008</v>
      </c>
      <c r="E4449" s="2" t="s">
        <v>108</v>
      </c>
      <c r="F4449" s="2" t="s">
        <v>39</v>
      </c>
      <c r="L4449" s="2" t="s">
        <v>418</v>
      </c>
      <c r="M4449" s="2" t="s">
        <v>41</v>
      </c>
      <c r="P4449" s="2" t="s">
        <v>169</v>
      </c>
      <c r="Q4449" s="2" t="s">
        <v>170</v>
      </c>
      <c r="R4449" s="2" t="s">
        <v>170</v>
      </c>
      <c r="S4449" s="13">
        <v>1</v>
      </c>
      <c r="T4449" s="14">
        <v>8</v>
      </c>
      <c r="U4449" s="2">
        <f t="shared" si="702"/>
        <v>1.84</v>
      </c>
      <c r="V4449" s="2">
        <f t="shared" si="703"/>
        <v>9.84</v>
      </c>
      <c r="W4449" s="2">
        <v>6</v>
      </c>
      <c r="X4449" s="5">
        <f t="shared" si="700"/>
        <v>0.25</v>
      </c>
      <c r="Z4449" s="2" t="s">
        <v>169</v>
      </c>
      <c r="AA4449" s="2" t="s">
        <v>169</v>
      </c>
      <c r="AK4449" s="2">
        <f t="shared" si="695"/>
        <v>2</v>
      </c>
      <c r="AL4449" s="5">
        <f t="shared" si="701"/>
        <v>0.25</v>
      </c>
    </row>
    <row r="4450" spans="1:38" x14ac:dyDescent="0.2">
      <c r="A4450" s="2">
        <v>2026</v>
      </c>
      <c r="B4450" s="2">
        <v>7</v>
      </c>
      <c r="C4450" s="2" t="s">
        <v>3424</v>
      </c>
      <c r="D4450" s="2" t="s">
        <v>433</v>
      </c>
      <c r="E4450" s="2" t="s">
        <v>38</v>
      </c>
      <c r="F4450" s="2" t="s">
        <v>39</v>
      </c>
      <c r="G4450" s="2">
        <v>507405250</v>
      </c>
      <c r="L4450" s="2" t="s">
        <v>99</v>
      </c>
      <c r="M4450" s="2" t="s">
        <v>41</v>
      </c>
      <c r="P4450" s="2" t="s">
        <v>282</v>
      </c>
      <c r="Q4450" s="2" t="s">
        <v>399</v>
      </c>
      <c r="R4450" s="2" t="s">
        <v>400</v>
      </c>
      <c r="S4450" s="13">
        <v>20</v>
      </c>
      <c r="T4450" s="14">
        <v>400</v>
      </c>
      <c r="U4450" s="2">
        <f t="shared" si="702"/>
        <v>92</v>
      </c>
      <c r="V4450" s="2">
        <f t="shared" si="703"/>
        <v>492</v>
      </c>
      <c r="W4450" s="2">
        <f>14.5099*S4450</f>
        <v>290.19799999999998</v>
      </c>
      <c r="X4450" s="5">
        <f t="shared" si="700"/>
        <v>0.27450500000000005</v>
      </c>
      <c r="Z4450" s="2" t="s">
        <v>3226</v>
      </c>
      <c r="AA4450" s="2" t="s">
        <v>46</v>
      </c>
      <c r="AB4450" s="2" t="s">
        <v>60</v>
      </c>
      <c r="AC4450" s="2" t="s">
        <v>3331</v>
      </c>
      <c r="AK4450" s="2">
        <f t="shared" si="695"/>
        <v>109.80200000000002</v>
      </c>
      <c r="AL4450" s="5">
        <f t="shared" si="701"/>
        <v>0.27450500000000005</v>
      </c>
    </row>
    <row r="4451" spans="1:38" x14ac:dyDescent="0.2">
      <c r="A4451" s="2">
        <v>2026</v>
      </c>
      <c r="B4451" s="2">
        <v>7</v>
      </c>
      <c r="C4451" s="2" t="s">
        <v>3424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48</v>
      </c>
      <c r="R4451" s="2" t="s">
        <v>49</v>
      </c>
      <c r="S4451" s="13">
        <v>4</v>
      </c>
      <c r="T4451" s="14">
        <v>52</v>
      </c>
      <c r="U4451" s="2">
        <f t="shared" si="702"/>
        <v>11.96</v>
      </c>
      <c r="V4451" s="2">
        <f t="shared" si="703"/>
        <v>63.96</v>
      </c>
      <c r="W4451" s="2">
        <f>6.6267*S4451</f>
        <v>26.506799999999998</v>
      </c>
      <c r="X4451" s="5">
        <f t="shared" si="700"/>
        <v>0.49025384615384621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695"/>
        <v>25.493200000000002</v>
      </c>
      <c r="AL4451" s="5">
        <f t="shared" si="701"/>
        <v>0.49025384615384621</v>
      </c>
    </row>
    <row r="4452" spans="1:38" x14ac:dyDescent="0.2">
      <c r="A4452" s="2">
        <v>2026</v>
      </c>
      <c r="B4452" s="2">
        <v>7</v>
      </c>
      <c r="C4452" s="2" t="s">
        <v>3424</v>
      </c>
      <c r="D4452" s="2" t="s">
        <v>439</v>
      </c>
      <c r="E4452" s="2" t="s">
        <v>38</v>
      </c>
      <c r="F4452" s="2" t="s">
        <v>39</v>
      </c>
      <c r="L4452" s="2" t="s">
        <v>177</v>
      </c>
      <c r="M4452" s="2" t="s">
        <v>41</v>
      </c>
      <c r="P4452" s="2" t="s">
        <v>43</v>
      </c>
      <c r="Q4452" s="2" t="s">
        <v>50</v>
      </c>
      <c r="R4452" s="2" t="s">
        <v>51</v>
      </c>
      <c r="S4452" s="13">
        <v>1</v>
      </c>
      <c r="T4452" s="14">
        <v>21</v>
      </c>
      <c r="U4452" s="2">
        <f t="shared" si="702"/>
        <v>4.83</v>
      </c>
      <c r="V4452" s="2">
        <f t="shared" si="703"/>
        <v>25.83</v>
      </c>
      <c r="W4452" s="2">
        <f>14.4*S4452</f>
        <v>14.4</v>
      </c>
      <c r="X4452" s="5">
        <f t="shared" si="700"/>
        <v>0.31428571428571428</v>
      </c>
      <c r="Z4452" s="2" t="s">
        <v>3226</v>
      </c>
      <c r="AA4452" s="2" t="s">
        <v>46</v>
      </c>
      <c r="AB4452" s="2" t="s">
        <v>47</v>
      </c>
      <c r="AC4452" s="2" t="s">
        <v>57</v>
      </c>
      <c r="AK4452" s="2">
        <f t="shared" si="695"/>
        <v>6.6</v>
      </c>
      <c r="AL4452" s="5">
        <f t="shared" si="701"/>
        <v>0.31428571428571428</v>
      </c>
    </row>
    <row r="4453" spans="1:38" x14ac:dyDescent="0.2">
      <c r="A4453" s="2">
        <v>2026</v>
      </c>
      <c r="B4453" s="2">
        <v>7</v>
      </c>
      <c r="C4453" s="2" t="s">
        <v>3424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1038</v>
      </c>
      <c r="Q4453" s="2" t="s">
        <v>3426</v>
      </c>
      <c r="R4453" s="2" t="s">
        <v>3427</v>
      </c>
      <c r="S4453" s="13">
        <v>1</v>
      </c>
      <c r="T4453" s="14">
        <v>287</v>
      </c>
      <c r="U4453" s="2">
        <f t="shared" si="702"/>
        <v>66.010000000000005</v>
      </c>
      <c r="V4453" s="2">
        <f t="shared" si="703"/>
        <v>353.01</v>
      </c>
      <c r="W4453" s="2">
        <v>157.85</v>
      </c>
      <c r="X4453" s="5">
        <f t="shared" si="700"/>
        <v>0.45</v>
      </c>
      <c r="Z4453" s="2" t="s">
        <v>3226</v>
      </c>
      <c r="AA4453" s="2" t="s">
        <v>75</v>
      </c>
      <c r="AB4453" s="2" t="s">
        <v>76</v>
      </c>
      <c r="AC4453" s="2" t="s">
        <v>77</v>
      </c>
      <c r="AK4453" s="2">
        <f t="shared" si="695"/>
        <v>129.15</v>
      </c>
      <c r="AL4453" s="5">
        <f t="shared" si="701"/>
        <v>0.45</v>
      </c>
    </row>
    <row r="4454" spans="1:38" x14ac:dyDescent="0.2">
      <c r="A4454" s="2">
        <v>2026</v>
      </c>
      <c r="B4454" s="2">
        <v>7</v>
      </c>
      <c r="C4454" s="2" t="s">
        <v>3424</v>
      </c>
      <c r="D4454" s="2" t="s">
        <v>816</v>
      </c>
      <c r="E4454" s="2" t="s">
        <v>38</v>
      </c>
      <c r="F4454" s="2" t="s">
        <v>39</v>
      </c>
      <c r="L4454" s="2" t="s">
        <v>480</v>
      </c>
      <c r="M4454" s="2" t="s">
        <v>80</v>
      </c>
      <c r="P4454" s="2" t="s">
        <v>93</v>
      </c>
      <c r="Q4454" s="2" t="s">
        <v>94</v>
      </c>
      <c r="R4454" s="2" t="s">
        <v>95</v>
      </c>
      <c r="S4454" s="13">
        <v>1</v>
      </c>
      <c r="T4454" s="14">
        <v>1.48</v>
      </c>
      <c r="U4454" s="2">
        <f t="shared" si="702"/>
        <v>0.34040000000000004</v>
      </c>
      <c r="V4454" s="2">
        <f t="shared" si="703"/>
        <v>1.8204</v>
      </c>
      <c r="W4454" s="2">
        <v>1.48</v>
      </c>
      <c r="X4454" s="5">
        <f t="shared" si="700"/>
        <v>0</v>
      </c>
      <c r="Z4454" s="2" t="s">
        <v>3226</v>
      </c>
      <c r="AA4454" s="2" t="s">
        <v>96</v>
      </c>
      <c r="AB4454" s="2" t="s">
        <v>76</v>
      </c>
      <c r="AC4454" s="2" t="s">
        <v>93</v>
      </c>
      <c r="AK4454" s="2">
        <f t="shared" si="695"/>
        <v>0</v>
      </c>
      <c r="AL4454" s="5">
        <f t="shared" si="701"/>
        <v>0</v>
      </c>
    </row>
    <row r="4455" spans="1:38" x14ac:dyDescent="0.2">
      <c r="A4455" s="2">
        <v>2026</v>
      </c>
      <c r="B4455" s="2">
        <v>7</v>
      </c>
      <c r="C4455" s="2" t="s">
        <v>3424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1038</v>
      </c>
      <c r="Q4455" s="2" t="s">
        <v>3428</v>
      </c>
      <c r="R4455" s="2" t="s">
        <v>3429</v>
      </c>
      <c r="S4455" s="13">
        <v>1</v>
      </c>
      <c r="T4455" s="14">
        <v>390</v>
      </c>
      <c r="U4455" s="2">
        <f t="shared" si="702"/>
        <v>89.7</v>
      </c>
      <c r="V4455" s="2">
        <f t="shared" si="703"/>
        <v>479.7</v>
      </c>
      <c r="W4455" s="2">
        <v>217</v>
      </c>
      <c r="X4455" s="5">
        <f t="shared" ref="X4455:X4471" si="704">(T4455-W4455)/T4455</f>
        <v>0.44358974358974357</v>
      </c>
      <c r="Z4455" s="2" t="s">
        <v>3226</v>
      </c>
      <c r="AA4455" s="2" t="s">
        <v>75</v>
      </c>
      <c r="AB4455" s="2" t="s">
        <v>76</v>
      </c>
      <c r="AC4455" s="2" t="s">
        <v>1038</v>
      </c>
      <c r="AK4455" s="2">
        <f t="shared" si="695"/>
        <v>173</v>
      </c>
      <c r="AL4455" s="5">
        <f t="shared" ref="AL4455:AL4471" si="705">(T4455-W4455)/T4455</f>
        <v>0.44358974358974357</v>
      </c>
    </row>
    <row r="4456" spans="1:38" x14ac:dyDescent="0.2">
      <c r="A4456" s="2">
        <v>2026</v>
      </c>
      <c r="B4456" s="2">
        <v>7</v>
      </c>
      <c r="C4456" s="2" t="s">
        <v>3424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169</v>
      </c>
      <c r="Q4456" s="2" t="s">
        <v>170</v>
      </c>
      <c r="R4456" s="2" t="s">
        <v>170</v>
      </c>
      <c r="S4456" s="13">
        <v>1</v>
      </c>
      <c r="T4456" s="14">
        <v>15</v>
      </c>
      <c r="U4456" s="2">
        <f t="shared" si="702"/>
        <v>3.45</v>
      </c>
      <c r="V4456" s="2">
        <f t="shared" si="703"/>
        <v>18.45</v>
      </c>
      <c r="W4456" s="2">
        <v>28</v>
      </c>
      <c r="X4456" s="5">
        <f t="shared" si="704"/>
        <v>-0.8666666666666667</v>
      </c>
      <c r="Z4456" s="2" t="s">
        <v>169</v>
      </c>
      <c r="AA4456" s="2" t="s">
        <v>169</v>
      </c>
      <c r="AK4456" s="2">
        <f t="shared" si="695"/>
        <v>-13</v>
      </c>
      <c r="AL4456" s="5">
        <f t="shared" si="705"/>
        <v>-0.8666666666666667</v>
      </c>
    </row>
    <row r="4457" spans="1:38" x14ac:dyDescent="0.2">
      <c r="A4457" s="2">
        <v>2026</v>
      </c>
      <c r="B4457" s="2">
        <v>7</v>
      </c>
      <c r="C4457" s="2" t="s">
        <v>3424</v>
      </c>
      <c r="D4457" s="2" t="s">
        <v>2143</v>
      </c>
      <c r="E4457" s="2" t="s">
        <v>108</v>
      </c>
      <c r="F4457" s="2" t="s">
        <v>39</v>
      </c>
      <c r="I4457" s="2" t="s">
        <v>315</v>
      </c>
      <c r="L4457" s="2" t="s">
        <v>99</v>
      </c>
      <c r="M4457" s="2" t="s">
        <v>80</v>
      </c>
      <c r="P4457" s="2" t="s">
        <v>93</v>
      </c>
      <c r="Q4457" s="2" t="s">
        <v>94</v>
      </c>
      <c r="R4457" s="2" t="s">
        <v>95</v>
      </c>
      <c r="S4457" s="13">
        <v>1</v>
      </c>
      <c r="T4457" s="14">
        <v>1.48</v>
      </c>
      <c r="U4457" s="2">
        <f t="shared" si="702"/>
        <v>0.34040000000000004</v>
      </c>
      <c r="V4457" s="2">
        <f t="shared" si="703"/>
        <v>1.8204</v>
      </c>
      <c r="W4457" s="2">
        <v>1.48</v>
      </c>
      <c r="X4457" s="5">
        <f t="shared" si="704"/>
        <v>0</v>
      </c>
      <c r="Z4457" s="2" t="s">
        <v>3226</v>
      </c>
      <c r="AA4457" s="2" t="s">
        <v>96</v>
      </c>
      <c r="AB4457" s="2" t="s">
        <v>76</v>
      </c>
      <c r="AC4457" s="2" t="s">
        <v>93</v>
      </c>
      <c r="AK4457" s="2">
        <f t="shared" si="695"/>
        <v>0</v>
      </c>
      <c r="AL4457" s="5">
        <f t="shared" si="705"/>
        <v>0</v>
      </c>
    </row>
    <row r="4458" spans="1:38" x14ac:dyDescent="0.2">
      <c r="A4458" s="2">
        <v>2026</v>
      </c>
      <c r="B4458" s="2">
        <v>7</v>
      </c>
      <c r="C4458" s="2" t="s">
        <v>3424</v>
      </c>
      <c r="D4458" s="2" t="s">
        <v>2559</v>
      </c>
      <c r="E4458" s="2" t="s">
        <v>108</v>
      </c>
      <c r="F4458" s="2" t="s">
        <v>39</v>
      </c>
      <c r="L4458" s="2" t="s">
        <v>99</v>
      </c>
      <c r="M4458" s="2" t="s">
        <v>80</v>
      </c>
      <c r="P4458" s="2" t="s">
        <v>1038</v>
      </c>
      <c r="Q4458" s="2" t="s">
        <v>3430</v>
      </c>
      <c r="R4458" s="2" t="s">
        <v>3431</v>
      </c>
      <c r="S4458" s="13">
        <v>4</v>
      </c>
      <c r="T4458" s="14">
        <v>569.1</v>
      </c>
      <c r="U4458" s="2">
        <f t="shared" si="702"/>
        <v>130.893</v>
      </c>
      <c r="V4458" s="2">
        <f t="shared" si="703"/>
        <v>699.99300000000005</v>
      </c>
      <c r="W4458" s="2">
        <f>86.81*S4458</f>
        <v>347.24</v>
      </c>
      <c r="X4458" s="5">
        <f t="shared" si="704"/>
        <v>0.38984361272184154</v>
      </c>
      <c r="Z4458" s="2" t="s">
        <v>3226</v>
      </c>
      <c r="AA4458" s="2" t="s">
        <v>1041</v>
      </c>
      <c r="AB4458" s="2" t="s">
        <v>1270</v>
      </c>
      <c r="AC4458" s="2" t="s">
        <v>1038</v>
      </c>
      <c r="AK4458" s="2">
        <f t="shared" si="695"/>
        <v>221.86</v>
      </c>
      <c r="AL4458" s="5">
        <f t="shared" si="705"/>
        <v>0.38984361272184154</v>
      </c>
    </row>
    <row r="4459" spans="1:38" x14ac:dyDescent="0.2">
      <c r="A4459" s="2">
        <v>2026</v>
      </c>
      <c r="B4459" s="2">
        <v>7</v>
      </c>
      <c r="C4459" s="2" t="s">
        <v>3424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72</v>
      </c>
      <c r="Q4459" s="2" t="s">
        <v>556</v>
      </c>
      <c r="R4459" s="2" t="s">
        <v>381</v>
      </c>
      <c r="S4459" s="13">
        <v>2</v>
      </c>
      <c r="T4459" s="14">
        <v>485</v>
      </c>
      <c r="U4459" s="2">
        <f t="shared" si="702"/>
        <v>111.55000000000001</v>
      </c>
      <c r="V4459" s="2">
        <f t="shared" si="703"/>
        <v>596.54999999999995</v>
      </c>
      <c r="W4459" s="2">
        <f>150.9766*S4459</f>
        <v>301.95319999999998</v>
      </c>
      <c r="X4459" s="5">
        <f t="shared" si="704"/>
        <v>0.37741608247422687</v>
      </c>
      <c r="Z4459" s="2" t="s">
        <v>3226</v>
      </c>
      <c r="AA4459" s="2" t="s">
        <v>75</v>
      </c>
      <c r="AB4459" s="2" t="s">
        <v>76</v>
      </c>
      <c r="AC4459" s="2" t="s">
        <v>77</v>
      </c>
      <c r="AK4459" s="2">
        <f t="shared" si="695"/>
        <v>183.04680000000002</v>
      </c>
      <c r="AL4459" s="5">
        <f t="shared" si="705"/>
        <v>0.37741608247422687</v>
      </c>
    </row>
    <row r="4460" spans="1:38" x14ac:dyDescent="0.2">
      <c r="A4460" s="2">
        <v>2026</v>
      </c>
      <c r="B4460" s="2">
        <v>7</v>
      </c>
      <c r="C4460" s="2" t="s">
        <v>3424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1038</v>
      </c>
      <c r="Q4460" s="2" t="s">
        <v>3432</v>
      </c>
      <c r="R4460" s="2" t="s">
        <v>3433</v>
      </c>
      <c r="S4460" s="13">
        <v>1</v>
      </c>
      <c r="T4460" s="14">
        <v>232.8</v>
      </c>
      <c r="U4460" s="2">
        <f t="shared" si="702"/>
        <v>53.544000000000004</v>
      </c>
      <c r="V4460" s="2">
        <f t="shared" si="703"/>
        <v>286.34399999999999</v>
      </c>
      <c r="W4460" s="2">
        <v>128.99</v>
      </c>
      <c r="X4460" s="5">
        <f t="shared" si="704"/>
        <v>0.44591924398625427</v>
      </c>
      <c r="Z4460" s="2" t="s">
        <v>3226</v>
      </c>
      <c r="AA4460" s="2" t="s">
        <v>75</v>
      </c>
      <c r="AB4460" s="2" t="s">
        <v>76</v>
      </c>
      <c r="AC4460" s="2" t="s">
        <v>1038</v>
      </c>
      <c r="AK4460" s="2">
        <f t="shared" si="695"/>
        <v>103.81</v>
      </c>
      <c r="AL4460" s="5">
        <f t="shared" si="705"/>
        <v>0.44591924398625427</v>
      </c>
    </row>
    <row r="4461" spans="1:38" x14ac:dyDescent="0.2">
      <c r="A4461" s="2">
        <v>2026</v>
      </c>
      <c r="B4461" s="2">
        <v>7</v>
      </c>
      <c r="C4461" s="2" t="s">
        <v>3424</v>
      </c>
      <c r="D4461" s="2" t="s">
        <v>1295</v>
      </c>
      <c r="E4461" s="2" t="s">
        <v>183</v>
      </c>
      <c r="F4461" s="2" t="s">
        <v>366</v>
      </c>
      <c r="G4461" s="2">
        <v>500625654</v>
      </c>
      <c r="H4461" s="2" t="s">
        <v>290</v>
      </c>
      <c r="I4461" s="2" t="s">
        <v>339</v>
      </c>
      <c r="J4461" s="2" t="s">
        <v>1296</v>
      </c>
      <c r="L4461" s="2" t="s">
        <v>339</v>
      </c>
      <c r="M4461" s="2" t="s">
        <v>80</v>
      </c>
      <c r="P4461" s="2" t="s">
        <v>93</v>
      </c>
      <c r="Q4461" s="2" t="s">
        <v>94</v>
      </c>
      <c r="R4461" s="2" t="s">
        <v>95</v>
      </c>
      <c r="S4461" s="13">
        <v>3</v>
      </c>
      <c r="T4461" s="14">
        <v>4.4400000000000004</v>
      </c>
      <c r="U4461" s="2">
        <f t="shared" si="702"/>
        <v>1.0212000000000001</v>
      </c>
      <c r="V4461" s="2">
        <f t="shared" si="703"/>
        <v>5.4612000000000007</v>
      </c>
      <c r="W4461" s="2">
        <f>1.48*S4461</f>
        <v>4.4399999999999995</v>
      </c>
      <c r="X4461" s="5">
        <f t="shared" si="704"/>
        <v>2.000401846171453E-16</v>
      </c>
      <c r="Z4461" s="2" t="s">
        <v>3226</v>
      </c>
      <c r="AA4461" s="2" t="s">
        <v>96</v>
      </c>
      <c r="AB4461" s="2" t="s">
        <v>76</v>
      </c>
      <c r="AC4461" s="2" t="s">
        <v>93</v>
      </c>
      <c r="AK4461" s="2">
        <f t="shared" si="695"/>
        <v>0</v>
      </c>
      <c r="AL4461" s="5">
        <f t="shared" si="705"/>
        <v>2.000401846171453E-16</v>
      </c>
    </row>
    <row r="4462" spans="1:38" x14ac:dyDescent="0.2">
      <c r="A4462" s="2">
        <v>2026</v>
      </c>
      <c r="B4462" s="2">
        <v>7</v>
      </c>
      <c r="C4462" s="2" t="s">
        <v>3424</v>
      </c>
      <c r="D4462" s="2" t="s">
        <v>2364</v>
      </c>
      <c r="E4462" s="2" t="s">
        <v>108</v>
      </c>
      <c r="F4462" s="2" t="s">
        <v>39</v>
      </c>
      <c r="L4462" s="2" t="s">
        <v>418</v>
      </c>
      <c r="M4462" s="2" t="s">
        <v>41</v>
      </c>
      <c r="P4462" s="2" t="s">
        <v>43</v>
      </c>
      <c r="Q4462" s="2" t="s">
        <v>48</v>
      </c>
      <c r="R4462" s="2" t="s">
        <v>49</v>
      </c>
      <c r="S4462" s="13">
        <v>4</v>
      </c>
      <c r="T4462" s="14">
        <v>52</v>
      </c>
      <c r="U4462" s="2">
        <f t="shared" si="702"/>
        <v>11.96</v>
      </c>
      <c r="V4462" s="2">
        <f t="shared" si="703"/>
        <v>63.96</v>
      </c>
      <c r="W4462" s="2">
        <f>6.6267*S4462</f>
        <v>26.506799999999998</v>
      </c>
      <c r="X4462" s="5">
        <f t="shared" si="704"/>
        <v>0.49025384615384621</v>
      </c>
      <c r="Z4462" s="2" t="s">
        <v>3226</v>
      </c>
      <c r="AA4462" s="2" t="s">
        <v>46</v>
      </c>
      <c r="AB4462" s="2" t="s">
        <v>47</v>
      </c>
      <c r="AC4462" s="2" t="s">
        <v>57</v>
      </c>
      <c r="AK4462" s="2">
        <f t="shared" si="695"/>
        <v>25.493200000000002</v>
      </c>
      <c r="AL4462" s="5">
        <f t="shared" si="705"/>
        <v>0.49025384615384621</v>
      </c>
    </row>
    <row r="4463" spans="1:38" x14ac:dyDescent="0.2">
      <c r="A4463" s="2">
        <v>2026</v>
      </c>
      <c r="B4463" s="2">
        <v>7</v>
      </c>
      <c r="C4463" s="2" t="s">
        <v>3424</v>
      </c>
      <c r="D4463" s="2" t="s">
        <v>37</v>
      </c>
      <c r="E4463" s="2" t="s">
        <v>38</v>
      </c>
      <c r="F4463" s="2" t="s">
        <v>39</v>
      </c>
      <c r="L4463" s="2" t="s">
        <v>99</v>
      </c>
      <c r="M4463" s="2" t="s">
        <v>80</v>
      </c>
      <c r="P4463" s="2" t="s">
        <v>43</v>
      </c>
      <c r="Q4463" s="24" t="s">
        <v>54</v>
      </c>
      <c r="R4463" s="24" t="s">
        <v>55</v>
      </c>
      <c r="S4463" s="25">
        <v>1</v>
      </c>
      <c r="T4463" s="26">
        <v>18</v>
      </c>
      <c r="U4463" s="2">
        <f t="shared" si="702"/>
        <v>4.1400000000000006</v>
      </c>
      <c r="V4463" s="12">
        <f t="shared" si="703"/>
        <v>22.14</v>
      </c>
      <c r="W4463" s="2">
        <f>10.6*S4463</f>
        <v>10.6</v>
      </c>
      <c r="X4463" s="5">
        <f t="shared" si="704"/>
        <v>0.41111111111111115</v>
      </c>
      <c r="Z4463" s="2" t="s">
        <v>3226</v>
      </c>
      <c r="AA4463" s="2" t="s">
        <v>46</v>
      </c>
      <c r="AB4463" s="2" t="s">
        <v>56</v>
      </c>
      <c r="AC4463" s="2" t="s">
        <v>57</v>
      </c>
      <c r="AK4463" s="2">
        <f t="shared" si="695"/>
        <v>7.4</v>
      </c>
      <c r="AL4463" s="5">
        <f t="shared" si="705"/>
        <v>0.41111111111111115</v>
      </c>
    </row>
    <row r="4464" spans="1:38" x14ac:dyDescent="0.2">
      <c r="A4464" s="2">
        <v>2026</v>
      </c>
      <c r="B4464" s="2">
        <v>7</v>
      </c>
      <c r="C4464" s="2" t="s">
        <v>3424</v>
      </c>
      <c r="D4464" s="2" t="s">
        <v>37</v>
      </c>
      <c r="E4464" s="2" t="s">
        <v>38</v>
      </c>
      <c r="F4464" s="2" t="s">
        <v>39</v>
      </c>
      <c r="L4464" s="2" t="s">
        <v>99</v>
      </c>
      <c r="M4464" s="2" t="s">
        <v>80</v>
      </c>
      <c r="P4464" s="2" t="s">
        <v>43</v>
      </c>
      <c r="Q4464" s="24" t="s">
        <v>58</v>
      </c>
      <c r="R4464" s="24" t="s">
        <v>59</v>
      </c>
      <c r="S4464" s="25">
        <v>100</v>
      </c>
      <c r="T4464" s="26">
        <v>14</v>
      </c>
      <c r="U4464" s="2">
        <f t="shared" si="702"/>
        <v>3.22</v>
      </c>
      <c r="V4464" s="12">
        <f t="shared" si="703"/>
        <v>17.22</v>
      </c>
      <c r="W4464" s="2">
        <f>0.0914*S4464</f>
        <v>9.1399999999999988</v>
      </c>
      <c r="X4464" s="5">
        <f t="shared" si="704"/>
        <v>0.34714285714285725</v>
      </c>
      <c r="Z4464" s="2" t="s">
        <v>3226</v>
      </c>
      <c r="AA4464" s="2" t="s">
        <v>46</v>
      </c>
      <c r="AB4464" s="2" t="s">
        <v>60</v>
      </c>
      <c r="AC4464" s="2" t="s">
        <v>57</v>
      </c>
      <c r="AK4464" s="2">
        <f t="shared" si="695"/>
        <v>4.8600000000000012</v>
      </c>
      <c r="AL4464" s="5">
        <f t="shared" si="705"/>
        <v>0.34714285714285725</v>
      </c>
    </row>
    <row r="4465" spans="1:38" x14ac:dyDescent="0.2">
      <c r="A4465" s="2">
        <v>2026</v>
      </c>
      <c r="B4465" s="2">
        <v>7</v>
      </c>
      <c r="C4465" s="2" t="s">
        <v>3424</v>
      </c>
      <c r="D4465" s="24" t="s">
        <v>458</v>
      </c>
      <c r="E4465" s="2" t="s">
        <v>108</v>
      </c>
      <c r="F4465" s="2" t="s">
        <v>477</v>
      </c>
      <c r="L4465" s="2" t="s">
        <v>461</v>
      </c>
      <c r="M4465" s="2" t="s">
        <v>41</v>
      </c>
      <c r="P4465" s="2" t="s">
        <v>282</v>
      </c>
      <c r="Q4465" s="24" t="s">
        <v>401</v>
      </c>
      <c r="R4465" s="24" t="s">
        <v>402</v>
      </c>
      <c r="S4465" s="25">
        <v>5</v>
      </c>
      <c r="T4465" s="26">
        <v>145</v>
      </c>
      <c r="U4465" s="2">
        <f t="shared" si="702"/>
        <v>33.35</v>
      </c>
      <c r="V4465" s="12">
        <f t="shared" si="703"/>
        <v>178.35</v>
      </c>
      <c r="W4465" s="2">
        <f>14.5099*S4465</f>
        <v>72.549499999999995</v>
      </c>
      <c r="X4465" s="5">
        <f t="shared" si="704"/>
        <v>0.49965862068965522</v>
      </c>
      <c r="Z4465" s="2" t="s">
        <v>3226</v>
      </c>
      <c r="AA4465" s="2" t="s">
        <v>46</v>
      </c>
      <c r="AB4465" s="2" t="s">
        <v>60</v>
      </c>
      <c r="AC4465" s="2" t="s">
        <v>3331</v>
      </c>
      <c r="AK4465" s="2">
        <f t="shared" si="695"/>
        <v>72.450500000000005</v>
      </c>
      <c r="AL4465" s="5">
        <f t="shared" si="705"/>
        <v>0.49965862068965522</v>
      </c>
    </row>
    <row r="4466" spans="1:38" x14ac:dyDescent="0.2">
      <c r="A4466" s="2">
        <v>2026</v>
      </c>
      <c r="B4466" s="2">
        <v>7</v>
      </c>
      <c r="C4466" s="2" t="s">
        <v>3424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114</v>
      </c>
      <c r="Q4466" s="24" t="s">
        <v>1514</v>
      </c>
      <c r="R4466" s="24" t="s">
        <v>1515</v>
      </c>
      <c r="S4466" s="25">
        <v>1</v>
      </c>
      <c r="T4466" s="26">
        <v>24.39</v>
      </c>
      <c r="U4466" s="2">
        <f t="shared" si="702"/>
        <v>5.6097000000000001</v>
      </c>
      <c r="V4466" s="12">
        <f t="shared" si="703"/>
        <v>29.999700000000001</v>
      </c>
      <c r="W4466" s="2">
        <f>11.2466</f>
        <v>11.246600000000001</v>
      </c>
      <c r="X4466" s="5">
        <f t="shared" si="704"/>
        <v>0.53888478884788849</v>
      </c>
      <c r="Z4466" s="2" t="s">
        <v>117</v>
      </c>
      <c r="AA4466" s="2" t="s">
        <v>118</v>
      </c>
      <c r="AB4466" s="2" t="s">
        <v>119</v>
      </c>
      <c r="AC4466" s="2" t="s">
        <v>114</v>
      </c>
      <c r="AK4466" s="2">
        <f t="shared" si="695"/>
        <v>13.1434</v>
      </c>
      <c r="AL4466" s="5">
        <f t="shared" si="705"/>
        <v>0.53888478884788849</v>
      </c>
    </row>
    <row r="4467" spans="1:38" x14ac:dyDescent="0.2">
      <c r="A4467" s="2">
        <v>2026</v>
      </c>
      <c r="B4467" s="2">
        <v>7</v>
      </c>
      <c r="C4467" s="2" t="s">
        <v>3424</v>
      </c>
      <c r="D4467" s="24" t="s">
        <v>2049</v>
      </c>
      <c r="E4467" s="2" t="s">
        <v>108</v>
      </c>
      <c r="F4467" s="2" t="s">
        <v>39</v>
      </c>
      <c r="G4467" s="2">
        <v>514960337</v>
      </c>
      <c r="H4467" s="2" t="s">
        <v>290</v>
      </c>
      <c r="I4467" s="2" t="s">
        <v>2779</v>
      </c>
      <c r="J4467" s="2" t="s">
        <v>2820</v>
      </c>
      <c r="K4467" s="2">
        <v>914732950</v>
      </c>
      <c r="L4467" s="2" t="s">
        <v>480</v>
      </c>
      <c r="M4467" s="2" t="s">
        <v>40</v>
      </c>
      <c r="P4467" s="2" t="s">
        <v>169</v>
      </c>
      <c r="Q4467" s="24" t="s">
        <v>170</v>
      </c>
      <c r="R4467" s="24" t="s">
        <v>170</v>
      </c>
      <c r="S4467" s="25">
        <v>1</v>
      </c>
      <c r="T4467" s="26">
        <v>8</v>
      </c>
      <c r="U4467" s="2">
        <f t="shared" si="702"/>
        <v>1.84</v>
      </c>
      <c r="V4467" s="12">
        <f t="shared" si="703"/>
        <v>9.84</v>
      </c>
      <c r="W4467" s="2">
        <v>6</v>
      </c>
      <c r="X4467" s="5">
        <f t="shared" si="704"/>
        <v>0.25</v>
      </c>
      <c r="Z4467" s="2" t="s">
        <v>169</v>
      </c>
      <c r="AA4467" s="2" t="s">
        <v>169</v>
      </c>
      <c r="AK4467" s="2">
        <f t="shared" si="695"/>
        <v>2</v>
      </c>
      <c r="AL4467" s="5">
        <f t="shared" si="705"/>
        <v>0.25</v>
      </c>
    </row>
    <row r="4468" spans="1:38" x14ac:dyDescent="0.2">
      <c r="A4468" s="2">
        <v>2026</v>
      </c>
      <c r="B4468" s="2">
        <v>7</v>
      </c>
      <c r="C4468" s="2" t="s">
        <v>3424</v>
      </c>
      <c r="D4468" s="2" t="s">
        <v>37</v>
      </c>
      <c r="E4468" s="2" t="s">
        <v>38</v>
      </c>
      <c r="F4468" s="2" t="s">
        <v>39</v>
      </c>
      <c r="L4468" s="2" t="s">
        <v>99</v>
      </c>
      <c r="M4468" s="2" t="s">
        <v>80</v>
      </c>
      <c r="P4468" s="2" t="s">
        <v>72</v>
      </c>
      <c r="Q4468" s="2" t="s">
        <v>73</v>
      </c>
      <c r="R4468" s="2" t="s">
        <v>74</v>
      </c>
      <c r="S4468" s="13">
        <v>1</v>
      </c>
      <c r="T4468" s="14">
        <v>246.5</v>
      </c>
      <c r="U4468" s="2">
        <f t="shared" si="702"/>
        <v>56.695</v>
      </c>
      <c r="V4468" s="12">
        <f t="shared" si="703"/>
        <v>303.19499999999999</v>
      </c>
      <c r="W4468" s="2">
        <v>133.4614</v>
      </c>
      <c r="X4468" s="5">
        <f t="shared" si="704"/>
        <v>0.4585744421906694</v>
      </c>
      <c r="Z4468" s="2" t="s">
        <v>3226</v>
      </c>
      <c r="AA4468" s="2" t="s">
        <v>75</v>
      </c>
      <c r="AB4468" s="2" t="s">
        <v>76</v>
      </c>
      <c r="AC4468" s="2" t="s">
        <v>77</v>
      </c>
      <c r="AK4468" s="2">
        <f t="shared" si="695"/>
        <v>113.0386</v>
      </c>
      <c r="AL4468" s="5">
        <f t="shared" si="705"/>
        <v>0.4585744421906694</v>
      </c>
    </row>
    <row r="4469" spans="1:38" x14ac:dyDescent="0.2">
      <c r="A4469" s="2">
        <v>2026</v>
      </c>
      <c r="B4469" s="2">
        <v>7</v>
      </c>
      <c r="C4469" s="2" t="s">
        <v>3424</v>
      </c>
      <c r="D4469" s="2" t="s">
        <v>37</v>
      </c>
      <c r="E4469" s="2" t="s">
        <v>38</v>
      </c>
      <c r="F4469" s="2" t="s">
        <v>39</v>
      </c>
      <c r="L4469" s="2" t="s">
        <v>99</v>
      </c>
      <c r="M4469" s="2" t="s">
        <v>80</v>
      </c>
      <c r="P4469" s="2" t="s">
        <v>93</v>
      </c>
      <c r="Q4469" s="2" t="s">
        <v>94</v>
      </c>
      <c r="R4469" s="2" t="s">
        <v>95</v>
      </c>
      <c r="S4469" s="13">
        <v>1</v>
      </c>
      <c r="T4469" s="14">
        <v>1.48</v>
      </c>
      <c r="U4469" s="2">
        <f t="shared" si="702"/>
        <v>0.34040000000000004</v>
      </c>
      <c r="V4469" s="12">
        <f t="shared" si="703"/>
        <v>1.8204</v>
      </c>
      <c r="W4469" s="2">
        <v>1.48</v>
      </c>
      <c r="X4469" s="5">
        <f t="shared" si="704"/>
        <v>0</v>
      </c>
      <c r="Z4469" s="2" t="s">
        <v>3226</v>
      </c>
      <c r="AA4469" s="2" t="s">
        <v>96</v>
      </c>
      <c r="AB4469" s="2" t="s">
        <v>76</v>
      </c>
      <c r="AC4469" s="2" t="s">
        <v>93</v>
      </c>
      <c r="AK4469" s="2">
        <f t="shared" ref="AK4469:AK4483" si="706">T4469-W4469</f>
        <v>0</v>
      </c>
      <c r="AL4469" s="5">
        <f t="shared" si="705"/>
        <v>0</v>
      </c>
    </row>
    <row r="4470" spans="1:38" x14ac:dyDescent="0.2">
      <c r="A4470" s="2">
        <v>2026</v>
      </c>
      <c r="B4470" s="2">
        <v>7</v>
      </c>
      <c r="C4470" s="2" t="s">
        <v>3424</v>
      </c>
      <c r="D4470" s="2" t="s">
        <v>693</v>
      </c>
      <c r="E4470" s="2" t="s">
        <v>38</v>
      </c>
      <c r="F4470" s="2" t="s">
        <v>39</v>
      </c>
      <c r="L4470" s="2" t="s">
        <v>177</v>
      </c>
      <c r="M4470" s="2" t="s">
        <v>41</v>
      </c>
      <c r="P4470" s="2" t="s">
        <v>43</v>
      </c>
      <c r="Q4470" s="2" t="s">
        <v>63</v>
      </c>
      <c r="R4470" s="2" t="s">
        <v>64</v>
      </c>
      <c r="S4470" s="13">
        <v>20</v>
      </c>
      <c r="T4470" s="14">
        <v>36</v>
      </c>
      <c r="U4470" s="2">
        <f t="shared" si="702"/>
        <v>8.2800000000000011</v>
      </c>
      <c r="V4470" s="12">
        <f t="shared" si="703"/>
        <v>44.28</v>
      </c>
      <c r="W4470" s="2">
        <f>0.8561*S4470</f>
        <v>17.122</v>
      </c>
      <c r="X4470" s="5">
        <f t="shared" si="704"/>
        <v>0.5243888888888889</v>
      </c>
      <c r="Z4470" s="2" t="s">
        <v>3226</v>
      </c>
      <c r="AA4470" s="2" t="s">
        <v>46</v>
      </c>
      <c r="AB4470" s="2" t="s">
        <v>60</v>
      </c>
      <c r="AC4470" s="2" t="s">
        <v>57</v>
      </c>
      <c r="AK4470" s="2">
        <f t="shared" si="706"/>
        <v>18.878</v>
      </c>
      <c r="AL4470" s="5">
        <f t="shared" si="705"/>
        <v>0.5243888888888889</v>
      </c>
    </row>
    <row r="4471" spans="1:38" x14ac:dyDescent="0.2">
      <c r="A4471" s="2">
        <v>2026</v>
      </c>
      <c r="B4471" s="2">
        <v>7</v>
      </c>
      <c r="C4471" s="2" t="s">
        <v>3424</v>
      </c>
      <c r="D4471" s="2" t="s">
        <v>382</v>
      </c>
      <c r="E4471" s="2" t="s">
        <v>38</v>
      </c>
      <c r="F4471" s="2" t="s">
        <v>39</v>
      </c>
      <c r="L4471" s="2" t="s">
        <v>112</v>
      </c>
      <c r="M4471" s="2" t="s">
        <v>290</v>
      </c>
      <c r="P4471" s="2" t="s">
        <v>282</v>
      </c>
      <c r="Q4471" s="2" t="s">
        <v>1547</v>
      </c>
      <c r="R4471" s="2" t="s">
        <v>1548</v>
      </c>
      <c r="S4471" s="13">
        <v>1</v>
      </c>
      <c r="T4471" s="14">
        <v>595</v>
      </c>
      <c r="U4471" s="2">
        <f t="shared" si="702"/>
        <v>136.85</v>
      </c>
      <c r="V4471" s="12">
        <f t="shared" si="703"/>
        <v>731.85</v>
      </c>
      <c r="W4471" s="2">
        <v>297</v>
      </c>
      <c r="X4471" s="5">
        <f t="shared" si="704"/>
        <v>0.50084033613445378</v>
      </c>
      <c r="Z4471" s="2" t="s">
        <v>104</v>
      </c>
      <c r="AA4471" s="2" t="s">
        <v>387</v>
      </c>
      <c r="AB4471" s="2" t="s">
        <v>388</v>
      </c>
      <c r="AC4471" s="2" t="s">
        <v>389</v>
      </c>
      <c r="AK4471" s="2">
        <f t="shared" si="706"/>
        <v>298</v>
      </c>
      <c r="AL4471" s="5">
        <f t="shared" si="705"/>
        <v>0.50084033613445378</v>
      </c>
    </row>
    <row r="4472" spans="1:38" x14ac:dyDescent="0.2">
      <c r="A4472" s="2">
        <v>2026</v>
      </c>
      <c r="B4472" s="2">
        <v>7</v>
      </c>
      <c r="C4472" s="2" t="s">
        <v>3424</v>
      </c>
      <c r="D4472" s="2" t="s">
        <v>382</v>
      </c>
      <c r="E4472" s="2" t="s">
        <v>38</v>
      </c>
      <c r="F4472" s="2" t="s">
        <v>39</v>
      </c>
      <c r="L4472" s="2" t="s">
        <v>112</v>
      </c>
      <c r="M4472" s="2" t="s">
        <v>290</v>
      </c>
      <c r="P4472" s="2" t="s">
        <v>282</v>
      </c>
      <c r="Q4472" s="2" t="s">
        <v>401</v>
      </c>
      <c r="R4472" s="2" t="s">
        <v>402</v>
      </c>
      <c r="S4472" s="13">
        <v>4</v>
      </c>
      <c r="T4472" s="14">
        <v>0</v>
      </c>
      <c r="U4472" s="2">
        <f t="shared" si="702"/>
        <v>0</v>
      </c>
      <c r="V4472" s="12">
        <f t="shared" si="703"/>
        <v>0</v>
      </c>
      <c r="W4472" s="2">
        <f>14.5099</f>
        <v>14.5099</v>
      </c>
      <c r="Z4472" s="2" t="s">
        <v>3226</v>
      </c>
      <c r="AA4472" s="2" t="s">
        <v>46</v>
      </c>
      <c r="AB4472" s="2" t="s">
        <v>60</v>
      </c>
      <c r="AC4472" s="2" t="s">
        <v>3331</v>
      </c>
      <c r="AK4472" s="2">
        <f t="shared" si="706"/>
        <v>-14.5099</v>
      </c>
    </row>
    <row r="4473" spans="1:38" x14ac:dyDescent="0.2">
      <c r="A4473" s="2">
        <v>2026</v>
      </c>
      <c r="B4473" s="2">
        <v>7</v>
      </c>
      <c r="C4473" s="2" t="s">
        <v>3424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72</v>
      </c>
      <c r="Q4473" s="2" t="s">
        <v>1449</v>
      </c>
      <c r="R4473" s="2" t="s">
        <v>307</v>
      </c>
      <c r="S4473" s="13">
        <v>1</v>
      </c>
      <c r="T4473" s="14">
        <v>230</v>
      </c>
      <c r="U4473" s="2">
        <f t="shared" si="702"/>
        <v>52.900000000000006</v>
      </c>
      <c r="V4473" s="12">
        <f t="shared" si="703"/>
        <v>282.89999999999998</v>
      </c>
      <c r="W4473" s="2">
        <v>122.446</v>
      </c>
      <c r="X4473" s="5">
        <f t="shared" ref="X4473:X4483" si="707">(T4473-W4473)/T4473</f>
        <v>0.46762608695652175</v>
      </c>
      <c r="Z4473" s="2" t="s">
        <v>3226</v>
      </c>
      <c r="AA4473" s="2" t="s">
        <v>75</v>
      </c>
      <c r="AB4473" s="2" t="s">
        <v>76</v>
      </c>
      <c r="AC4473" s="2" t="s">
        <v>77</v>
      </c>
      <c r="AK4473" s="2">
        <f t="shared" si="706"/>
        <v>107.554</v>
      </c>
      <c r="AL4473" s="5">
        <f t="shared" ref="AL4473:AL4483" si="708">(T4473-W4473)/T4473</f>
        <v>0.46762608695652175</v>
      </c>
    </row>
    <row r="4474" spans="1:38" x14ac:dyDescent="0.2">
      <c r="A4474" s="2">
        <v>2026</v>
      </c>
      <c r="B4474" s="2">
        <v>7</v>
      </c>
      <c r="C4474" s="2" t="s">
        <v>3424</v>
      </c>
      <c r="D4474" s="2" t="s">
        <v>433</v>
      </c>
      <c r="E4474" s="2" t="s">
        <v>38</v>
      </c>
      <c r="F4474" s="2" t="s">
        <v>39</v>
      </c>
      <c r="G4474" s="2">
        <v>507405250</v>
      </c>
      <c r="L4474" s="2" t="s">
        <v>99</v>
      </c>
      <c r="M4474" s="2" t="s">
        <v>41</v>
      </c>
      <c r="P4474" s="2" t="s">
        <v>93</v>
      </c>
      <c r="Q4474" s="2" t="s">
        <v>94</v>
      </c>
      <c r="R4474" s="2" t="s">
        <v>95</v>
      </c>
      <c r="S4474" s="13">
        <v>1</v>
      </c>
      <c r="T4474" s="14">
        <v>1.48</v>
      </c>
      <c r="U4474" s="2">
        <f t="shared" si="702"/>
        <v>0.34040000000000004</v>
      </c>
      <c r="V4474" s="12">
        <f t="shared" si="703"/>
        <v>1.8204</v>
      </c>
      <c r="W4474" s="2">
        <v>1.48</v>
      </c>
      <c r="X4474" s="5">
        <f t="shared" si="707"/>
        <v>0</v>
      </c>
      <c r="Z4474" s="2" t="s">
        <v>3226</v>
      </c>
      <c r="AA4474" s="2" t="s">
        <v>96</v>
      </c>
      <c r="AB4474" s="2" t="s">
        <v>76</v>
      </c>
      <c r="AC4474" s="2" t="s">
        <v>93</v>
      </c>
      <c r="AK4474" s="2">
        <f t="shared" si="706"/>
        <v>0</v>
      </c>
      <c r="AL4474" s="5">
        <f t="shared" si="708"/>
        <v>0</v>
      </c>
    </row>
    <row r="4475" spans="1:38" x14ac:dyDescent="0.2">
      <c r="A4475" s="2">
        <v>2026</v>
      </c>
      <c r="B4475" s="2">
        <v>7</v>
      </c>
      <c r="C4475" s="2" t="s">
        <v>3424</v>
      </c>
      <c r="D4475" s="2" t="s">
        <v>3465</v>
      </c>
      <c r="E4475" s="2" t="s">
        <v>108</v>
      </c>
      <c r="F4475" s="2" t="s">
        <v>39</v>
      </c>
      <c r="L4475" s="2" t="s">
        <v>418</v>
      </c>
      <c r="M4475" s="2" t="s">
        <v>41</v>
      </c>
      <c r="P4475" s="2" t="s">
        <v>114</v>
      </c>
      <c r="Q4475" s="2" t="s">
        <v>412</v>
      </c>
      <c r="R4475" s="2" t="s">
        <v>413</v>
      </c>
      <c r="S4475" s="13">
        <v>1</v>
      </c>
      <c r="T4475" s="14">
        <v>14990</v>
      </c>
      <c r="U4475" s="2">
        <f t="shared" si="702"/>
        <v>3447.7000000000003</v>
      </c>
      <c r="V4475" s="12">
        <f t="shared" si="703"/>
        <v>18437.7</v>
      </c>
      <c r="W4475" s="2">
        <f>10699.41+285.74</f>
        <v>10985.15</v>
      </c>
      <c r="X4475" s="5">
        <f t="shared" si="707"/>
        <v>0.26716811207471652</v>
      </c>
      <c r="Z4475" s="2" t="s">
        <v>104</v>
      </c>
      <c r="AA4475" s="2" t="s">
        <v>414</v>
      </c>
      <c r="AB4475" s="2" t="s">
        <v>151</v>
      </c>
      <c r="AC4475" s="2" t="s">
        <v>114</v>
      </c>
      <c r="AK4475" s="2">
        <f t="shared" si="706"/>
        <v>4004.8500000000004</v>
      </c>
      <c r="AL4475" s="5">
        <f t="shared" si="708"/>
        <v>0.26716811207471652</v>
      </c>
    </row>
    <row r="4476" spans="1:38" x14ac:dyDescent="0.2">
      <c r="A4476" s="2">
        <v>2026</v>
      </c>
      <c r="B4476" s="2">
        <v>7</v>
      </c>
      <c r="C4476" s="2" t="s">
        <v>3424</v>
      </c>
      <c r="D4476" s="2" t="s">
        <v>3462</v>
      </c>
      <c r="E4476" s="2" t="s">
        <v>38</v>
      </c>
      <c r="F4476" s="2" t="s">
        <v>39</v>
      </c>
      <c r="L4476" s="2" t="s">
        <v>177</v>
      </c>
      <c r="M4476" s="2" t="s">
        <v>41</v>
      </c>
      <c r="P4476" s="2" t="s">
        <v>40</v>
      </c>
      <c r="Q4476" s="2" t="s">
        <v>3463</v>
      </c>
      <c r="R4476" s="2" t="s">
        <v>3464</v>
      </c>
      <c r="S4476" s="13">
        <v>1</v>
      </c>
      <c r="T4476" s="14">
        <v>1500</v>
      </c>
      <c r="U4476" s="2">
        <f t="shared" si="702"/>
        <v>345</v>
      </c>
      <c r="V4476" s="12">
        <f t="shared" si="703"/>
        <v>1845</v>
      </c>
      <c r="W4476" s="2">
        <f>T4476*75%</f>
        <v>1125</v>
      </c>
      <c r="X4476" s="5">
        <f t="shared" si="707"/>
        <v>0.25</v>
      </c>
      <c r="Z4476" s="2" t="s">
        <v>104</v>
      </c>
      <c r="AA4476" s="2" t="s">
        <v>414</v>
      </c>
      <c r="AB4476" s="2" t="s">
        <v>475</v>
      </c>
      <c r="AC4476" s="2" t="s">
        <v>114</v>
      </c>
      <c r="AK4476" s="2">
        <f t="shared" si="706"/>
        <v>375</v>
      </c>
      <c r="AL4476" s="5">
        <f t="shared" si="708"/>
        <v>0.25</v>
      </c>
    </row>
    <row r="4477" spans="1:38" x14ac:dyDescent="0.2">
      <c r="A4477" s="2">
        <v>2026</v>
      </c>
      <c r="B4477" s="2">
        <v>7</v>
      </c>
      <c r="C4477" s="2" t="s">
        <v>3295</v>
      </c>
      <c r="D4477" s="2" t="s">
        <v>37</v>
      </c>
      <c r="E4477" s="2" t="s">
        <v>38</v>
      </c>
      <c r="F4477" s="2" t="s">
        <v>39</v>
      </c>
      <c r="L4477" s="2" t="s">
        <v>3269</v>
      </c>
      <c r="M4477" s="2" t="s">
        <v>80</v>
      </c>
      <c r="P4477" s="2" t="s">
        <v>43</v>
      </c>
      <c r="Q4477" s="2" t="s">
        <v>48</v>
      </c>
      <c r="R4477" s="2" t="s">
        <v>49</v>
      </c>
      <c r="S4477" s="13">
        <v>2</v>
      </c>
      <c r="T4477" s="2">
        <f>9*S4477</f>
        <v>18</v>
      </c>
      <c r="U4477" s="2">
        <f t="shared" si="702"/>
        <v>4.1400000000000006</v>
      </c>
      <c r="V4477" s="2">
        <f t="shared" si="703"/>
        <v>22.14</v>
      </c>
      <c r="W4477" s="2">
        <f>6.6267*S4477</f>
        <v>13.253399999999999</v>
      </c>
      <c r="X4477" s="5">
        <f t="shared" si="707"/>
        <v>0.26370000000000005</v>
      </c>
      <c r="Z4477" s="2" t="s">
        <v>3226</v>
      </c>
      <c r="AA4477" s="2" t="s">
        <v>46</v>
      </c>
      <c r="AB4477" s="2" t="s">
        <v>47</v>
      </c>
      <c r="AC4477" s="2" t="s">
        <v>57</v>
      </c>
      <c r="AK4477" s="2">
        <f t="shared" si="706"/>
        <v>4.7466000000000008</v>
      </c>
      <c r="AL4477" s="5">
        <f t="shared" si="708"/>
        <v>0.26370000000000005</v>
      </c>
    </row>
    <row r="4478" spans="1:38" x14ac:dyDescent="0.2">
      <c r="A4478" s="2">
        <v>2026</v>
      </c>
      <c r="B4478" s="2">
        <v>7</v>
      </c>
      <c r="C4478" s="2" t="s">
        <v>3295</v>
      </c>
      <c r="D4478" s="2" t="s">
        <v>37</v>
      </c>
      <c r="E4478" s="2" t="s">
        <v>38</v>
      </c>
      <c r="F4478" s="2" t="s">
        <v>39</v>
      </c>
      <c r="L4478" s="2" t="s">
        <v>3269</v>
      </c>
      <c r="M4478" s="2" t="s">
        <v>80</v>
      </c>
      <c r="P4478" s="2" t="s">
        <v>43</v>
      </c>
      <c r="Q4478" s="2" t="s">
        <v>54</v>
      </c>
      <c r="R4478" s="2" t="s">
        <v>55</v>
      </c>
      <c r="S4478" s="13">
        <v>3</v>
      </c>
      <c r="T4478" s="2">
        <f>12.75*S4478</f>
        <v>38.25</v>
      </c>
      <c r="U4478" s="2">
        <f t="shared" si="702"/>
        <v>8.7975000000000012</v>
      </c>
      <c r="V4478" s="2">
        <f t="shared" si="703"/>
        <v>47.047499999999999</v>
      </c>
      <c r="W4478" s="2">
        <f>10.6*S4478</f>
        <v>31.799999999999997</v>
      </c>
      <c r="X4478" s="5">
        <f t="shared" si="707"/>
        <v>0.16862745098039222</v>
      </c>
      <c r="Z4478" s="2" t="s">
        <v>3226</v>
      </c>
      <c r="AA4478" s="2" t="s">
        <v>46</v>
      </c>
      <c r="AB4478" s="2" t="s">
        <v>56</v>
      </c>
      <c r="AC4478" s="2" t="s">
        <v>57</v>
      </c>
      <c r="AK4478" s="2">
        <f t="shared" si="706"/>
        <v>6.4500000000000028</v>
      </c>
      <c r="AL4478" s="5">
        <f t="shared" si="708"/>
        <v>0.16862745098039222</v>
      </c>
    </row>
    <row r="4479" spans="1:38" x14ac:dyDescent="0.2">
      <c r="A4479" s="2">
        <v>2026</v>
      </c>
      <c r="B4479" s="2">
        <v>7</v>
      </c>
      <c r="C4479" s="2" t="s">
        <v>3295</v>
      </c>
      <c r="D4479" s="2" t="s">
        <v>37</v>
      </c>
      <c r="E4479" s="2" t="s">
        <v>38</v>
      </c>
      <c r="F4479" s="2" t="s">
        <v>39</v>
      </c>
      <c r="L4479" s="2" t="s">
        <v>3269</v>
      </c>
      <c r="M4479" s="2" t="s">
        <v>80</v>
      </c>
      <c r="P4479" s="2" t="s">
        <v>84</v>
      </c>
      <c r="Q4479" s="6" t="s">
        <v>276</v>
      </c>
      <c r="R4479" s="2" t="s">
        <v>277</v>
      </c>
      <c r="S4479" s="8">
        <v>1</v>
      </c>
      <c r="T4479" s="2">
        <v>6</v>
      </c>
      <c r="U4479" s="2">
        <f t="shared" si="702"/>
        <v>1.3800000000000001</v>
      </c>
      <c r="V4479" s="2">
        <f t="shared" si="703"/>
        <v>7.38</v>
      </c>
      <c r="W4479" s="2">
        <v>2.5051000000000001</v>
      </c>
      <c r="X4479" s="5">
        <f t="shared" si="707"/>
        <v>0.58248333333333335</v>
      </c>
      <c r="Z4479" s="2" t="s">
        <v>3226</v>
      </c>
      <c r="AA4479" s="2" t="s">
        <v>87</v>
      </c>
      <c r="AB4479" s="2" t="s">
        <v>90</v>
      </c>
      <c r="AC4479" s="2" t="s">
        <v>84</v>
      </c>
      <c r="AK4479" s="2">
        <f t="shared" si="706"/>
        <v>3.4948999999999999</v>
      </c>
      <c r="AL4479" s="5">
        <f t="shared" si="708"/>
        <v>0.58248333333333335</v>
      </c>
    </row>
    <row r="4480" spans="1:38" ht="22.5" x14ac:dyDescent="0.2">
      <c r="A4480" s="2">
        <v>2026</v>
      </c>
      <c r="B4480" s="2">
        <v>6</v>
      </c>
      <c r="C4480" s="2" t="s">
        <v>3293</v>
      </c>
      <c r="D4480" s="2" t="s">
        <v>3099</v>
      </c>
      <c r="E4480" s="2" t="s">
        <v>38</v>
      </c>
      <c r="F4480" s="2" t="s">
        <v>39</v>
      </c>
      <c r="H4480" s="2" t="s">
        <v>109</v>
      </c>
      <c r="I4480" s="2" t="s">
        <v>3283</v>
      </c>
      <c r="L4480" s="2" t="s">
        <v>133</v>
      </c>
      <c r="M4480" s="2" t="s">
        <v>109</v>
      </c>
      <c r="P4480" s="2" t="s">
        <v>114</v>
      </c>
      <c r="Q4480" s="16" t="s">
        <v>412</v>
      </c>
      <c r="R4480" s="15" t="s">
        <v>413</v>
      </c>
      <c r="S4480" s="13">
        <v>1</v>
      </c>
      <c r="T4480" s="2">
        <v>15000</v>
      </c>
      <c r="U4480" s="2">
        <f t="shared" ref="U4480:U4483" si="709">T4480*23%</f>
        <v>3450</v>
      </c>
      <c r="V4480" s="2">
        <f t="shared" ref="V4480:V4483" si="710">T4480+U4480</f>
        <v>18450</v>
      </c>
      <c r="W4480" s="2">
        <v>10985.15</v>
      </c>
      <c r="X4480" s="5">
        <f t="shared" si="707"/>
        <v>0.26765666666666671</v>
      </c>
      <c r="Z4480" s="2" t="s">
        <v>104</v>
      </c>
      <c r="AA4480" s="2" t="s">
        <v>414</v>
      </c>
      <c r="AB4480" s="2" t="s">
        <v>151</v>
      </c>
      <c r="AC4480" s="2" t="s">
        <v>114</v>
      </c>
      <c r="AK4480" s="2">
        <f t="shared" si="706"/>
        <v>4014.8500000000004</v>
      </c>
      <c r="AL4480" s="5">
        <f t="shared" si="708"/>
        <v>0.26765666666666671</v>
      </c>
    </row>
    <row r="4481" spans="1:38" x14ac:dyDescent="0.2">
      <c r="A4481" s="2">
        <v>2026</v>
      </c>
      <c r="B4481" s="2">
        <v>7</v>
      </c>
      <c r="C4481" s="2" t="s">
        <v>3424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274</v>
      </c>
      <c r="R4481" s="29" t="s">
        <v>275</v>
      </c>
      <c r="S4481" s="28">
        <v>1</v>
      </c>
      <c r="T4481" s="27">
        <v>6</v>
      </c>
      <c r="U4481" s="2">
        <f t="shared" si="709"/>
        <v>1.3800000000000001</v>
      </c>
      <c r="V4481" s="2">
        <f t="shared" si="710"/>
        <v>7.38</v>
      </c>
      <c r="W4481" s="2">
        <v>2.94</v>
      </c>
      <c r="X4481" s="5">
        <f t="shared" si="707"/>
        <v>0.51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06"/>
        <v>3.06</v>
      </c>
      <c r="AL4481" s="5">
        <f t="shared" si="708"/>
        <v>0.51</v>
      </c>
    </row>
    <row r="4482" spans="1:38" x14ac:dyDescent="0.2">
      <c r="A4482" s="2">
        <v>2026</v>
      </c>
      <c r="B4482" s="2">
        <v>7</v>
      </c>
      <c r="C4482" s="2" t="s">
        <v>3424</v>
      </c>
      <c r="D4482" s="2" t="s">
        <v>781</v>
      </c>
      <c r="E4482" s="2" t="s">
        <v>38</v>
      </c>
      <c r="F4482" s="2" t="s">
        <v>39</v>
      </c>
      <c r="G4482" s="2">
        <v>510219675</v>
      </c>
      <c r="H4482" s="2" t="s">
        <v>40</v>
      </c>
      <c r="I4482" s="2" t="s">
        <v>782</v>
      </c>
      <c r="J4482" s="2" t="s">
        <v>783</v>
      </c>
      <c r="K4482" s="2">
        <v>917341136</v>
      </c>
      <c r="L4482" s="2" t="s">
        <v>99</v>
      </c>
      <c r="M4482" s="2" t="s">
        <v>80</v>
      </c>
      <c r="P4482" s="2" t="s">
        <v>84</v>
      </c>
      <c r="Q4482" s="29" t="s">
        <v>276</v>
      </c>
      <c r="R4482" s="29" t="s">
        <v>277</v>
      </c>
      <c r="S4482" s="28">
        <v>1</v>
      </c>
      <c r="T4482" s="27">
        <v>7.2</v>
      </c>
      <c r="U4482" s="2">
        <f t="shared" si="709"/>
        <v>1.6560000000000001</v>
      </c>
      <c r="V4482" s="2">
        <f t="shared" si="710"/>
        <v>8.8559999999999999</v>
      </c>
      <c r="W4482" s="2">
        <v>2.5051000000000001</v>
      </c>
      <c r="X4482" s="5">
        <f t="shared" si="707"/>
        <v>0.65206944444444448</v>
      </c>
      <c r="Z4482" s="2" t="s">
        <v>3226</v>
      </c>
      <c r="AA4482" s="2" t="s">
        <v>87</v>
      </c>
      <c r="AB4482" s="2" t="s">
        <v>90</v>
      </c>
      <c r="AC4482" s="2" t="s">
        <v>84</v>
      </c>
      <c r="AK4482" s="2">
        <f t="shared" si="706"/>
        <v>4.6949000000000005</v>
      </c>
      <c r="AL4482" s="5">
        <f t="shared" si="708"/>
        <v>0.65206944444444448</v>
      </c>
    </row>
    <row r="4483" spans="1:38" x14ac:dyDescent="0.2">
      <c r="A4483" s="2">
        <v>2026</v>
      </c>
      <c r="B4483" s="2">
        <v>7</v>
      </c>
      <c r="C4483" s="2" t="s">
        <v>3424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43</v>
      </c>
      <c r="Q4483" s="29" t="s">
        <v>2869</v>
      </c>
      <c r="R4483" s="29" t="s">
        <v>2870</v>
      </c>
      <c r="S4483" s="28">
        <v>1</v>
      </c>
      <c r="T4483" s="2">
        <v>63.6</v>
      </c>
      <c r="U4483" s="2">
        <f t="shared" si="709"/>
        <v>14.628</v>
      </c>
      <c r="V4483" s="2">
        <f t="shared" si="710"/>
        <v>78.228000000000009</v>
      </c>
      <c r="W4483" s="2">
        <v>35.78</v>
      </c>
      <c r="X4483" s="5">
        <f t="shared" si="707"/>
        <v>0.43742138364779876</v>
      </c>
      <c r="Z4483" s="2" t="s">
        <v>3226</v>
      </c>
      <c r="AA4483" s="2" t="s">
        <v>46</v>
      </c>
      <c r="AB4483" s="2" t="s">
        <v>90</v>
      </c>
      <c r="AC4483" s="2" t="s">
        <v>57</v>
      </c>
      <c r="AK4483" s="2">
        <f t="shared" si="706"/>
        <v>27.82</v>
      </c>
      <c r="AL4483" s="5">
        <f t="shared" si="708"/>
        <v>0.43742138364779876</v>
      </c>
    </row>
    <row r="4484" spans="1:38" x14ac:dyDescent="0.2">
      <c r="A4484" s="2">
        <v>2026</v>
      </c>
      <c r="B4484" s="2">
        <v>7</v>
      </c>
      <c r="C4484" s="2" t="s">
        <v>3424</v>
      </c>
      <c r="D4484" s="29" t="s">
        <v>3108</v>
      </c>
      <c r="E4484" s="2" t="s">
        <v>38</v>
      </c>
      <c r="F4484" s="2" t="s">
        <v>39</v>
      </c>
      <c r="L4484" s="2" t="s">
        <v>99</v>
      </c>
      <c r="M4484" s="2" t="s">
        <v>80</v>
      </c>
      <c r="P4484" s="2" t="s">
        <v>84</v>
      </c>
      <c r="Q4484" s="29" t="s">
        <v>270</v>
      </c>
      <c r="R4484" s="29" t="s">
        <v>271</v>
      </c>
      <c r="S4484" s="28">
        <v>1</v>
      </c>
      <c r="T4484" s="2">
        <v>12</v>
      </c>
      <c r="U4484" s="2">
        <f t="shared" ref="U4484" si="711">T4484*23%</f>
        <v>2.7600000000000002</v>
      </c>
      <c r="V4484" s="2">
        <f t="shared" ref="V4484:V4486" si="712">T4484+U4484</f>
        <v>14.76</v>
      </c>
      <c r="W4484" s="2">
        <v>6.86</v>
      </c>
      <c r="X4484" s="5">
        <f t="shared" ref="X4484:X4547" si="713">(T4484-W4484)/T4484</f>
        <v>0.42833333333333329</v>
      </c>
      <c r="Z4484" s="2" t="s">
        <v>3226</v>
      </c>
      <c r="AA4484" s="2" t="s">
        <v>87</v>
      </c>
      <c r="AB4484" s="2" t="s">
        <v>90</v>
      </c>
      <c r="AC4484" s="2" t="s">
        <v>84</v>
      </c>
      <c r="AK4484" s="2">
        <f t="shared" ref="AK4484" si="714">T4484-W4484</f>
        <v>5.14</v>
      </c>
      <c r="AL4484" s="5">
        <f t="shared" ref="AL4484" si="715">(T4484-W4484)/T4484</f>
        <v>0.42833333333333329</v>
      </c>
    </row>
    <row r="4485" spans="1:38" x14ac:dyDescent="0.2">
      <c r="A4485" s="2">
        <v>2026</v>
      </c>
      <c r="B4485" s="2">
        <v>7</v>
      </c>
      <c r="C4485" s="2" t="s">
        <v>3475</v>
      </c>
      <c r="D4485" s="2" t="s">
        <v>3476</v>
      </c>
      <c r="E4485" s="2" t="s">
        <v>38</v>
      </c>
      <c r="F4485" s="2" t="s">
        <v>39</v>
      </c>
      <c r="L4485" s="2" t="s">
        <v>339</v>
      </c>
      <c r="M4485" s="2" t="s">
        <v>40</v>
      </c>
      <c r="P4485" s="2" t="s">
        <v>169</v>
      </c>
      <c r="Q4485" s="33" t="s">
        <v>170</v>
      </c>
      <c r="R4485" s="33" t="s">
        <v>170</v>
      </c>
      <c r="S4485" s="32">
        <v>1</v>
      </c>
      <c r="T4485" s="31">
        <v>10</v>
      </c>
      <c r="U4485" s="2">
        <f>T4485*23%</f>
        <v>2.3000000000000003</v>
      </c>
      <c r="V4485" s="2">
        <f t="shared" si="712"/>
        <v>12.3</v>
      </c>
      <c r="W4485" s="2">
        <v>8</v>
      </c>
      <c r="X4485" s="5">
        <f t="shared" si="713"/>
        <v>0.2</v>
      </c>
      <c r="Z4485" s="2" t="s">
        <v>169</v>
      </c>
      <c r="AA4485" s="2" t="s">
        <v>169</v>
      </c>
      <c r="AK4485" s="2">
        <f t="shared" ref="AK4485:AK4486" si="716">T4485-W4485</f>
        <v>2</v>
      </c>
      <c r="AL4485" s="5">
        <f t="shared" ref="AL4485:AL4486" si="717">(T4485-W4485)/T4485</f>
        <v>0.2</v>
      </c>
    </row>
    <row r="4486" spans="1:38" x14ac:dyDescent="0.2">
      <c r="A4486" s="2">
        <v>2026</v>
      </c>
      <c r="B4486" s="2">
        <v>7</v>
      </c>
      <c r="C4486" s="2" t="s">
        <v>3475</v>
      </c>
      <c r="D4486" s="2" t="s">
        <v>3476</v>
      </c>
      <c r="E4486" s="2" t="s">
        <v>38</v>
      </c>
      <c r="F4486" s="2" t="s">
        <v>39</v>
      </c>
      <c r="L4486" s="2" t="s">
        <v>339</v>
      </c>
      <c r="M4486" s="2" t="s">
        <v>40</v>
      </c>
      <c r="P4486" s="2" t="s">
        <v>187</v>
      </c>
      <c r="Q4486" s="33" t="s">
        <v>1308</v>
      </c>
      <c r="R4486" s="33" t="s">
        <v>1309</v>
      </c>
      <c r="S4486" s="32">
        <v>1</v>
      </c>
      <c r="T4486" s="31">
        <v>133</v>
      </c>
      <c r="U4486" s="2">
        <f>T4486*23%</f>
        <v>30.59</v>
      </c>
      <c r="V4486" s="2">
        <f t="shared" si="712"/>
        <v>163.59</v>
      </c>
      <c r="X4486" s="5">
        <f t="shared" si="713"/>
        <v>1</v>
      </c>
      <c r="Z4486" s="2" t="s">
        <v>117</v>
      </c>
      <c r="AA4486" s="2" t="s">
        <v>1310</v>
      </c>
      <c r="AK4486" s="2">
        <f t="shared" si="716"/>
        <v>133</v>
      </c>
      <c r="AL4486" s="5">
        <f t="shared" si="717"/>
        <v>1</v>
      </c>
    </row>
    <row r="4487" spans="1:38" x14ac:dyDescent="0.2">
      <c r="A4487" s="2">
        <v>2026</v>
      </c>
      <c r="B4487" s="2">
        <v>7</v>
      </c>
      <c r="C4487" s="2" t="s">
        <v>3475</v>
      </c>
      <c r="D4487" s="2" t="s">
        <v>941</v>
      </c>
      <c r="E4487" s="2" t="s">
        <v>38</v>
      </c>
      <c r="F4487" s="2" t="s">
        <v>39</v>
      </c>
      <c r="L4487" s="2" t="s">
        <v>177</v>
      </c>
      <c r="M4487" s="2" t="s">
        <v>41</v>
      </c>
      <c r="P4487" s="2" t="s">
        <v>43</v>
      </c>
      <c r="Q4487" s="33" t="s">
        <v>48</v>
      </c>
      <c r="R4487" s="33" t="s">
        <v>49</v>
      </c>
      <c r="S4487" s="32">
        <v>2</v>
      </c>
      <c r="T4487" s="31">
        <v>26</v>
      </c>
      <c r="U4487" s="2">
        <f t="shared" ref="U4487:U4512" si="718">T4487*23%</f>
        <v>5.98</v>
      </c>
      <c r="V4487" s="2">
        <f t="shared" ref="V4487:V4493" si="719">T4487+U4487</f>
        <v>31.98</v>
      </c>
      <c r="W4487" s="2">
        <f>6.6267*S4487</f>
        <v>13.253399999999999</v>
      </c>
      <c r="X4487" s="5">
        <f t="shared" si="713"/>
        <v>0.49025384615384621</v>
      </c>
      <c r="Z4487" s="2" t="s">
        <v>3226</v>
      </c>
      <c r="AA4487" s="2" t="s">
        <v>46</v>
      </c>
      <c r="AB4487" s="2" t="s">
        <v>47</v>
      </c>
      <c r="AC4487" s="2" t="s">
        <v>57</v>
      </c>
      <c r="AK4487" s="2">
        <f t="shared" ref="AK4487:AK4516" si="720">T4487-W4487</f>
        <v>12.746600000000001</v>
      </c>
      <c r="AL4487" s="5">
        <f t="shared" ref="AL4487:AL4516" si="721">(T4487-W4487)/T4487</f>
        <v>0.49025384615384621</v>
      </c>
    </row>
    <row r="4488" spans="1:38" x14ac:dyDescent="0.2">
      <c r="A4488" s="2">
        <v>2026</v>
      </c>
      <c r="B4488" s="2">
        <v>7</v>
      </c>
      <c r="C4488" s="2" t="s">
        <v>3475</v>
      </c>
      <c r="D4488" s="33" t="s">
        <v>3477</v>
      </c>
      <c r="E4488" s="2" t="s">
        <v>3376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3088</v>
      </c>
      <c r="R4488" s="33" t="s">
        <v>3089</v>
      </c>
      <c r="S4488" s="32">
        <v>1</v>
      </c>
      <c r="T4488" s="31">
        <v>2490</v>
      </c>
      <c r="U4488" s="2">
        <f t="shared" si="718"/>
        <v>572.70000000000005</v>
      </c>
      <c r="V4488" s="2">
        <f t="shared" si="719"/>
        <v>3062.7</v>
      </c>
      <c r="W4488" s="2">
        <f>1907.5+49</f>
        <v>1956.5</v>
      </c>
      <c r="X4488" s="5">
        <f t="shared" si="713"/>
        <v>0.21425702811244979</v>
      </c>
      <c r="Z4488" s="2" t="s">
        <v>104</v>
      </c>
      <c r="AA4488" s="2" t="s">
        <v>387</v>
      </c>
      <c r="AB4488" s="2" t="s">
        <v>1330</v>
      </c>
      <c r="AC4488" s="2" t="s">
        <v>1327</v>
      </c>
      <c r="AK4488" s="2">
        <f t="shared" si="720"/>
        <v>533.5</v>
      </c>
      <c r="AL4488" s="5">
        <f t="shared" si="721"/>
        <v>0.21425702811244979</v>
      </c>
    </row>
    <row r="4489" spans="1:38" x14ac:dyDescent="0.2">
      <c r="A4489" s="2">
        <v>2026</v>
      </c>
      <c r="B4489" s="2">
        <v>7</v>
      </c>
      <c r="C4489" s="2" t="s">
        <v>3475</v>
      </c>
      <c r="D4489" s="33" t="s">
        <v>3477</v>
      </c>
      <c r="E4489" s="2" t="s">
        <v>3376</v>
      </c>
      <c r="F4489" s="2" t="s">
        <v>39</v>
      </c>
      <c r="L4489" s="2" t="s">
        <v>99</v>
      </c>
      <c r="M4489" s="2" t="s">
        <v>41</v>
      </c>
      <c r="P4489" s="2" t="s">
        <v>282</v>
      </c>
      <c r="Q4489" s="33" t="s">
        <v>1325</v>
      </c>
      <c r="R4489" s="33" t="s">
        <v>1326</v>
      </c>
      <c r="S4489" s="32">
        <v>1</v>
      </c>
      <c r="T4489" s="31">
        <v>0</v>
      </c>
      <c r="U4489" s="2">
        <f t="shared" si="718"/>
        <v>0</v>
      </c>
      <c r="V4489" s="2">
        <f t="shared" si="719"/>
        <v>0</v>
      </c>
      <c r="W4489" s="2">
        <v>25.9</v>
      </c>
      <c r="Z4489" s="2" t="s">
        <v>3226</v>
      </c>
      <c r="AA4489" s="2" t="s">
        <v>578</v>
      </c>
      <c r="AB4489" s="2" t="s">
        <v>119</v>
      </c>
      <c r="AC4489" s="2" t="s">
        <v>1327</v>
      </c>
      <c r="AK4489" s="2">
        <f t="shared" si="720"/>
        <v>-25.9</v>
      </c>
    </row>
    <row r="4490" spans="1:38" x14ac:dyDescent="0.2">
      <c r="A4490" s="2">
        <v>2026</v>
      </c>
      <c r="B4490" s="2">
        <v>7</v>
      </c>
      <c r="C4490" s="2" t="s">
        <v>3475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1038</v>
      </c>
      <c r="Q4490" s="33" t="s">
        <v>1928</v>
      </c>
      <c r="R4490" s="33" t="s">
        <v>1929</v>
      </c>
      <c r="S4490" s="32">
        <v>4</v>
      </c>
      <c r="T4490" s="31">
        <v>682.93</v>
      </c>
      <c r="U4490" s="2">
        <f t="shared" si="718"/>
        <v>157.07390000000001</v>
      </c>
      <c r="V4490" s="2">
        <f t="shared" si="719"/>
        <v>840.00389999999993</v>
      </c>
      <c r="W4490" s="2">
        <f>119.81*S4490</f>
        <v>479.24</v>
      </c>
      <c r="X4490" s="5">
        <f t="shared" si="713"/>
        <v>0.2982589723690568</v>
      </c>
      <c r="Z4490" s="2" t="s">
        <v>3226</v>
      </c>
      <c r="AA4490" s="2" t="s">
        <v>1041</v>
      </c>
      <c r="AB4490" s="2" t="s">
        <v>1318</v>
      </c>
      <c r="AC4490" s="2" t="s">
        <v>1038</v>
      </c>
      <c r="AK4490" s="2">
        <f t="shared" si="720"/>
        <v>203.68999999999994</v>
      </c>
      <c r="AL4490" s="5">
        <f t="shared" si="721"/>
        <v>0.2982589723690568</v>
      </c>
    </row>
    <row r="4491" spans="1:38" x14ac:dyDescent="0.2">
      <c r="A4491" s="2">
        <v>2026</v>
      </c>
      <c r="B4491" s="2">
        <v>7</v>
      </c>
      <c r="C4491" s="2" t="s">
        <v>3475</v>
      </c>
      <c r="D4491" s="33" t="s">
        <v>2767</v>
      </c>
      <c r="E4491" s="2" t="s">
        <v>38</v>
      </c>
      <c r="F4491" s="2" t="s">
        <v>39</v>
      </c>
      <c r="G4491" s="2">
        <v>500041946</v>
      </c>
      <c r="H4491" s="2" t="s">
        <v>109</v>
      </c>
      <c r="I4491" s="2" t="s">
        <v>133</v>
      </c>
      <c r="J4491" s="2" t="s">
        <v>2768</v>
      </c>
      <c r="L4491" s="2" t="s">
        <v>133</v>
      </c>
      <c r="M4491" s="2" t="s">
        <v>80</v>
      </c>
      <c r="P4491" s="2" t="s">
        <v>169</v>
      </c>
      <c r="Q4491" s="33" t="s">
        <v>170</v>
      </c>
      <c r="R4491" s="33" t="s">
        <v>170</v>
      </c>
      <c r="S4491" s="32">
        <v>1</v>
      </c>
      <c r="T4491" s="31">
        <v>30</v>
      </c>
      <c r="U4491" s="2">
        <f t="shared" si="718"/>
        <v>6.9</v>
      </c>
      <c r="V4491" s="2">
        <f t="shared" si="719"/>
        <v>36.9</v>
      </c>
      <c r="W4491" s="2">
        <v>43</v>
      </c>
      <c r="X4491" s="18">
        <f t="shared" si="713"/>
        <v>-0.43333333333333335</v>
      </c>
      <c r="Z4491" s="2" t="s">
        <v>169</v>
      </c>
      <c r="AA4491" s="2" t="s">
        <v>169</v>
      </c>
      <c r="AK4491" s="2">
        <f t="shared" si="720"/>
        <v>-13</v>
      </c>
      <c r="AL4491" s="18">
        <f t="shared" si="721"/>
        <v>-0.43333333333333335</v>
      </c>
    </row>
    <row r="4492" spans="1:38" x14ac:dyDescent="0.2">
      <c r="A4492" s="2">
        <v>2026</v>
      </c>
      <c r="B4492" s="2">
        <v>7</v>
      </c>
      <c r="C4492" s="2" t="s">
        <v>3475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188</v>
      </c>
      <c r="R4492" s="33" t="s">
        <v>189</v>
      </c>
      <c r="S4492" s="32">
        <v>2</v>
      </c>
      <c r="T4492" s="31">
        <v>147</v>
      </c>
      <c r="U4492" s="2">
        <f t="shared" si="718"/>
        <v>33.81</v>
      </c>
      <c r="V4492" s="2">
        <f t="shared" si="719"/>
        <v>180.81</v>
      </c>
      <c r="W4492" s="2">
        <f>T4492*40%</f>
        <v>58.800000000000004</v>
      </c>
      <c r="X4492" s="5">
        <f t="shared" si="713"/>
        <v>0.6</v>
      </c>
      <c r="Y4492" s="2" t="s">
        <v>3493</v>
      </c>
      <c r="Z4492" s="2" t="s">
        <v>117</v>
      </c>
      <c r="AA4492" s="2" t="s">
        <v>190</v>
      </c>
      <c r="AB4492" s="2" t="s">
        <v>189</v>
      </c>
      <c r="AC4492" s="2" t="s">
        <v>40</v>
      </c>
      <c r="AK4492" s="2">
        <f t="shared" si="720"/>
        <v>88.199999999999989</v>
      </c>
      <c r="AL4492" s="5">
        <f t="shared" si="721"/>
        <v>0.6</v>
      </c>
    </row>
    <row r="4493" spans="1:38" x14ac:dyDescent="0.2">
      <c r="A4493" s="2">
        <v>2026</v>
      </c>
      <c r="B4493" s="2">
        <v>7</v>
      </c>
      <c r="C4493" s="2" t="s">
        <v>3475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191</v>
      </c>
      <c r="R4493" s="33" t="s">
        <v>190</v>
      </c>
      <c r="S4493" s="32">
        <v>4</v>
      </c>
      <c r="T4493" s="31">
        <v>220</v>
      </c>
      <c r="U4493" s="2">
        <f t="shared" si="718"/>
        <v>50.6</v>
      </c>
      <c r="V4493" s="2">
        <f t="shared" si="719"/>
        <v>270.60000000000002</v>
      </c>
      <c r="W4493" s="2">
        <f>T4493*50%</f>
        <v>110</v>
      </c>
      <c r="X4493" s="5">
        <f t="shared" si="713"/>
        <v>0.5</v>
      </c>
      <c r="Y4493" s="2" t="s">
        <v>3493</v>
      </c>
      <c r="Z4493" s="2" t="s">
        <v>117</v>
      </c>
      <c r="AA4493" s="2" t="s">
        <v>190</v>
      </c>
      <c r="AB4493" s="2" t="s">
        <v>190</v>
      </c>
      <c r="AC4493" s="2" t="s">
        <v>40</v>
      </c>
      <c r="AK4493" s="2">
        <f t="shared" si="720"/>
        <v>110</v>
      </c>
      <c r="AL4493" s="5">
        <f t="shared" si="721"/>
        <v>0.5</v>
      </c>
    </row>
    <row r="4494" spans="1:38" x14ac:dyDescent="0.2">
      <c r="A4494" s="2">
        <v>2026</v>
      </c>
      <c r="B4494" s="2">
        <v>7</v>
      </c>
      <c r="C4494" s="2" t="s">
        <v>3475</v>
      </c>
      <c r="D4494" s="15" t="s">
        <v>744</v>
      </c>
      <c r="E4494" s="2" t="s">
        <v>108</v>
      </c>
      <c r="F4494" s="2" t="s">
        <v>39</v>
      </c>
      <c r="G4494" s="2">
        <v>509181163</v>
      </c>
      <c r="H4494" s="2" t="s">
        <v>40</v>
      </c>
      <c r="I4494" s="2" t="s">
        <v>745</v>
      </c>
      <c r="J4494" s="2" t="s">
        <v>746</v>
      </c>
      <c r="K4494" s="2">
        <v>962372760</v>
      </c>
      <c r="L4494" s="2" t="s">
        <v>201</v>
      </c>
      <c r="M4494" s="2" t="s">
        <v>40</v>
      </c>
      <c r="P4494" s="2" t="s">
        <v>187</v>
      </c>
      <c r="Q4494" s="33" t="s">
        <v>363</v>
      </c>
      <c r="R4494" s="33" t="s">
        <v>364</v>
      </c>
      <c r="S4494" s="32">
        <v>1</v>
      </c>
      <c r="T4494" s="31">
        <v>297.5</v>
      </c>
      <c r="U4494" s="2">
        <f t="shared" si="718"/>
        <v>68.424999999999997</v>
      </c>
      <c r="V4494" s="2">
        <f t="shared" ref="V4494:V4497" si="722">T4494+U4494</f>
        <v>365.92500000000001</v>
      </c>
      <c r="W4494" s="2">
        <f>T4494*70%</f>
        <v>208.25</v>
      </c>
      <c r="X4494" s="5">
        <f t="shared" si="713"/>
        <v>0.3</v>
      </c>
      <c r="Y4494" s="2" t="s">
        <v>3493</v>
      </c>
      <c r="Z4494" s="2" t="s">
        <v>117</v>
      </c>
      <c r="AA4494" s="2" t="s">
        <v>1310</v>
      </c>
      <c r="AK4494" s="2">
        <f t="shared" si="720"/>
        <v>89.25</v>
      </c>
      <c r="AL4494" s="5">
        <f t="shared" si="721"/>
        <v>0.3</v>
      </c>
    </row>
    <row r="4495" spans="1:38" x14ac:dyDescent="0.2">
      <c r="A4495" s="2">
        <v>2026</v>
      </c>
      <c r="B4495" s="2">
        <v>7</v>
      </c>
      <c r="C4495" s="2" t="s">
        <v>3475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399</v>
      </c>
      <c r="R4495" s="33" t="s">
        <v>400</v>
      </c>
      <c r="S4495" s="32">
        <v>10</v>
      </c>
      <c r="T4495" s="31">
        <v>200</v>
      </c>
      <c r="U4495" s="2">
        <f t="shared" si="718"/>
        <v>46</v>
      </c>
      <c r="V4495" s="2">
        <f t="shared" si="722"/>
        <v>246</v>
      </c>
      <c r="W4495" s="2">
        <f t="shared" ref="W4495:W4498" si="723">14.5099*S4495</f>
        <v>145.09899999999999</v>
      </c>
      <c r="X4495" s="5">
        <f t="shared" si="713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3331</v>
      </c>
      <c r="AK4495" s="2">
        <f t="shared" si="720"/>
        <v>54.90100000000001</v>
      </c>
      <c r="AL4495" s="5">
        <f t="shared" si="721"/>
        <v>0.27450500000000005</v>
      </c>
    </row>
    <row r="4496" spans="1:38" x14ac:dyDescent="0.2">
      <c r="A4496" s="2">
        <v>2026</v>
      </c>
      <c r="B4496" s="2">
        <v>7</v>
      </c>
      <c r="C4496" s="2" t="s">
        <v>3475</v>
      </c>
      <c r="D4496" s="33" t="s">
        <v>1006</v>
      </c>
      <c r="E4496" s="2" t="s">
        <v>108</v>
      </c>
      <c r="F4496" s="2" t="s">
        <v>39</v>
      </c>
      <c r="L4496" s="2" t="s">
        <v>177</v>
      </c>
      <c r="M4496" s="2" t="s">
        <v>41</v>
      </c>
      <c r="P4496" s="2" t="s">
        <v>282</v>
      </c>
      <c r="Q4496" s="33" t="s">
        <v>401</v>
      </c>
      <c r="R4496" s="33" t="s">
        <v>402</v>
      </c>
      <c r="S4496" s="32">
        <v>10</v>
      </c>
      <c r="T4496" s="31">
        <v>200</v>
      </c>
      <c r="U4496" s="2">
        <f t="shared" si="718"/>
        <v>46</v>
      </c>
      <c r="V4496" s="2">
        <f t="shared" si="722"/>
        <v>246</v>
      </c>
      <c r="W4496" s="2">
        <f t="shared" si="723"/>
        <v>145.09899999999999</v>
      </c>
      <c r="X4496" s="5">
        <f t="shared" si="713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3331</v>
      </c>
      <c r="AK4496" s="2">
        <f t="shared" si="720"/>
        <v>54.90100000000001</v>
      </c>
      <c r="AL4496" s="5">
        <f t="shared" si="721"/>
        <v>0.27450500000000005</v>
      </c>
    </row>
    <row r="4497" spans="1:38" x14ac:dyDescent="0.2">
      <c r="A4497" s="2">
        <v>2026</v>
      </c>
      <c r="B4497" s="2">
        <v>7</v>
      </c>
      <c r="C4497" s="2" t="s">
        <v>3475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399</v>
      </c>
      <c r="R4497" s="33" t="s">
        <v>400</v>
      </c>
      <c r="S4497" s="32">
        <v>10</v>
      </c>
      <c r="T4497" s="31">
        <v>200</v>
      </c>
      <c r="U4497" s="2">
        <f t="shared" si="718"/>
        <v>46</v>
      </c>
      <c r="V4497" s="2">
        <f t="shared" si="722"/>
        <v>246</v>
      </c>
      <c r="W4497" s="2">
        <f t="shared" si="723"/>
        <v>145.09899999999999</v>
      </c>
      <c r="X4497" s="5">
        <f t="shared" si="713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3331</v>
      </c>
      <c r="AK4497" s="2">
        <f t="shared" si="720"/>
        <v>54.90100000000001</v>
      </c>
      <c r="AL4497" s="5">
        <f t="shared" si="721"/>
        <v>0.27450500000000005</v>
      </c>
    </row>
    <row r="4498" spans="1:38" x14ac:dyDescent="0.2">
      <c r="A4498" s="2">
        <v>2026</v>
      </c>
      <c r="B4498" s="2">
        <v>7</v>
      </c>
      <c r="C4498" s="2" t="s">
        <v>3475</v>
      </c>
      <c r="D4498" s="33" t="s">
        <v>769</v>
      </c>
      <c r="E4498" s="2" t="s">
        <v>108</v>
      </c>
      <c r="F4498" s="2" t="s">
        <v>376</v>
      </c>
      <c r="G4498" s="2">
        <v>505926768</v>
      </c>
      <c r="H4498" s="2" t="s">
        <v>290</v>
      </c>
      <c r="I4498" s="2" t="s">
        <v>770</v>
      </c>
      <c r="J4498" s="2" t="s">
        <v>771</v>
      </c>
      <c r="L4498" s="2" t="s">
        <v>339</v>
      </c>
      <c r="M4498" s="2" t="s">
        <v>80</v>
      </c>
      <c r="P4498" s="2" t="s">
        <v>282</v>
      </c>
      <c r="Q4498" s="33" t="s">
        <v>401</v>
      </c>
      <c r="R4498" s="33" t="s">
        <v>402</v>
      </c>
      <c r="S4498" s="32">
        <v>10</v>
      </c>
      <c r="T4498" s="31">
        <v>200</v>
      </c>
      <c r="U4498" s="2">
        <f t="shared" si="718"/>
        <v>46</v>
      </c>
      <c r="V4498" s="2">
        <f t="shared" ref="V4498:V4505" si="724">T4498+U4498</f>
        <v>246</v>
      </c>
      <c r="W4498" s="2">
        <f t="shared" si="723"/>
        <v>145.09899999999999</v>
      </c>
      <c r="X4498" s="5">
        <f t="shared" si="713"/>
        <v>0.27450500000000005</v>
      </c>
      <c r="Z4498" s="2" t="s">
        <v>3226</v>
      </c>
      <c r="AA4498" s="2" t="s">
        <v>46</v>
      </c>
      <c r="AB4498" s="2" t="s">
        <v>60</v>
      </c>
      <c r="AC4498" s="2" t="s">
        <v>3331</v>
      </c>
      <c r="AK4498" s="2">
        <f t="shared" si="720"/>
        <v>54.90100000000001</v>
      </c>
      <c r="AL4498" s="5">
        <f t="shared" si="721"/>
        <v>0.27450500000000005</v>
      </c>
    </row>
    <row r="4499" spans="1:38" x14ac:dyDescent="0.2">
      <c r="A4499" s="2">
        <v>2026</v>
      </c>
      <c r="B4499" s="2">
        <v>7</v>
      </c>
      <c r="C4499" s="2" t="s">
        <v>3475</v>
      </c>
      <c r="D4499" s="33" t="s">
        <v>382</v>
      </c>
      <c r="E4499" s="2" t="s">
        <v>38</v>
      </c>
      <c r="F4499" s="2" t="s">
        <v>39</v>
      </c>
      <c r="G4499" s="2">
        <v>212196260</v>
      </c>
      <c r="H4499" s="2" t="s">
        <v>109</v>
      </c>
      <c r="I4499" s="2" t="s">
        <v>383</v>
      </c>
      <c r="J4499" s="2" t="s">
        <v>384</v>
      </c>
      <c r="K4499" s="2">
        <v>926769894</v>
      </c>
      <c r="L4499" s="2" t="s">
        <v>112</v>
      </c>
      <c r="M4499" s="2" t="s">
        <v>80</v>
      </c>
      <c r="P4499" s="2" t="s">
        <v>1038</v>
      </c>
      <c r="Q4499" s="33" t="s">
        <v>1856</v>
      </c>
      <c r="R4499" s="33" t="s">
        <v>1857</v>
      </c>
      <c r="S4499" s="32">
        <v>4</v>
      </c>
      <c r="T4499" s="31">
        <v>642.28</v>
      </c>
      <c r="U4499" s="2">
        <f t="shared" si="718"/>
        <v>147.7244</v>
      </c>
      <c r="V4499" s="2">
        <f t="shared" si="724"/>
        <v>790.00440000000003</v>
      </c>
      <c r="W4499" s="2">
        <f>112.4*S4499</f>
        <v>449.6</v>
      </c>
      <c r="X4499" s="5">
        <f t="shared" si="713"/>
        <v>0.29999377218658524</v>
      </c>
      <c r="Z4499" s="2" t="s">
        <v>3226</v>
      </c>
      <c r="AA4499" s="2" t="s">
        <v>1041</v>
      </c>
      <c r="AB4499" s="2" t="s">
        <v>1318</v>
      </c>
      <c r="AC4499" s="2" t="s">
        <v>1038</v>
      </c>
      <c r="AK4499" s="2">
        <f t="shared" si="720"/>
        <v>192.67999999999995</v>
      </c>
      <c r="AL4499" s="5">
        <f t="shared" si="721"/>
        <v>0.29999377218658524</v>
      </c>
    </row>
    <row r="4500" spans="1:38" x14ac:dyDescent="0.2">
      <c r="A4500" s="2">
        <v>2026</v>
      </c>
      <c r="B4500" s="2">
        <v>7</v>
      </c>
      <c r="C4500" s="2" t="s">
        <v>3475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188</v>
      </c>
      <c r="R4500" s="33" t="s">
        <v>189</v>
      </c>
      <c r="S4500" s="32">
        <v>1</v>
      </c>
      <c r="T4500" s="31">
        <v>93</v>
      </c>
      <c r="U4500" s="2">
        <f t="shared" si="718"/>
        <v>21.39</v>
      </c>
      <c r="V4500" s="2">
        <f t="shared" si="724"/>
        <v>114.39</v>
      </c>
      <c r="W4500" s="2">
        <f>T4500*40%</f>
        <v>37.200000000000003</v>
      </c>
      <c r="X4500" s="5">
        <f t="shared" si="713"/>
        <v>0.6</v>
      </c>
      <c r="Y4500" s="2" t="s">
        <v>3493</v>
      </c>
      <c r="Z4500" s="2" t="s">
        <v>117</v>
      </c>
      <c r="AA4500" s="2" t="s">
        <v>190</v>
      </c>
      <c r="AB4500" s="2" t="s">
        <v>189</v>
      </c>
      <c r="AC4500" s="2" t="s">
        <v>40</v>
      </c>
      <c r="AK4500" s="2">
        <f t="shared" si="720"/>
        <v>55.8</v>
      </c>
      <c r="AL4500" s="5">
        <f t="shared" si="721"/>
        <v>0.6</v>
      </c>
    </row>
    <row r="4501" spans="1:38" x14ac:dyDescent="0.2">
      <c r="A4501" s="2">
        <v>2026</v>
      </c>
      <c r="B4501" s="2">
        <v>7</v>
      </c>
      <c r="C4501" s="2" t="s">
        <v>3475</v>
      </c>
      <c r="D4501" s="33" t="s">
        <v>451</v>
      </c>
      <c r="E4501" s="2" t="s">
        <v>108</v>
      </c>
      <c r="F4501" s="2" t="s">
        <v>39</v>
      </c>
      <c r="G4501" s="2">
        <v>506085686</v>
      </c>
      <c r="H4501" s="2" t="s">
        <v>40</v>
      </c>
      <c r="I4501" s="2" t="s">
        <v>452</v>
      </c>
      <c r="J4501" s="2" t="s">
        <v>453</v>
      </c>
      <c r="K4501" s="2">
        <v>917241919</v>
      </c>
      <c r="L4501" s="2" t="s">
        <v>398</v>
      </c>
      <c r="M4501" s="2" t="s">
        <v>40</v>
      </c>
      <c r="P4501" s="2" t="s">
        <v>187</v>
      </c>
      <c r="Q4501" s="33" t="s">
        <v>191</v>
      </c>
      <c r="R4501" s="33" t="s">
        <v>190</v>
      </c>
      <c r="S4501" s="32">
        <v>1</v>
      </c>
      <c r="T4501" s="31">
        <v>49.5</v>
      </c>
      <c r="U4501" s="2">
        <f t="shared" si="718"/>
        <v>11.385</v>
      </c>
      <c r="V4501" s="2">
        <f t="shared" si="724"/>
        <v>60.884999999999998</v>
      </c>
      <c r="W4501" s="2">
        <f>T4501*50%</f>
        <v>24.75</v>
      </c>
      <c r="X4501" s="5">
        <f t="shared" si="713"/>
        <v>0.5</v>
      </c>
      <c r="Y4501" s="2" t="s">
        <v>3493</v>
      </c>
      <c r="Z4501" s="2" t="s">
        <v>117</v>
      </c>
      <c r="AA4501" s="2" t="s">
        <v>190</v>
      </c>
      <c r="AB4501" s="2" t="s">
        <v>190</v>
      </c>
      <c r="AC4501" s="2" t="s">
        <v>40</v>
      </c>
      <c r="AK4501" s="2">
        <f t="shared" si="720"/>
        <v>24.75</v>
      </c>
      <c r="AL4501" s="5">
        <f t="shared" si="721"/>
        <v>0.5</v>
      </c>
    </row>
    <row r="4502" spans="1:38" x14ac:dyDescent="0.2">
      <c r="A4502" s="2">
        <v>2026</v>
      </c>
      <c r="B4502" s="2">
        <v>7</v>
      </c>
      <c r="C4502" s="2" t="s">
        <v>3475</v>
      </c>
      <c r="D4502" s="33" t="s">
        <v>3337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3478</v>
      </c>
      <c r="R4502" s="33" t="s">
        <v>3479</v>
      </c>
      <c r="S4502" s="32">
        <v>1</v>
      </c>
      <c r="T4502" s="31">
        <v>163.55000000000001</v>
      </c>
      <c r="U4502" s="2">
        <f t="shared" si="718"/>
        <v>37.616500000000002</v>
      </c>
      <c r="V4502" s="2">
        <f t="shared" si="724"/>
        <v>201.16650000000001</v>
      </c>
      <c r="W4502" s="2">
        <v>70.135000000000005</v>
      </c>
      <c r="X4502" s="5">
        <f t="shared" si="713"/>
        <v>0.57117089575053503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720"/>
        <v>93.415000000000006</v>
      </c>
      <c r="AL4502" s="5">
        <f t="shared" si="721"/>
        <v>0.57117089575053503</v>
      </c>
    </row>
    <row r="4503" spans="1:38" x14ac:dyDescent="0.2">
      <c r="A4503" s="2">
        <v>2026</v>
      </c>
      <c r="B4503" s="2">
        <v>7</v>
      </c>
      <c r="C4503" s="2" t="s">
        <v>3475</v>
      </c>
      <c r="D4503" s="33" t="s">
        <v>3337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114</v>
      </c>
      <c r="Q4503" s="33" t="s">
        <v>1655</v>
      </c>
      <c r="R4503" s="33" t="s">
        <v>1656</v>
      </c>
      <c r="S4503" s="32">
        <v>1</v>
      </c>
      <c r="T4503" s="31">
        <v>2635.57</v>
      </c>
      <c r="U4503" s="2">
        <f t="shared" si="718"/>
        <v>606.18110000000001</v>
      </c>
      <c r="V4503" s="2">
        <f t="shared" si="724"/>
        <v>3241.7511000000004</v>
      </c>
      <c r="W4503" s="2">
        <f>543.6775</f>
        <v>543.67750000000001</v>
      </c>
      <c r="X4503" s="5">
        <f t="shared" si="713"/>
        <v>0.79371540122250583</v>
      </c>
      <c r="Y4503" s="2" t="s">
        <v>2540</v>
      </c>
      <c r="Z4503" s="2" t="s">
        <v>117</v>
      </c>
      <c r="AA4503" s="2" t="s">
        <v>118</v>
      </c>
      <c r="AB4503" s="2" t="s">
        <v>119</v>
      </c>
      <c r="AC4503" s="2" t="s">
        <v>114</v>
      </c>
      <c r="AK4503" s="2">
        <f t="shared" si="720"/>
        <v>2091.8924999999999</v>
      </c>
      <c r="AL4503" s="5">
        <f t="shared" si="721"/>
        <v>0.79371540122250583</v>
      </c>
    </row>
    <row r="4504" spans="1:38" x14ac:dyDescent="0.2">
      <c r="A4504" s="2">
        <v>2026</v>
      </c>
      <c r="B4504" s="2">
        <v>7</v>
      </c>
      <c r="C4504" s="2" t="s">
        <v>3475</v>
      </c>
      <c r="D4504" s="33" t="s">
        <v>3337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188</v>
      </c>
      <c r="R4504" s="33" t="s">
        <v>189</v>
      </c>
      <c r="S4504" s="32">
        <v>2</v>
      </c>
      <c r="T4504" s="31">
        <v>350</v>
      </c>
      <c r="U4504" s="2">
        <f t="shared" si="718"/>
        <v>80.5</v>
      </c>
      <c r="V4504" s="2">
        <f t="shared" si="724"/>
        <v>430.5</v>
      </c>
      <c r="W4504" s="2">
        <f>T4504*40%</f>
        <v>140</v>
      </c>
      <c r="X4504" s="5">
        <f t="shared" si="713"/>
        <v>0.6</v>
      </c>
      <c r="Y4504" s="2" t="s">
        <v>2540</v>
      </c>
      <c r="Z4504" s="2" t="s">
        <v>117</v>
      </c>
      <c r="AA4504" s="2" t="s">
        <v>190</v>
      </c>
      <c r="AB4504" s="2" t="s">
        <v>189</v>
      </c>
      <c r="AC4504" s="2" t="s">
        <v>40</v>
      </c>
      <c r="AK4504" s="2">
        <f t="shared" si="720"/>
        <v>210</v>
      </c>
      <c r="AL4504" s="5">
        <f t="shared" si="721"/>
        <v>0.6</v>
      </c>
    </row>
    <row r="4505" spans="1:38" x14ac:dyDescent="0.2">
      <c r="A4505" s="2">
        <v>2026</v>
      </c>
      <c r="B4505" s="2">
        <v>7</v>
      </c>
      <c r="C4505" s="2" t="s">
        <v>3475</v>
      </c>
      <c r="D4505" s="33" t="s">
        <v>3337</v>
      </c>
      <c r="E4505" s="2" t="s">
        <v>38</v>
      </c>
      <c r="F4505" s="2" t="s">
        <v>39</v>
      </c>
      <c r="L4505" s="2" t="s">
        <v>133</v>
      </c>
      <c r="M4505" s="2" t="s">
        <v>40</v>
      </c>
      <c r="P4505" s="2" t="s">
        <v>187</v>
      </c>
      <c r="Q4505" s="33" t="s">
        <v>191</v>
      </c>
      <c r="R4505" s="33" t="s">
        <v>190</v>
      </c>
      <c r="S4505" s="32">
        <v>4</v>
      </c>
      <c r="T4505" s="31">
        <v>220</v>
      </c>
      <c r="U4505" s="2">
        <f t="shared" si="718"/>
        <v>50.6</v>
      </c>
      <c r="V4505" s="2">
        <f t="shared" si="724"/>
        <v>270.60000000000002</v>
      </c>
      <c r="W4505" s="2">
        <f>T4505*50%</f>
        <v>110</v>
      </c>
      <c r="X4505" s="5">
        <f t="shared" si="713"/>
        <v>0.5</v>
      </c>
      <c r="Y4505" s="2" t="s">
        <v>2540</v>
      </c>
      <c r="Z4505" s="2" t="s">
        <v>117</v>
      </c>
      <c r="AA4505" s="2" t="s">
        <v>190</v>
      </c>
      <c r="AB4505" s="2" t="s">
        <v>190</v>
      </c>
      <c r="AC4505" s="2" t="s">
        <v>40</v>
      </c>
      <c r="AK4505" s="2">
        <f t="shared" si="720"/>
        <v>110</v>
      </c>
      <c r="AL4505" s="5">
        <f t="shared" si="721"/>
        <v>0.5</v>
      </c>
    </row>
    <row r="4506" spans="1:38" x14ac:dyDescent="0.2">
      <c r="A4506" s="2">
        <v>2026</v>
      </c>
      <c r="B4506" s="2">
        <v>7</v>
      </c>
      <c r="C4506" s="2" t="s">
        <v>3475</v>
      </c>
      <c r="D4506" s="33" t="s">
        <v>558</v>
      </c>
      <c r="E4506" s="2" t="s">
        <v>108</v>
      </c>
      <c r="F4506" s="2" t="s">
        <v>39</v>
      </c>
      <c r="G4506" s="2">
        <v>506517233</v>
      </c>
      <c r="H4506" s="2" t="s">
        <v>80</v>
      </c>
      <c r="I4506" s="2" t="s">
        <v>559</v>
      </c>
      <c r="J4506" s="2" t="s">
        <v>560</v>
      </c>
      <c r="L4506" s="2" t="s">
        <v>133</v>
      </c>
      <c r="M4506" s="2" t="s">
        <v>40</v>
      </c>
      <c r="P4506" s="2" t="s">
        <v>3385</v>
      </c>
      <c r="Q4506" s="33" t="s">
        <v>2165</v>
      </c>
      <c r="R4506" s="33" t="s">
        <v>2166</v>
      </c>
      <c r="S4506" s="32">
        <v>4</v>
      </c>
      <c r="T4506" s="31">
        <v>360</v>
      </c>
      <c r="U4506" s="2">
        <f t="shared" si="718"/>
        <v>82.8</v>
      </c>
      <c r="V4506" s="2">
        <f t="shared" ref="V4506:V4512" si="725">T4506+U4506</f>
        <v>442.8</v>
      </c>
      <c r="W4506" s="2">
        <f>129.99*4</f>
        <v>519.96</v>
      </c>
      <c r="X4506" s="18">
        <f t="shared" si="713"/>
        <v>-0.44433333333333341</v>
      </c>
      <c r="Z4506" s="2" t="s">
        <v>3226</v>
      </c>
      <c r="AA4506" s="2" t="s">
        <v>2167</v>
      </c>
      <c r="AB4506" s="2" t="s">
        <v>2168</v>
      </c>
      <c r="AC4506" s="2" t="s">
        <v>3385</v>
      </c>
      <c r="AK4506" s="2">
        <f t="shared" si="720"/>
        <v>-159.96000000000004</v>
      </c>
      <c r="AL4506" s="18">
        <f t="shared" si="721"/>
        <v>-0.44433333333333341</v>
      </c>
    </row>
    <row r="4507" spans="1:38" x14ac:dyDescent="0.2">
      <c r="A4507" s="2">
        <v>2026</v>
      </c>
      <c r="B4507" s="2">
        <v>7</v>
      </c>
      <c r="C4507" s="2" t="s">
        <v>3475</v>
      </c>
      <c r="D4507" s="33" t="s">
        <v>3480</v>
      </c>
      <c r="E4507" s="2" t="s">
        <v>108</v>
      </c>
      <c r="F4507" s="2" t="s">
        <v>39</v>
      </c>
      <c r="L4507" s="2" t="s">
        <v>418</v>
      </c>
      <c r="M4507" s="2" t="s">
        <v>41</v>
      </c>
      <c r="P4507" s="2" t="s">
        <v>282</v>
      </c>
      <c r="Q4507" s="33" t="s">
        <v>1308</v>
      </c>
      <c r="R4507" s="2" t="s">
        <v>435</v>
      </c>
      <c r="S4507" s="32">
        <v>1</v>
      </c>
      <c r="T4507" s="2">
        <v>500</v>
      </c>
      <c r="U4507" s="2">
        <f t="shared" si="718"/>
        <v>115</v>
      </c>
      <c r="V4507" s="2">
        <f t="shared" si="725"/>
        <v>615</v>
      </c>
      <c r="W4507" s="2">
        <v>417</v>
      </c>
      <c r="X4507" s="5">
        <f t="shared" si="713"/>
        <v>0.16600000000000001</v>
      </c>
      <c r="Z4507" s="2" t="s">
        <v>104</v>
      </c>
      <c r="AA4507" s="2" t="s">
        <v>387</v>
      </c>
      <c r="AB4507" s="2" t="s">
        <v>388</v>
      </c>
      <c r="AC4507" s="2" t="s">
        <v>389</v>
      </c>
      <c r="AK4507" s="2">
        <f t="shared" si="720"/>
        <v>83</v>
      </c>
      <c r="AL4507" s="5">
        <f t="shared" si="721"/>
        <v>0.16600000000000001</v>
      </c>
    </row>
    <row r="4508" spans="1:38" x14ac:dyDescent="0.2">
      <c r="A4508" s="2">
        <v>2026</v>
      </c>
      <c r="B4508" s="2">
        <v>7</v>
      </c>
      <c r="C4508" s="2" t="s">
        <v>3475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1385</v>
      </c>
      <c r="R4508" s="33" t="s">
        <v>1080</v>
      </c>
      <c r="S4508" s="32">
        <v>1</v>
      </c>
      <c r="T4508" s="31">
        <v>98.05</v>
      </c>
      <c r="U4508" s="2">
        <f t="shared" si="718"/>
        <v>22.551500000000001</v>
      </c>
      <c r="V4508" s="2">
        <f t="shared" si="725"/>
        <v>120.6015</v>
      </c>
      <c r="W4508" s="2">
        <v>47.295000000000002</v>
      </c>
      <c r="X4508" s="5">
        <f t="shared" si="713"/>
        <v>0.5176440591534931</v>
      </c>
      <c r="Y4508" s="2" t="s">
        <v>3493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720"/>
        <v>50.754999999999995</v>
      </c>
      <c r="AL4508" s="5">
        <f t="shared" si="721"/>
        <v>0.5176440591534931</v>
      </c>
    </row>
    <row r="4509" spans="1:38" x14ac:dyDescent="0.2">
      <c r="A4509" s="2">
        <v>2026</v>
      </c>
      <c r="B4509" s="2">
        <v>7</v>
      </c>
      <c r="C4509" s="2" t="s">
        <v>3475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3" t="s">
        <v>1386</v>
      </c>
      <c r="R4509" s="33" t="s">
        <v>1387</v>
      </c>
      <c r="S4509" s="32">
        <v>1</v>
      </c>
      <c r="T4509" s="31">
        <v>356.08</v>
      </c>
      <c r="U4509" s="2">
        <f t="shared" si="718"/>
        <v>81.898399999999995</v>
      </c>
      <c r="V4509" s="2">
        <f t="shared" si="725"/>
        <v>437.97839999999997</v>
      </c>
      <c r="W4509" s="2">
        <v>178.33840000000001</v>
      </c>
      <c r="X4509" s="5">
        <f t="shared" si="713"/>
        <v>0.4991619860705459</v>
      </c>
      <c r="Y4509" s="2" t="s">
        <v>3493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720"/>
        <v>177.74159999999998</v>
      </c>
      <c r="AL4509" s="5">
        <f t="shared" si="721"/>
        <v>0.4991619860705459</v>
      </c>
    </row>
    <row r="4510" spans="1:38" x14ac:dyDescent="0.2">
      <c r="A4510" s="2">
        <v>2026</v>
      </c>
      <c r="B4510" s="2">
        <v>7</v>
      </c>
      <c r="C4510" s="2" t="s">
        <v>3475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114</v>
      </c>
      <c r="Q4510" s="30" t="s">
        <v>1129</v>
      </c>
      <c r="R4510" s="33" t="s">
        <v>1130</v>
      </c>
      <c r="S4510" s="32">
        <v>1</v>
      </c>
      <c r="T4510" s="31">
        <v>11.46</v>
      </c>
      <c r="U4510" s="2">
        <f t="shared" si="718"/>
        <v>2.6358000000000001</v>
      </c>
      <c r="V4510" s="2">
        <f t="shared" si="725"/>
        <v>14.095800000000001</v>
      </c>
      <c r="W4510" s="2">
        <v>5.4833999999999996</v>
      </c>
      <c r="X4510" s="5">
        <f t="shared" si="713"/>
        <v>0.52151832460732994</v>
      </c>
      <c r="Y4510" s="2" t="s">
        <v>3493</v>
      </c>
      <c r="Z4510" s="2" t="s">
        <v>117</v>
      </c>
      <c r="AA4510" s="2" t="s">
        <v>118</v>
      </c>
      <c r="AB4510" s="2" t="s">
        <v>119</v>
      </c>
      <c r="AC4510" s="2" t="s">
        <v>114</v>
      </c>
      <c r="AK4510" s="2">
        <f t="shared" si="720"/>
        <v>5.9766000000000012</v>
      </c>
      <c r="AL4510" s="5">
        <f t="shared" si="721"/>
        <v>0.52151832460732994</v>
      </c>
    </row>
    <row r="4511" spans="1:38" x14ac:dyDescent="0.2">
      <c r="A4511" s="2">
        <v>2026</v>
      </c>
      <c r="B4511" s="2">
        <v>7</v>
      </c>
      <c r="C4511" s="2" t="s">
        <v>3475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188</v>
      </c>
      <c r="R4511" s="33" t="s">
        <v>189</v>
      </c>
      <c r="S4511" s="32">
        <v>1</v>
      </c>
      <c r="T4511" s="31">
        <v>180</v>
      </c>
      <c r="U4511" s="2">
        <f t="shared" si="718"/>
        <v>41.4</v>
      </c>
      <c r="V4511" s="2">
        <f t="shared" si="725"/>
        <v>221.4</v>
      </c>
      <c r="W4511" s="2">
        <f>T4511*40%</f>
        <v>72</v>
      </c>
      <c r="X4511" s="5">
        <f t="shared" si="713"/>
        <v>0.6</v>
      </c>
      <c r="Y4511" s="2" t="s">
        <v>3493</v>
      </c>
      <c r="Z4511" s="2" t="s">
        <v>117</v>
      </c>
      <c r="AA4511" s="2" t="s">
        <v>190</v>
      </c>
      <c r="AB4511" s="2" t="s">
        <v>189</v>
      </c>
      <c r="AC4511" s="2" t="s">
        <v>40</v>
      </c>
      <c r="AK4511" s="2">
        <f t="shared" si="720"/>
        <v>108</v>
      </c>
      <c r="AL4511" s="5">
        <f t="shared" si="721"/>
        <v>0.6</v>
      </c>
    </row>
    <row r="4512" spans="1:38" x14ac:dyDescent="0.2">
      <c r="A4512" s="2">
        <v>2026</v>
      </c>
      <c r="B4512" s="2">
        <v>7</v>
      </c>
      <c r="C4512" s="2" t="s">
        <v>3475</v>
      </c>
      <c r="D4512" s="33" t="s">
        <v>2286</v>
      </c>
      <c r="E4512" s="2" t="s">
        <v>38</v>
      </c>
      <c r="F4512" s="2" t="s">
        <v>39</v>
      </c>
      <c r="L4512" s="2" t="s">
        <v>461</v>
      </c>
      <c r="M4512" s="2" t="s">
        <v>40</v>
      </c>
      <c r="P4512" s="2" t="s">
        <v>187</v>
      </c>
      <c r="Q4512" s="33" t="s">
        <v>191</v>
      </c>
      <c r="R4512" s="33" t="s">
        <v>190</v>
      </c>
      <c r="S4512" s="32">
        <v>2</v>
      </c>
      <c r="T4512" s="31">
        <v>110</v>
      </c>
      <c r="U4512" s="2">
        <f t="shared" si="718"/>
        <v>25.3</v>
      </c>
      <c r="V4512" s="2">
        <f t="shared" si="725"/>
        <v>135.30000000000001</v>
      </c>
      <c r="W4512" s="2">
        <f>T4512*50%</f>
        <v>55</v>
      </c>
      <c r="X4512" s="5">
        <f t="shared" si="713"/>
        <v>0.5</v>
      </c>
      <c r="Y4512" s="2" t="s">
        <v>3493</v>
      </c>
      <c r="Z4512" s="2" t="s">
        <v>117</v>
      </c>
      <c r="AA4512" s="2" t="s">
        <v>190</v>
      </c>
      <c r="AB4512" s="2" t="s">
        <v>190</v>
      </c>
      <c r="AC4512" s="2" t="s">
        <v>40</v>
      </c>
      <c r="AK4512" s="2">
        <f t="shared" si="720"/>
        <v>55</v>
      </c>
      <c r="AL4512" s="5">
        <f t="shared" si="721"/>
        <v>0.5</v>
      </c>
    </row>
    <row r="4513" spans="1:38" x14ac:dyDescent="0.2">
      <c r="A4513" s="2">
        <v>2026</v>
      </c>
      <c r="B4513" s="2">
        <v>7</v>
      </c>
      <c r="C4513" s="2" t="s">
        <v>3475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399</v>
      </c>
      <c r="R4513" s="2" t="s">
        <v>400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13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3331</v>
      </c>
      <c r="AK4513" s="2">
        <f t="shared" si="720"/>
        <v>109.80200000000002</v>
      </c>
      <c r="AL4513" s="5">
        <f t="shared" si="721"/>
        <v>0.27450500000000005</v>
      </c>
    </row>
    <row r="4514" spans="1:38" x14ac:dyDescent="0.2">
      <c r="A4514" s="2">
        <v>2026</v>
      </c>
      <c r="B4514" s="2">
        <v>7</v>
      </c>
      <c r="C4514" s="2" t="s">
        <v>3475</v>
      </c>
      <c r="D4514" s="15" t="s">
        <v>1553</v>
      </c>
      <c r="E4514" s="2" t="s">
        <v>108</v>
      </c>
      <c r="F4514" s="2" t="s">
        <v>717</v>
      </c>
      <c r="G4514" s="2">
        <v>500975914</v>
      </c>
      <c r="H4514" s="2" t="s">
        <v>41</v>
      </c>
      <c r="I4514" s="2" t="s">
        <v>1554</v>
      </c>
      <c r="J4514" s="2" t="s">
        <v>1555</v>
      </c>
      <c r="L4514" s="2" t="s">
        <v>177</v>
      </c>
      <c r="M4514" s="2" t="s">
        <v>41</v>
      </c>
      <c r="P4514" s="2" t="s">
        <v>282</v>
      </c>
      <c r="Q4514" s="2" t="s">
        <v>401</v>
      </c>
      <c r="R4514" s="2" t="s">
        <v>402</v>
      </c>
      <c r="S4514" s="9">
        <v>20</v>
      </c>
      <c r="T4514" s="10">
        <v>400</v>
      </c>
      <c r="U4514" s="2">
        <f>T4514*23%</f>
        <v>92</v>
      </c>
      <c r="V4514" s="10">
        <f>T4514+U4514</f>
        <v>492</v>
      </c>
      <c r="W4514" s="2">
        <f>14.5099*S4514</f>
        <v>290.19799999999998</v>
      </c>
      <c r="X4514" s="5">
        <f t="shared" si="713"/>
        <v>0.27450500000000005</v>
      </c>
      <c r="Z4514" s="2" t="s">
        <v>3226</v>
      </c>
      <c r="AA4514" s="2" t="s">
        <v>46</v>
      </c>
      <c r="AB4514" s="2" t="s">
        <v>60</v>
      </c>
      <c r="AC4514" s="2" t="s">
        <v>3331</v>
      </c>
      <c r="AK4514" s="2">
        <f t="shared" si="720"/>
        <v>109.80200000000002</v>
      </c>
      <c r="AL4514" s="5">
        <f t="shared" si="721"/>
        <v>0.27450500000000005</v>
      </c>
    </row>
    <row r="4515" spans="1:38" x14ac:dyDescent="0.2">
      <c r="A4515" s="2">
        <v>2026</v>
      </c>
      <c r="B4515" s="2">
        <v>7</v>
      </c>
      <c r="C4515" s="2" t="s">
        <v>3475</v>
      </c>
      <c r="D4515" s="2" t="s">
        <v>3482</v>
      </c>
      <c r="E4515" s="2" t="s">
        <v>108</v>
      </c>
      <c r="F4515" s="2" t="s">
        <v>3444</v>
      </c>
      <c r="L4515" s="2" t="s">
        <v>626</v>
      </c>
      <c r="M4515" s="2" t="s">
        <v>40</v>
      </c>
      <c r="P4515" s="2" t="s">
        <v>114</v>
      </c>
      <c r="Q4515" s="2" t="s">
        <v>646</v>
      </c>
      <c r="R4515" s="2" t="s">
        <v>647</v>
      </c>
      <c r="S4515" s="13">
        <v>1</v>
      </c>
      <c r="T4515" s="14">
        <v>63.46</v>
      </c>
      <c r="V4515" s="14">
        <f>T4515</f>
        <v>63.46</v>
      </c>
      <c r="W4515" s="2">
        <v>30.61</v>
      </c>
      <c r="X4515" s="5">
        <f t="shared" si="713"/>
        <v>0.51764891270091395</v>
      </c>
      <c r="Y4515" s="2" t="s">
        <v>3300</v>
      </c>
      <c r="Z4515" s="2" t="s">
        <v>117</v>
      </c>
      <c r="AA4515" s="2" t="s">
        <v>118</v>
      </c>
      <c r="AB4515" s="2" t="s">
        <v>119</v>
      </c>
      <c r="AC4515" s="2" t="s">
        <v>114</v>
      </c>
      <c r="AK4515" s="2">
        <f t="shared" si="720"/>
        <v>32.85</v>
      </c>
      <c r="AL4515" s="5">
        <f t="shared" si="721"/>
        <v>0.51764891270091395</v>
      </c>
    </row>
    <row r="4516" spans="1:38" x14ac:dyDescent="0.2">
      <c r="A4516" s="2">
        <v>2026</v>
      </c>
      <c r="B4516" s="2">
        <v>7</v>
      </c>
      <c r="C4516" s="2" t="s">
        <v>3475</v>
      </c>
      <c r="D4516" s="2" t="s">
        <v>319</v>
      </c>
      <c r="E4516" s="2" t="s">
        <v>38</v>
      </c>
      <c r="F4516" s="2" t="s">
        <v>39</v>
      </c>
      <c r="G4516" s="2">
        <v>500883262</v>
      </c>
      <c r="H4516" s="2" t="s">
        <v>40</v>
      </c>
      <c r="I4516" s="2" t="s">
        <v>99</v>
      </c>
      <c r="J4516" s="2" t="s">
        <v>320</v>
      </c>
      <c r="L4516" s="2" t="s">
        <v>99</v>
      </c>
      <c r="M4516" s="2" t="s">
        <v>80</v>
      </c>
      <c r="P4516" s="2" t="s">
        <v>43</v>
      </c>
      <c r="Q4516" s="2" t="s">
        <v>969</v>
      </c>
      <c r="R4516" s="2" t="s">
        <v>970</v>
      </c>
      <c r="S4516" s="13">
        <v>11</v>
      </c>
      <c r="T4516" s="14">
        <v>253</v>
      </c>
      <c r="U4516" s="2">
        <f>T4516*23%</f>
        <v>58.190000000000005</v>
      </c>
      <c r="V4516" s="12">
        <f>T4516+U4516</f>
        <v>311.19</v>
      </c>
      <c r="W4516" s="2">
        <f>18.3719*S4516</f>
        <v>202.0909</v>
      </c>
      <c r="X4516" s="5">
        <f t="shared" si="713"/>
        <v>0.20122173913043476</v>
      </c>
      <c r="Z4516" s="2" t="s">
        <v>3226</v>
      </c>
      <c r="AA4516" s="2" t="s">
        <v>46</v>
      </c>
      <c r="AB4516" s="2" t="s">
        <v>60</v>
      </c>
      <c r="AC4516" s="2" t="s">
        <v>57</v>
      </c>
      <c r="AK4516" s="2">
        <f t="shared" si="720"/>
        <v>50.909099999999995</v>
      </c>
      <c r="AL4516" s="5">
        <f t="shared" si="721"/>
        <v>0.20122173913043476</v>
      </c>
    </row>
    <row r="4517" spans="1:38" x14ac:dyDescent="0.2">
      <c r="A4517" s="2">
        <v>2026</v>
      </c>
      <c r="B4517" s="2">
        <v>7</v>
      </c>
      <c r="C4517" s="2" t="s">
        <v>3475</v>
      </c>
      <c r="D4517" s="2" t="s">
        <v>1720</v>
      </c>
      <c r="E4517" s="2" t="s">
        <v>108</v>
      </c>
      <c r="F4517" s="2" t="s">
        <v>717</v>
      </c>
      <c r="M4517" s="2" t="s">
        <v>40</v>
      </c>
      <c r="P4517" s="2" t="s">
        <v>114</v>
      </c>
      <c r="Q4517" s="2" t="s">
        <v>295</v>
      </c>
      <c r="R4517" s="2" t="s">
        <v>296</v>
      </c>
      <c r="S4517" s="13">
        <v>1</v>
      </c>
      <c r="T4517" s="14">
        <v>801.61</v>
      </c>
      <c r="U4517" s="2">
        <f t="shared" ref="U4517:U4519" si="726">T4517*23%</f>
        <v>184.37030000000001</v>
      </c>
      <c r="V4517" s="12">
        <f t="shared" ref="V4517:V4520" si="727">T4517+U4517</f>
        <v>985.98030000000006</v>
      </c>
      <c r="W4517" s="2">
        <v>386</v>
      </c>
      <c r="X4517" s="5">
        <f t="shared" si="713"/>
        <v>0.5184690809745387</v>
      </c>
      <c r="Y4517" s="2" t="s">
        <v>3300</v>
      </c>
      <c r="Z4517" s="2" t="s">
        <v>117</v>
      </c>
      <c r="AA4517" s="2" t="s">
        <v>118</v>
      </c>
      <c r="AB4517" s="2" t="s">
        <v>119</v>
      </c>
      <c r="AC4517" s="2" t="s">
        <v>114</v>
      </c>
      <c r="AK4517" s="2">
        <f t="shared" ref="AK4517:AK4519" si="728">T4517-W4517</f>
        <v>415.61</v>
      </c>
      <c r="AL4517" s="5">
        <f t="shared" ref="AL4517:AL4519" si="729">(T4517-W4517)/T4517</f>
        <v>0.5184690809745387</v>
      </c>
    </row>
    <row r="4518" spans="1:38" x14ac:dyDescent="0.2">
      <c r="A4518" s="2">
        <v>2026</v>
      </c>
      <c r="B4518" s="2">
        <v>7</v>
      </c>
      <c r="C4518" s="2" t="s">
        <v>3475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43</v>
      </c>
      <c r="Q4518" s="2" t="s">
        <v>58</v>
      </c>
      <c r="R4518" s="2" t="s">
        <v>59</v>
      </c>
      <c r="S4518" s="13">
        <v>300</v>
      </c>
      <c r="T4518" s="14">
        <v>39</v>
      </c>
      <c r="U4518" s="2">
        <f t="shared" si="726"/>
        <v>8.9700000000000006</v>
      </c>
      <c r="V4518" s="12">
        <f t="shared" si="727"/>
        <v>47.97</v>
      </c>
      <c r="W4518" s="2">
        <f>0.0914*S4518</f>
        <v>27.419999999999998</v>
      </c>
      <c r="X4518" s="5">
        <f t="shared" si="713"/>
        <v>0.29692307692307696</v>
      </c>
      <c r="Z4518" s="2" t="s">
        <v>3226</v>
      </c>
      <c r="AA4518" s="2" t="s">
        <v>46</v>
      </c>
      <c r="AB4518" s="2" t="s">
        <v>60</v>
      </c>
      <c r="AC4518" s="2" t="s">
        <v>57</v>
      </c>
      <c r="AK4518" s="2">
        <f t="shared" si="728"/>
        <v>11.580000000000002</v>
      </c>
      <c r="AL4518" s="5">
        <f t="shared" si="729"/>
        <v>0.29692307692307696</v>
      </c>
    </row>
    <row r="4519" spans="1:38" x14ac:dyDescent="0.2">
      <c r="A4519" s="2">
        <v>2026</v>
      </c>
      <c r="B4519" s="2">
        <v>7</v>
      </c>
      <c r="C4519" s="2" t="s">
        <v>3475</v>
      </c>
      <c r="D4519" s="2" t="s">
        <v>617</v>
      </c>
      <c r="E4519" s="2" t="s">
        <v>38</v>
      </c>
      <c r="F4519" s="2" t="s">
        <v>39</v>
      </c>
      <c r="G4519" s="2">
        <v>513759654</v>
      </c>
      <c r="H4519" s="2" t="s">
        <v>41</v>
      </c>
      <c r="I4519" s="2" t="s">
        <v>618</v>
      </c>
      <c r="J4519" s="2" t="s">
        <v>619</v>
      </c>
      <c r="L4519" s="2" t="s">
        <v>418</v>
      </c>
      <c r="M4519" s="2" t="s">
        <v>41</v>
      </c>
      <c r="P4519" s="2" t="s">
        <v>84</v>
      </c>
      <c r="Q4519" s="2" t="s">
        <v>3483</v>
      </c>
      <c r="R4519" s="2" t="s">
        <v>3484</v>
      </c>
      <c r="S4519" s="13">
        <v>4</v>
      </c>
      <c r="T4519" s="14">
        <v>28.8</v>
      </c>
      <c r="U4519" s="2">
        <f t="shared" si="726"/>
        <v>6.6240000000000006</v>
      </c>
      <c r="V4519" s="12">
        <f t="shared" si="727"/>
        <v>35.423999999999999</v>
      </c>
      <c r="W4519" s="2">
        <f>3.747*S4519</f>
        <v>14.988</v>
      </c>
      <c r="X4519" s="5">
        <f t="shared" si="713"/>
        <v>0.47958333333333336</v>
      </c>
      <c r="Z4519" s="2" t="s">
        <v>3226</v>
      </c>
      <c r="AA4519" s="2" t="s">
        <v>46</v>
      </c>
      <c r="AB4519" s="2" t="s">
        <v>60</v>
      </c>
      <c r="AC4519" s="2" t="s">
        <v>84</v>
      </c>
      <c r="AK4519" s="2">
        <f t="shared" si="728"/>
        <v>13.812000000000001</v>
      </c>
      <c r="AL4519" s="5">
        <f t="shared" si="729"/>
        <v>0.47958333333333336</v>
      </c>
    </row>
    <row r="4520" spans="1:38" x14ac:dyDescent="0.2">
      <c r="A4520" s="2">
        <v>2026</v>
      </c>
      <c r="B4520" s="2">
        <v>7</v>
      </c>
      <c r="C4520" s="2" t="s">
        <v>3475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1194</v>
      </c>
      <c r="Q4520" s="2" t="s">
        <v>2590</v>
      </c>
      <c r="R4520" s="2" t="s">
        <v>2591</v>
      </c>
      <c r="S4520" s="13">
        <v>1</v>
      </c>
      <c r="T4520" s="14">
        <v>1350</v>
      </c>
      <c r="U4520" s="2">
        <f>T4520*23%</f>
        <v>310.5</v>
      </c>
      <c r="V4520" s="2">
        <f t="shared" si="727"/>
        <v>1660.5</v>
      </c>
      <c r="W4520" s="2">
        <v>773</v>
      </c>
      <c r="X4520" s="5">
        <f t="shared" si="713"/>
        <v>0.4274074074074074</v>
      </c>
      <c r="Y4520" s="2" t="s">
        <v>3493</v>
      </c>
      <c r="Z4520" s="2" t="s">
        <v>104</v>
      </c>
      <c r="AA4520" s="2" t="s">
        <v>578</v>
      </c>
      <c r="AB4520" s="2" t="s">
        <v>119</v>
      </c>
      <c r="AC4520" s="2" t="s">
        <v>1194</v>
      </c>
      <c r="AK4520" s="2">
        <f t="shared" ref="AK4520:AK4529" si="730">T4520-W4520</f>
        <v>577</v>
      </c>
      <c r="AL4520" s="5">
        <f t="shared" ref="AL4520:AL4529" si="731">(T4520-W4520)/T4520</f>
        <v>0.4274074074074074</v>
      </c>
    </row>
    <row r="4521" spans="1:38" x14ac:dyDescent="0.2">
      <c r="A4521" s="2">
        <v>2026</v>
      </c>
      <c r="B4521" s="2">
        <v>7</v>
      </c>
      <c r="C4521" s="2" t="s">
        <v>3475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188</v>
      </c>
      <c r="R4521" s="2" t="s">
        <v>189</v>
      </c>
      <c r="S4521" s="13">
        <v>1</v>
      </c>
      <c r="T4521" s="14">
        <v>326</v>
      </c>
      <c r="U4521" s="2">
        <f t="shared" ref="U4521:U4525" si="732">T4521*23%</f>
        <v>74.98</v>
      </c>
      <c r="V4521" s="2">
        <f t="shared" ref="V4521:V4525" si="733">T4521+U4521</f>
        <v>400.98</v>
      </c>
      <c r="W4521" s="2">
        <f>T4521*40%</f>
        <v>130.4</v>
      </c>
      <c r="X4521" s="5">
        <f t="shared" si="713"/>
        <v>0.6</v>
      </c>
      <c r="Y4521" s="2" t="s">
        <v>3493</v>
      </c>
      <c r="Z4521" s="2" t="s">
        <v>117</v>
      </c>
      <c r="AA4521" s="2" t="s">
        <v>190</v>
      </c>
      <c r="AB4521" s="2" t="s">
        <v>189</v>
      </c>
      <c r="AC4521" s="2" t="s">
        <v>40</v>
      </c>
      <c r="AK4521" s="2">
        <f t="shared" si="730"/>
        <v>195.6</v>
      </c>
      <c r="AL4521" s="5">
        <f t="shared" si="731"/>
        <v>0.6</v>
      </c>
    </row>
    <row r="4522" spans="1:38" x14ac:dyDescent="0.2">
      <c r="A4522" s="2">
        <v>2026</v>
      </c>
      <c r="B4522" s="2">
        <v>7</v>
      </c>
      <c r="C4522" s="2" t="s">
        <v>3475</v>
      </c>
      <c r="D4522" s="2" t="s">
        <v>715</v>
      </c>
      <c r="E4522" s="2" t="s">
        <v>108</v>
      </c>
      <c r="F4522" s="2" t="s">
        <v>39</v>
      </c>
      <c r="L4522" s="2" t="s">
        <v>344</v>
      </c>
      <c r="M4522" s="2" t="s">
        <v>40</v>
      </c>
      <c r="P4522" s="2" t="s">
        <v>187</v>
      </c>
      <c r="Q4522" s="2" t="s">
        <v>191</v>
      </c>
      <c r="R4522" s="2" t="s">
        <v>190</v>
      </c>
      <c r="S4522" s="13">
        <v>2</v>
      </c>
      <c r="T4522" s="14">
        <v>110</v>
      </c>
      <c r="U4522" s="2">
        <f t="shared" si="732"/>
        <v>25.3</v>
      </c>
      <c r="V4522" s="2">
        <f t="shared" si="733"/>
        <v>135.30000000000001</v>
      </c>
      <c r="W4522" s="2">
        <f>T4522*50%</f>
        <v>55</v>
      </c>
      <c r="X4522" s="5">
        <f t="shared" si="713"/>
        <v>0.5</v>
      </c>
      <c r="Y4522" s="2" t="s">
        <v>3493</v>
      </c>
      <c r="Z4522" s="2" t="s">
        <v>117</v>
      </c>
      <c r="AA4522" s="2" t="s">
        <v>190</v>
      </c>
      <c r="AB4522" s="2" t="s">
        <v>190</v>
      </c>
      <c r="AC4522" s="2" t="s">
        <v>40</v>
      </c>
      <c r="AK4522" s="2">
        <f t="shared" si="730"/>
        <v>55</v>
      </c>
      <c r="AL4522" s="5">
        <f t="shared" si="731"/>
        <v>0.5</v>
      </c>
    </row>
    <row r="4523" spans="1:38" x14ac:dyDescent="0.2">
      <c r="A4523" s="2">
        <v>2026</v>
      </c>
      <c r="B4523" s="2">
        <v>7</v>
      </c>
      <c r="C4523" s="2" t="s">
        <v>3475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188</v>
      </c>
      <c r="R4523" s="2" t="s">
        <v>189</v>
      </c>
      <c r="S4523" s="13">
        <v>1</v>
      </c>
      <c r="T4523" s="14">
        <v>60</v>
      </c>
      <c r="U4523" s="2">
        <f t="shared" si="732"/>
        <v>13.8</v>
      </c>
      <c r="V4523" s="2">
        <f t="shared" si="733"/>
        <v>73.8</v>
      </c>
      <c r="W4523" s="2">
        <f>T4523*40%</f>
        <v>24</v>
      </c>
      <c r="X4523" s="5">
        <f t="shared" si="713"/>
        <v>0.6</v>
      </c>
      <c r="Y4523" s="2" t="s">
        <v>3493</v>
      </c>
      <c r="Z4523" s="2" t="s">
        <v>117</v>
      </c>
      <c r="AA4523" s="2" t="s">
        <v>190</v>
      </c>
      <c r="AB4523" s="2" t="s">
        <v>189</v>
      </c>
      <c r="AC4523" s="2" t="s">
        <v>40</v>
      </c>
      <c r="AK4523" s="2">
        <f t="shared" si="730"/>
        <v>36</v>
      </c>
      <c r="AL4523" s="5">
        <f t="shared" si="731"/>
        <v>0.6</v>
      </c>
    </row>
    <row r="4524" spans="1:38" x14ac:dyDescent="0.2">
      <c r="A4524" s="2">
        <v>2026</v>
      </c>
      <c r="B4524" s="2">
        <v>7</v>
      </c>
      <c r="C4524" s="2" t="s">
        <v>3475</v>
      </c>
      <c r="D4524" s="2" t="s">
        <v>840</v>
      </c>
      <c r="E4524" s="2" t="s">
        <v>108</v>
      </c>
      <c r="F4524" s="2" t="s">
        <v>531</v>
      </c>
      <c r="G4524" s="2">
        <v>504981285</v>
      </c>
      <c r="H4524" s="2" t="s">
        <v>290</v>
      </c>
      <c r="I4524" s="2" t="s">
        <v>841</v>
      </c>
      <c r="J4524" s="2" t="s">
        <v>842</v>
      </c>
      <c r="K4524" s="2">
        <v>932209225</v>
      </c>
      <c r="L4524" s="2" t="s">
        <v>339</v>
      </c>
      <c r="M4524" s="2" t="s">
        <v>40</v>
      </c>
      <c r="P4524" s="2" t="s">
        <v>187</v>
      </c>
      <c r="Q4524" s="2" t="s">
        <v>191</v>
      </c>
      <c r="R4524" s="2" t="s">
        <v>190</v>
      </c>
      <c r="S4524" s="13">
        <v>0.5</v>
      </c>
      <c r="T4524" s="14">
        <v>27.5</v>
      </c>
      <c r="U4524" s="2">
        <f t="shared" si="732"/>
        <v>6.3250000000000002</v>
      </c>
      <c r="V4524" s="2">
        <f t="shared" si="733"/>
        <v>33.825000000000003</v>
      </c>
      <c r="W4524" s="2">
        <f>T4524*50%</f>
        <v>13.75</v>
      </c>
      <c r="X4524" s="5">
        <f t="shared" si="713"/>
        <v>0.5</v>
      </c>
      <c r="Y4524" s="2" t="s">
        <v>3493</v>
      </c>
      <c r="Z4524" s="2" t="s">
        <v>117</v>
      </c>
      <c r="AA4524" s="2" t="s">
        <v>190</v>
      </c>
      <c r="AB4524" s="2" t="s">
        <v>190</v>
      </c>
      <c r="AC4524" s="2" t="s">
        <v>40</v>
      </c>
      <c r="AK4524" s="2">
        <f t="shared" si="730"/>
        <v>13.75</v>
      </c>
      <c r="AL4524" s="5">
        <f t="shared" si="731"/>
        <v>0.5</v>
      </c>
    </row>
    <row r="4525" spans="1:38" x14ac:dyDescent="0.2">
      <c r="A4525" s="2">
        <v>2026</v>
      </c>
      <c r="B4525" s="2">
        <v>7</v>
      </c>
      <c r="C4525" s="2" t="s">
        <v>3475</v>
      </c>
      <c r="D4525" s="2" t="s">
        <v>1271</v>
      </c>
      <c r="E4525" s="2" t="s">
        <v>108</v>
      </c>
      <c r="F4525" s="2" t="s">
        <v>39</v>
      </c>
      <c r="G4525" s="2">
        <v>502618540</v>
      </c>
      <c r="H4525" s="2" t="s">
        <v>41</v>
      </c>
      <c r="I4525" s="2" t="s">
        <v>1272</v>
      </c>
      <c r="J4525" s="2" t="s">
        <v>1273</v>
      </c>
      <c r="L4525" s="2" t="s">
        <v>177</v>
      </c>
      <c r="M4525" s="2" t="s">
        <v>40</v>
      </c>
      <c r="P4525" s="2" t="s">
        <v>114</v>
      </c>
      <c r="Q4525" s="2" t="s">
        <v>808</v>
      </c>
      <c r="R4525" s="2" t="s">
        <v>809</v>
      </c>
      <c r="S4525" s="13">
        <v>1</v>
      </c>
      <c r="T4525" s="14">
        <v>83.79</v>
      </c>
      <c r="U4525" s="2">
        <f t="shared" si="732"/>
        <v>19.271700000000003</v>
      </c>
      <c r="V4525" s="2">
        <f t="shared" si="733"/>
        <v>103.0617</v>
      </c>
      <c r="W4525" s="2">
        <v>40.357500000000002</v>
      </c>
      <c r="X4525" s="5">
        <f t="shared" si="713"/>
        <v>0.51834944504117442</v>
      </c>
      <c r="Y4525" s="2" t="s">
        <v>2540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730"/>
        <v>43.432500000000005</v>
      </c>
      <c r="AL4525" s="5">
        <f t="shared" si="731"/>
        <v>0.51834944504117442</v>
      </c>
    </row>
    <row r="4526" spans="1:38" x14ac:dyDescent="0.2">
      <c r="A4526" s="2">
        <v>2026</v>
      </c>
      <c r="B4526" s="2">
        <v>7</v>
      </c>
      <c r="C4526" s="2" t="s">
        <v>3475</v>
      </c>
      <c r="D4526" s="2" t="s">
        <v>624</v>
      </c>
      <c r="E4526" s="2" t="s">
        <v>38</v>
      </c>
      <c r="F4526" s="2" t="s">
        <v>39</v>
      </c>
      <c r="G4526" s="2" t="s">
        <v>625</v>
      </c>
      <c r="H4526" s="2" t="s">
        <v>40</v>
      </c>
      <c r="I4526" s="2" t="s">
        <v>626</v>
      </c>
      <c r="J4526" s="2" t="s">
        <v>627</v>
      </c>
      <c r="L4526" s="2" t="s">
        <v>626</v>
      </c>
      <c r="M4526" s="2" t="s">
        <v>40</v>
      </c>
      <c r="P4526" s="2" t="s">
        <v>114</v>
      </c>
      <c r="Q4526" s="2" t="s">
        <v>1300</v>
      </c>
      <c r="R4526" s="2" t="s">
        <v>1301</v>
      </c>
      <c r="S4526" s="13">
        <v>3</v>
      </c>
      <c r="T4526" s="14">
        <v>31.65</v>
      </c>
      <c r="V4526" s="2">
        <v>31.65</v>
      </c>
      <c r="W4526" s="2">
        <f>(5.2+0.11)*S4526</f>
        <v>15.930000000000001</v>
      </c>
      <c r="X4526" s="5">
        <f t="shared" si="713"/>
        <v>0.49668246445497621</v>
      </c>
      <c r="Y4526" s="2" t="s">
        <v>3300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730"/>
        <v>15.719999999999997</v>
      </c>
      <c r="AL4526" s="5">
        <f t="shared" si="731"/>
        <v>0.49668246445497621</v>
      </c>
    </row>
    <row r="4527" spans="1:38" x14ac:dyDescent="0.2">
      <c r="A4527" s="2">
        <v>2026</v>
      </c>
      <c r="B4527" s="2">
        <v>7</v>
      </c>
      <c r="C4527" s="2" t="s">
        <v>3475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114</v>
      </c>
      <c r="Q4527" s="2" t="s">
        <v>808</v>
      </c>
      <c r="R4527" s="2" t="s">
        <v>809</v>
      </c>
      <c r="S4527" s="13">
        <v>1</v>
      </c>
      <c r="T4527" s="14">
        <v>83.79</v>
      </c>
      <c r="U4527" s="2">
        <f>T4527*23%</f>
        <v>19.271700000000003</v>
      </c>
      <c r="V4527" s="12">
        <f>T4527+U4527</f>
        <v>103.0617</v>
      </c>
      <c r="W4527" s="2">
        <v>40.357500000000002</v>
      </c>
      <c r="X4527" s="5">
        <f t="shared" si="713"/>
        <v>0.51834944504117442</v>
      </c>
      <c r="Y4527" s="2" t="s">
        <v>2540</v>
      </c>
      <c r="Z4527" s="2" t="s">
        <v>117</v>
      </c>
      <c r="AA4527" s="2" t="s">
        <v>118</v>
      </c>
      <c r="AB4527" s="2" t="s">
        <v>119</v>
      </c>
      <c r="AC4527" s="2" t="s">
        <v>114</v>
      </c>
      <c r="AK4527" s="2">
        <f t="shared" si="730"/>
        <v>43.432500000000005</v>
      </c>
      <c r="AL4527" s="5">
        <f t="shared" si="731"/>
        <v>0.51834944504117442</v>
      </c>
    </row>
    <row r="4528" spans="1:38" x14ac:dyDescent="0.2">
      <c r="A4528" s="2">
        <v>2026</v>
      </c>
      <c r="B4528" s="2">
        <v>7</v>
      </c>
      <c r="C4528" s="2" t="s">
        <v>3475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188</v>
      </c>
      <c r="R4528" s="2" t="s">
        <v>189</v>
      </c>
      <c r="S4528" s="13">
        <v>1</v>
      </c>
      <c r="T4528" s="14">
        <v>60</v>
      </c>
      <c r="U4528" s="2">
        <f t="shared" ref="U4528:U4529" si="734">T4528*23%</f>
        <v>13.8</v>
      </c>
      <c r="V4528" s="12">
        <f t="shared" ref="V4528:V4529" si="735">T4528+U4528</f>
        <v>73.8</v>
      </c>
      <c r="W4528" s="2">
        <f>T4528*40%</f>
        <v>24</v>
      </c>
      <c r="X4528" s="5">
        <f t="shared" si="713"/>
        <v>0.6</v>
      </c>
      <c r="Y4528" s="2" t="s">
        <v>2540</v>
      </c>
      <c r="Z4528" s="2" t="s">
        <v>117</v>
      </c>
      <c r="AA4528" s="2" t="s">
        <v>190</v>
      </c>
      <c r="AB4528" s="2" t="s">
        <v>189</v>
      </c>
      <c r="AC4528" s="2" t="s">
        <v>40</v>
      </c>
      <c r="AK4528" s="2">
        <f t="shared" si="730"/>
        <v>36</v>
      </c>
      <c r="AL4528" s="5">
        <f t="shared" si="731"/>
        <v>0.6</v>
      </c>
    </row>
    <row r="4529" spans="1:38" x14ac:dyDescent="0.2">
      <c r="A4529" s="2">
        <v>2026</v>
      </c>
      <c r="B4529" s="2">
        <v>7</v>
      </c>
      <c r="C4529" s="2" t="s">
        <v>3475</v>
      </c>
      <c r="D4529" s="2" t="s">
        <v>1119</v>
      </c>
      <c r="E4529" s="2" t="s">
        <v>108</v>
      </c>
      <c r="F4529" s="2" t="s">
        <v>477</v>
      </c>
      <c r="L4529" s="2" t="s">
        <v>99</v>
      </c>
      <c r="M4529" s="2" t="s">
        <v>40</v>
      </c>
      <c r="P4529" s="2" t="s">
        <v>187</v>
      </c>
      <c r="Q4529" s="2" t="s">
        <v>191</v>
      </c>
      <c r="R4529" s="2" t="s">
        <v>190</v>
      </c>
      <c r="S4529" s="13">
        <v>2</v>
      </c>
      <c r="T4529" s="14">
        <v>110</v>
      </c>
      <c r="U4529" s="2">
        <f t="shared" si="734"/>
        <v>25.3</v>
      </c>
      <c r="V4529" s="12">
        <f t="shared" si="735"/>
        <v>135.30000000000001</v>
      </c>
      <c r="W4529" s="2">
        <f>T4529*50%</f>
        <v>55</v>
      </c>
      <c r="X4529" s="5">
        <f t="shared" si="713"/>
        <v>0.5</v>
      </c>
      <c r="Y4529" s="2" t="s">
        <v>2540</v>
      </c>
      <c r="Z4529" s="2" t="s">
        <v>117</v>
      </c>
      <c r="AA4529" s="2" t="s">
        <v>190</v>
      </c>
      <c r="AB4529" s="2" t="s">
        <v>190</v>
      </c>
      <c r="AC4529" s="2" t="s">
        <v>40</v>
      </c>
      <c r="AK4529" s="2">
        <f t="shared" si="730"/>
        <v>55</v>
      </c>
      <c r="AL4529" s="5">
        <f t="shared" si="731"/>
        <v>0.5</v>
      </c>
    </row>
    <row r="4530" spans="1:38" x14ac:dyDescent="0.2">
      <c r="A4530" s="2">
        <v>2026</v>
      </c>
      <c r="B4530" s="2">
        <v>7</v>
      </c>
      <c r="C4530" s="2" t="s">
        <v>3475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244</v>
      </c>
      <c r="R4530" s="2" t="s">
        <v>245</v>
      </c>
      <c r="S4530" s="8">
        <v>1</v>
      </c>
      <c r="T4530" s="14">
        <v>18</v>
      </c>
      <c r="U4530" s="2">
        <f>T4530*23%</f>
        <v>4.1400000000000006</v>
      </c>
      <c r="V4530" s="12">
        <f>T4530+U4530</f>
        <v>22.14</v>
      </c>
      <c r="W4530" s="2">
        <f>9.2346*S4530</f>
        <v>9.2346000000000004</v>
      </c>
      <c r="X4530" s="5">
        <f t="shared" si="713"/>
        <v>0.48696666666666666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ref="AK4530:AK4541" si="736">T4530-W4530</f>
        <v>8.7653999999999996</v>
      </c>
      <c r="AL4530" s="5">
        <f t="shared" ref="AL4530:AL4541" si="737">(T4530-W4530)/T4530</f>
        <v>0.48696666666666666</v>
      </c>
    </row>
    <row r="4531" spans="1:38" x14ac:dyDescent="0.2">
      <c r="A4531" s="2">
        <v>2026</v>
      </c>
      <c r="B4531" s="2">
        <v>7</v>
      </c>
      <c r="C4531" s="2" t="s">
        <v>3475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285</v>
      </c>
      <c r="R4531" s="2" t="s">
        <v>286</v>
      </c>
      <c r="S4531" s="8">
        <v>1</v>
      </c>
      <c r="T4531" s="14">
        <v>22.8</v>
      </c>
      <c r="U4531" s="2">
        <f t="shared" ref="U4531:U4541" si="738">T4531*23%</f>
        <v>5.2440000000000007</v>
      </c>
      <c r="V4531" s="12">
        <f t="shared" ref="V4531:V4542" si="739">T4531+U4531</f>
        <v>28.044</v>
      </c>
      <c r="W4531" s="2">
        <f>12.2604*S4531</f>
        <v>12.260400000000001</v>
      </c>
      <c r="X4531" s="5">
        <f t="shared" si="713"/>
        <v>0.46226315789473682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736"/>
        <v>10.5396</v>
      </c>
      <c r="AL4531" s="5">
        <f t="shared" si="737"/>
        <v>0.46226315789473682</v>
      </c>
    </row>
    <row r="4532" spans="1:38" x14ac:dyDescent="0.2">
      <c r="A4532" s="2">
        <v>2026</v>
      </c>
      <c r="B4532" s="2">
        <v>7</v>
      </c>
      <c r="C4532" s="2" t="s">
        <v>3475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248</v>
      </c>
      <c r="R4532" s="2" t="s">
        <v>249</v>
      </c>
      <c r="S4532" s="8">
        <v>1</v>
      </c>
      <c r="T4532" s="14">
        <v>24</v>
      </c>
      <c r="U4532" s="2">
        <f t="shared" si="738"/>
        <v>5.5200000000000005</v>
      </c>
      <c r="V4532" s="12">
        <f t="shared" si="739"/>
        <v>29.52</v>
      </c>
      <c r="W4532" s="2">
        <f>12.71*S4532</f>
        <v>12.71</v>
      </c>
      <c r="X4532" s="5">
        <f t="shared" si="713"/>
        <v>0.47041666666666665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736"/>
        <v>11.29</v>
      </c>
      <c r="AL4532" s="5">
        <f t="shared" si="737"/>
        <v>0.47041666666666665</v>
      </c>
    </row>
    <row r="4533" spans="1:38" x14ac:dyDescent="0.2">
      <c r="A4533" s="2">
        <v>2026</v>
      </c>
      <c r="B4533" s="2">
        <v>7</v>
      </c>
      <c r="C4533" s="2" t="s">
        <v>3475</v>
      </c>
      <c r="D4533" s="2" t="s">
        <v>311</v>
      </c>
      <c r="E4533" s="2" t="s">
        <v>2446</v>
      </c>
      <c r="F4533" s="2" t="s">
        <v>39</v>
      </c>
      <c r="G4533" s="2">
        <v>505814030</v>
      </c>
      <c r="H4533" s="2" t="s">
        <v>290</v>
      </c>
      <c r="I4533" s="2" t="s">
        <v>2447</v>
      </c>
      <c r="J4533" s="2" t="s">
        <v>2448</v>
      </c>
      <c r="L4533" s="2" t="s">
        <v>339</v>
      </c>
      <c r="M4533" s="2" t="s">
        <v>80</v>
      </c>
      <c r="P4533" s="2" t="s">
        <v>43</v>
      </c>
      <c r="Q4533" s="2" t="s">
        <v>54</v>
      </c>
      <c r="R4533" s="2" t="s">
        <v>55</v>
      </c>
      <c r="S4533" s="8">
        <v>4</v>
      </c>
      <c r="T4533" s="14">
        <v>72</v>
      </c>
      <c r="U4533" s="2">
        <f t="shared" si="738"/>
        <v>16.560000000000002</v>
      </c>
      <c r="V4533" s="12">
        <f t="shared" si="739"/>
        <v>88.56</v>
      </c>
      <c r="W4533" s="2">
        <f>10.6*S4533</f>
        <v>42.4</v>
      </c>
      <c r="X4533" s="5">
        <f t="shared" si="713"/>
        <v>0.41111111111111115</v>
      </c>
      <c r="Z4533" s="2" t="s">
        <v>3226</v>
      </c>
      <c r="AA4533" s="2" t="s">
        <v>46</v>
      </c>
      <c r="AB4533" s="2" t="s">
        <v>56</v>
      </c>
      <c r="AC4533" s="2" t="s">
        <v>57</v>
      </c>
      <c r="AK4533" s="2">
        <f t="shared" si="736"/>
        <v>29.6</v>
      </c>
      <c r="AL4533" s="5">
        <f t="shared" si="737"/>
        <v>0.41111111111111115</v>
      </c>
    </row>
    <row r="4534" spans="1:38" x14ac:dyDescent="0.2">
      <c r="A4534" s="2">
        <v>2026</v>
      </c>
      <c r="B4534" s="2">
        <v>7</v>
      </c>
      <c r="C4534" s="2" t="s">
        <v>3475</v>
      </c>
      <c r="D4534" s="2" t="s">
        <v>781</v>
      </c>
      <c r="E4534" s="2" t="s">
        <v>38</v>
      </c>
      <c r="F4534" s="2" t="s">
        <v>39</v>
      </c>
      <c r="G4534" s="2">
        <v>510219675</v>
      </c>
      <c r="H4534" s="2" t="s">
        <v>40</v>
      </c>
      <c r="I4534" s="2" t="s">
        <v>782</v>
      </c>
      <c r="J4534" s="2" t="s">
        <v>783</v>
      </c>
      <c r="K4534" s="2">
        <v>917341136</v>
      </c>
      <c r="L4534" s="2" t="s">
        <v>99</v>
      </c>
      <c r="M4534" s="2" t="s">
        <v>80</v>
      </c>
      <c r="P4534" s="2" t="s">
        <v>43</v>
      </c>
      <c r="Q4534" s="2" t="s">
        <v>58</v>
      </c>
      <c r="R4534" s="2" t="s">
        <v>59</v>
      </c>
      <c r="S4534" s="13">
        <v>100</v>
      </c>
      <c r="T4534" s="14">
        <v>16</v>
      </c>
      <c r="U4534" s="2">
        <f t="shared" si="738"/>
        <v>3.68</v>
      </c>
      <c r="V4534" s="12">
        <f t="shared" si="739"/>
        <v>19.68</v>
      </c>
      <c r="W4534" s="2">
        <f>0.0914*S4534</f>
        <v>9.1399999999999988</v>
      </c>
      <c r="X4534" s="5">
        <f t="shared" si="713"/>
        <v>0.42875000000000008</v>
      </c>
      <c r="Z4534" s="2" t="s">
        <v>3226</v>
      </c>
      <c r="AA4534" s="2" t="s">
        <v>46</v>
      </c>
      <c r="AB4534" s="2" t="s">
        <v>60</v>
      </c>
      <c r="AC4534" s="2" t="s">
        <v>57</v>
      </c>
      <c r="AK4534" s="2">
        <f t="shared" si="736"/>
        <v>6.8600000000000012</v>
      </c>
      <c r="AL4534" s="5">
        <f t="shared" si="737"/>
        <v>0.42875000000000008</v>
      </c>
    </row>
    <row r="4535" spans="1:38" x14ac:dyDescent="0.2">
      <c r="A4535" s="2">
        <v>2026</v>
      </c>
      <c r="B4535" s="2">
        <v>7</v>
      </c>
      <c r="C4535" s="2" t="s">
        <v>3475</v>
      </c>
      <c r="D4535" s="2" t="s">
        <v>3494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1038</v>
      </c>
      <c r="Q4535" s="2" t="s">
        <v>2197</v>
      </c>
      <c r="R4535" s="2" t="s">
        <v>2198</v>
      </c>
      <c r="S4535" s="13">
        <v>1</v>
      </c>
      <c r="T4535" s="14">
        <v>272</v>
      </c>
      <c r="U4535" s="2">
        <f t="shared" si="738"/>
        <v>62.56</v>
      </c>
      <c r="V4535" s="12">
        <f t="shared" si="739"/>
        <v>334.56</v>
      </c>
      <c r="W4535" s="2">
        <v>153.34</v>
      </c>
      <c r="X4535" s="5">
        <f t="shared" si="713"/>
        <v>0.43624999999999997</v>
      </c>
      <c r="Z4535" s="2" t="s">
        <v>3226</v>
      </c>
      <c r="AA4535" s="2" t="s">
        <v>75</v>
      </c>
      <c r="AB4535" s="2" t="s">
        <v>76</v>
      </c>
      <c r="AC4535" s="2" t="s">
        <v>1038</v>
      </c>
      <c r="AK4535" s="2">
        <f t="shared" si="736"/>
        <v>118.66</v>
      </c>
      <c r="AL4535" s="5">
        <f t="shared" si="737"/>
        <v>0.43624999999999997</v>
      </c>
    </row>
    <row r="4536" spans="1:38" x14ac:dyDescent="0.2">
      <c r="A4536" s="2">
        <v>2026</v>
      </c>
      <c r="B4536" s="2">
        <v>7</v>
      </c>
      <c r="C4536" s="2" t="s">
        <v>3475</v>
      </c>
      <c r="D4536" s="2" t="s">
        <v>3494</v>
      </c>
      <c r="E4536" s="2" t="s">
        <v>38</v>
      </c>
      <c r="F4536" s="2" t="s">
        <v>39</v>
      </c>
      <c r="L4536" s="2" t="s">
        <v>201</v>
      </c>
      <c r="M4536" s="2" t="s">
        <v>80</v>
      </c>
      <c r="P4536" s="2" t="s">
        <v>93</v>
      </c>
      <c r="Q4536" s="2" t="s">
        <v>94</v>
      </c>
      <c r="R4536" s="2" t="s">
        <v>95</v>
      </c>
      <c r="S4536" s="13">
        <v>1</v>
      </c>
      <c r="T4536" s="14">
        <v>1.48</v>
      </c>
      <c r="U4536" s="2">
        <f t="shared" si="738"/>
        <v>0.34040000000000004</v>
      </c>
      <c r="V4536" s="12">
        <f t="shared" si="739"/>
        <v>1.8204</v>
      </c>
      <c r="W4536" s="2">
        <v>1.48</v>
      </c>
      <c r="X4536" s="5">
        <f t="shared" si="713"/>
        <v>0</v>
      </c>
      <c r="Z4536" s="2" t="s">
        <v>3226</v>
      </c>
      <c r="AA4536" s="2" t="s">
        <v>96</v>
      </c>
      <c r="AB4536" s="2" t="s">
        <v>76</v>
      </c>
      <c r="AC4536" s="2" t="s">
        <v>93</v>
      </c>
      <c r="AK4536" s="2">
        <f t="shared" si="736"/>
        <v>0</v>
      </c>
      <c r="AL4536" s="5">
        <f t="shared" si="737"/>
        <v>0</v>
      </c>
    </row>
    <row r="4537" spans="1:38" x14ac:dyDescent="0.2">
      <c r="A4537" s="2">
        <v>2026</v>
      </c>
      <c r="B4537" s="2">
        <v>7</v>
      </c>
      <c r="C4537" s="2" t="s">
        <v>3475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1038</v>
      </c>
      <c r="Q4537" s="2" t="s">
        <v>3495</v>
      </c>
      <c r="R4537" s="2" t="s">
        <v>3496</v>
      </c>
      <c r="S4537" s="13">
        <v>1</v>
      </c>
      <c r="T4537" s="14">
        <v>378.3</v>
      </c>
      <c r="U4537" s="2">
        <f t="shared" si="738"/>
        <v>87.009</v>
      </c>
      <c r="V4537" s="12">
        <f t="shared" si="739"/>
        <v>465.30900000000003</v>
      </c>
      <c r="W4537" s="2">
        <v>220.9</v>
      </c>
      <c r="X4537" s="5">
        <f t="shared" si="713"/>
        <v>0.4160719006079831</v>
      </c>
      <c r="Z4537" s="2" t="s">
        <v>3226</v>
      </c>
      <c r="AA4537" s="2" t="s">
        <v>75</v>
      </c>
      <c r="AB4537" s="2" t="s">
        <v>76</v>
      </c>
      <c r="AC4537" s="2" t="s">
        <v>1038</v>
      </c>
      <c r="AK4537" s="2">
        <f t="shared" si="736"/>
        <v>157.4</v>
      </c>
      <c r="AL4537" s="5">
        <f t="shared" si="737"/>
        <v>0.4160719006079831</v>
      </c>
    </row>
    <row r="4538" spans="1:38" x14ac:dyDescent="0.2">
      <c r="A4538" s="2">
        <v>2026</v>
      </c>
      <c r="B4538" s="2">
        <v>7</v>
      </c>
      <c r="C4538" s="2" t="s">
        <v>3475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169</v>
      </c>
      <c r="Q4538" s="2" t="s">
        <v>170</v>
      </c>
      <c r="R4538" s="2" t="s">
        <v>170</v>
      </c>
      <c r="S4538" s="13">
        <v>1</v>
      </c>
      <c r="T4538" s="14">
        <v>17.5</v>
      </c>
      <c r="U4538" s="2">
        <f t="shared" si="738"/>
        <v>4.0250000000000004</v>
      </c>
      <c r="V4538" s="12">
        <f t="shared" si="739"/>
        <v>21.524999999999999</v>
      </c>
      <c r="W4538" s="2">
        <v>23</v>
      </c>
      <c r="X4538" s="18">
        <f t="shared" si="713"/>
        <v>-0.31428571428571428</v>
      </c>
      <c r="Z4538" s="2" t="s">
        <v>169</v>
      </c>
      <c r="AA4538" s="2" t="s">
        <v>169</v>
      </c>
      <c r="AK4538" s="2">
        <f t="shared" si="736"/>
        <v>-5.5</v>
      </c>
      <c r="AL4538" s="18">
        <f t="shared" si="737"/>
        <v>-0.31428571428571428</v>
      </c>
    </row>
    <row r="4539" spans="1:38" x14ac:dyDescent="0.2">
      <c r="A4539" s="2">
        <v>2026</v>
      </c>
      <c r="B4539" s="2">
        <v>7</v>
      </c>
      <c r="C4539" s="2" t="s">
        <v>3475</v>
      </c>
      <c r="D4539" s="2" t="s">
        <v>1295</v>
      </c>
      <c r="E4539" s="2" t="s">
        <v>183</v>
      </c>
      <c r="F4539" s="2" t="s">
        <v>366</v>
      </c>
      <c r="G4539" s="2">
        <v>500625654</v>
      </c>
      <c r="H4539" s="2" t="s">
        <v>290</v>
      </c>
      <c r="I4539" s="2" t="s">
        <v>339</v>
      </c>
      <c r="J4539" s="2" t="s">
        <v>1296</v>
      </c>
      <c r="L4539" s="2" t="s">
        <v>339</v>
      </c>
      <c r="M4539" s="2" t="s">
        <v>80</v>
      </c>
      <c r="P4539" s="2" t="s">
        <v>93</v>
      </c>
      <c r="Q4539" s="2" t="s">
        <v>94</v>
      </c>
      <c r="R4539" s="2" t="s">
        <v>95</v>
      </c>
      <c r="S4539" s="13">
        <v>1</v>
      </c>
      <c r="T4539" s="14">
        <v>1.48</v>
      </c>
      <c r="U4539" s="2">
        <f t="shared" si="738"/>
        <v>0.34040000000000004</v>
      </c>
      <c r="V4539" s="12">
        <f t="shared" si="739"/>
        <v>1.8204</v>
      </c>
      <c r="W4539" s="2">
        <v>1.48</v>
      </c>
      <c r="X4539" s="5">
        <f t="shared" si="713"/>
        <v>0</v>
      </c>
      <c r="Z4539" s="2" t="s">
        <v>3226</v>
      </c>
      <c r="AA4539" s="2" t="s">
        <v>96</v>
      </c>
      <c r="AB4539" s="2" t="s">
        <v>76</v>
      </c>
      <c r="AC4539" s="2" t="s">
        <v>93</v>
      </c>
      <c r="AK4539" s="2">
        <f t="shared" si="736"/>
        <v>0</v>
      </c>
      <c r="AL4539" s="5">
        <f t="shared" si="737"/>
        <v>0</v>
      </c>
    </row>
    <row r="4540" spans="1:38" x14ac:dyDescent="0.2">
      <c r="A4540" s="2">
        <v>2026</v>
      </c>
      <c r="B4540" s="2">
        <v>7</v>
      </c>
      <c r="C4540" s="2" t="s">
        <v>3475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72</v>
      </c>
      <c r="Q4540" s="2" t="s">
        <v>73</v>
      </c>
      <c r="R4540" s="2" t="s">
        <v>74</v>
      </c>
      <c r="S4540" s="13">
        <v>1</v>
      </c>
      <c r="T4540" s="14">
        <v>230</v>
      </c>
      <c r="U4540" s="2">
        <f t="shared" si="738"/>
        <v>52.900000000000006</v>
      </c>
      <c r="V4540" s="12">
        <f t="shared" si="739"/>
        <v>282.89999999999998</v>
      </c>
      <c r="W4540" s="2">
        <v>133.4614</v>
      </c>
      <c r="X4540" s="5">
        <f t="shared" si="713"/>
        <v>0.4197330434782609</v>
      </c>
      <c r="Z4540" s="2" t="s">
        <v>3226</v>
      </c>
      <c r="AA4540" s="2" t="s">
        <v>75</v>
      </c>
      <c r="AB4540" s="2" t="s">
        <v>76</v>
      </c>
      <c r="AC4540" s="2" t="s">
        <v>77</v>
      </c>
      <c r="AK4540" s="2">
        <f t="shared" si="736"/>
        <v>96.538600000000002</v>
      </c>
      <c r="AL4540" s="5">
        <f t="shared" si="737"/>
        <v>0.4197330434782609</v>
      </c>
    </row>
    <row r="4541" spans="1:38" x14ac:dyDescent="0.2">
      <c r="A4541" s="2">
        <v>2026</v>
      </c>
      <c r="B4541" s="2">
        <v>7</v>
      </c>
      <c r="C4541" s="2" t="s">
        <v>3475</v>
      </c>
      <c r="D4541" s="2" t="s">
        <v>633</v>
      </c>
      <c r="E4541" s="2" t="s">
        <v>183</v>
      </c>
      <c r="F4541" s="2" t="s">
        <v>366</v>
      </c>
      <c r="H4541" s="2" t="s">
        <v>290</v>
      </c>
      <c r="L4541" s="2" t="s">
        <v>339</v>
      </c>
      <c r="M4541" s="2" t="s">
        <v>80</v>
      </c>
      <c r="P4541" s="2" t="s">
        <v>93</v>
      </c>
      <c r="Q4541" s="2" t="s">
        <v>94</v>
      </c>
      <c r="R4541" s="2" t="s">
        <v>95</v>
      </c>
      <c r="S4541" s="13">
        <v>1</v>
      </c>
      <c r="T4541" s="14">
        <v>1.48</v>
      </c>
      <c r="U4541" s="2">
        <f t="shared" si="738"/>
        <v>0.34040000000000004</v>
      </c>
      <c r="V4541" s="12">
        <f t="shared" si="739"/>
        <v>1.8204</v>
      </c>
      <c r="W4541" s="2">
        <v>1.48</v>
      </c>
      <c r="X4541" s="5">
        <f t="shared" si="713"/>
        <v>0</v>
      </c>
      <c r="Z4541" s="2" t="s">
        <v>3226</v>
      </c>
      <c r="AA4541" s="2" t="s">
        <v>96</v>
      </c>
      <c r="AB4541" s="2" t="s">
        <v>76</v>
      </c>
      <c r="AC4541" s="2" t="s">
        <v>93</v>
      </c>
      <c r="AK4541" s="2">
        <f t="shared" si="736"/>
        <v>0</v>
      </c>
      <c r="AL4541" s="5">
        <f t="shared" si="737"/>
        <v>0</v>
      </c>
    </row>
    <row r="4542" spans="1:38" x14ac:dyDescent="0.2">
      <c r="A4542" s="2">
        <v>2026</v>
      </c>
      <c r="B4542" s="2">
        <v>7</v>
      </c>
      <c r="C4542" s="2" t="s">
        <v>3475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72</v>
      </c>
      <c r="Q4542" s="2" t="s">
        <v>1449</v>
      </c>
      <c r="R4542" s="2" t="s">
        <v>307</v>
      </c>
      <c r="S4542" s="13">
        <v>1</v>
      </c>
      <c r="T4542" s="14">
        <v>230</v>
      </c>
      <c r="U4542" s="2">
        <f>T4542*23%</f>
        <v>52.900000000000006</v>
      </c>
      <c r="V4542" s="2">
        <f t="shared" si="739"/>
        <v>282.89999999999998</v>
      </c>
      <c r="W4542" s="2">
        <f>110.628+11.82</f>
        <v>122.44800000000001</v>
      </c>
      <c r="X4542" s="5">
        <f t="shared" si="713"/>
        <v>0.46761739130434782</v>
      </c>
      <c r="Z4542" s="2" t="s">
        <v>3226</v>
      </c>
      <c r="AA4542" s="2" t="s">
        <v>75</v>
      </c>
      <c r="AB4542" s="2" t="s">
        <v>76</v>
      </c>
      <c r="AC4542" s="2" t="s">
        <v>77</v>
      </c>
      <c r="AK4542" s="2">
        <f t="shared" ref="AK4542:AK4544" si="740">T4542-W4542</f>
        <v>107.55199999999999</v>
      </c>
      <c r="AL4542" s="5">
        <f t="shared" ref="AL4542:AL4544" si="741">(T4542-W4542)/T4542</f>
        <v>0.46761739130434782</v>
      </c>
    </row>
    <row r="4543" spans="1:38" x14ac:dyDescent="0.2">
      <c r="A4543" s="2">
        <v>2026</v>
      </c>
      <c r="B4543" s="2">
        <v>7</v>
      </c>
      <c r="C4543" s="2" t="s">
        <v>3475</v>
      </c>
      <c r="D4543" s="2" t="s">
        <v>1017</v>
      </c>
      <c r="E4543" s="2" t="s">
        <v>108</v>
      </c>
      <c r="F4543" s="2" t="s">
        <v>477</v>
      </c>
      <c r="G4543" s="2">
        <v>505647338</v>
      </c>
      <c r="H4543" s="2" t="s">
        <v>290</v>
      </c>
      <c r="I4543" s="2" t="s">
        <v>1018</v>
      </c>
      <c r="J4543" s="2" t="s">
        <v>1019</v>
      </c>
      <c r="L4543" s="2" t="s">
        <v>293</v>
      </c>
      <c r="M4543" s="2" t="s">
        <v>80</v>
      </c>
      <c r="P4543" s="2" t="s">
        <v>93</v>
      </c>
      <c r="Q4543" s="2" t="s">
        <v>94</v>
      </c>
      <c r="R4543" s="2" t="s">
        <v>95</v>
      </c>
      <c r="S4543" s="13">
        <v>1</v>
      </c>
      <c r="T4543" s="14">
        <v>1.48</v>
      </c>
      <c r="U4543" s="2">
        <f>T4543*23%</f>
        <v>0.34040000000000004</v>
      </c>
      <c r="V4543" s="2">
        <f t="shared" ref="V4543:V4544" si="742">T4543+U4543</f>
        <v>1.8204</v>
      </c>
      <c r="W4543" s="2">
        <v>1.48</v>
      </c>
      <c r="X4543" s="5">
        <f t="shared" si="713"/>
        <v>0</v>
      </c>
      <c r="Z4543" s="2" t="s">
        <v>3226</v>
      </c>
      <c r="AA4543" s="2" t="s">
        <v>96</v>
      </c>
      <c r="AB4543" s="2" t="s">
        <v>76</v>
      </c>
      <c r="AC4543" s="2" t="s">
        <v>93</v>
      </c>
      <c r="AK4543" s="2">
        <f t="shared" si="740"/>
        <v>0</v>
      </c>
      <c r="AL4543" s="5">
        <f t="shared" si="741"/>
        <v>0</v>
      </c>
    </row>
    <row r="4544" spans="1:38" x14ac:dyDescent="0.2">
      <c r="A4544" s="2">
        <v>2026</v>
      </c>
      <c r="B4544" s="2">
        <v>7</v>
      </c>
      <c r="C4544" s="2" t="s">
        <v>3475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1383</v>
      </c>
      <c r="R4544" s="2" t="s">
        <v>1384</v>
      </c>
      <c r="S4544" s="13">
        <v>1</v>
      </c>
      <c r="T4544" s="14">
        <v>152.41</v>
      </c>
      <c r="U4544" s="2">
        <f>T4544*23%</f>
        <v>35.054299999999998</v>
      </c>
      <c r="V4544" s="2">
        <f t="shared" si="742"/>
        <v>187.46429999999998</v>
      </c>
      <c r="W4544" s="2">
        <f>71.381</f>
        <v>71.381</v>
      </c>
      <c r="X4544" s="5">
        <f t="shared" si="713"/>
        <v>0.53165146643921002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si="740"/>
        <v>81.028999999999996</v>
      </c>
      <c r="AL4544" s="5">
        <f t="shared" si="741"/>
        <v>0.53165146643921002</v>
      </c>
    </row>
    <row r="4545" spans="1:38" x14ac:dyDescent="0.2">
      <c r="A4545" s="2">
        <v>2026</v>
      </c>
      <c r="B4545" s="2">
        <v>7</v>
      </c>
      <c r="C4545" s="2" t="s">
        <v>3475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2480</v>
      </c>
      <c r="R4545" s="2" t="s">
        <v>1387</v>
      </c>
      <c r="S4545" s="13">
        <v>1</v>
      </c>
      <c r="T4545" s="14">
        <v>466.58</v>
      </c>
      <c r="U4545" s="2">
        <f t="shared" ref="U4545:U4571" si="743">T4545*23%</f>
        <v>107.3134</v>
      </c>
      <c r="V4545" s="2">
        <f t="shared" ref="V4545:V4572" si="744">T4545+U4545</f>
        <v>573.89339999999993</v>
      </c>
      <c r="W4545" s="2">
        <v>222.18</v>
      </c>
      <c r="X4545" s="5">
        <f t="shared" si="713"/>
        <v>0.52381156500492942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" si="745">T4545-W4545</f>
        <v>244.39999999999998</v>
      </c>
      <c r="AL4545" s="5">
        <f t="shared" ref="AL4545" si="746">(T4545-W4545)/T4545</f>
        <v>0.52381156500492942</v>
      </c>
    </row>
    <row r="4546" spans="1:38" x14ac:dyDescent="0.2">
      <c r="A4546" s="2">
        <v>2026</v>
      </c>
      <c r="B4546" s="2">
        <v>7</v>
      </c>
      <c r="C4546" s="2" t="s">
        <v>3475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114</v>
      </c>
      <c r="Q4546" s="2" t="s">
        <v>1405</v>
      </c>
      <c r="R4546" s="2" t="s">
        <v>1406</v>
      </c>
      <c r="S4546" s="13">
        <v>1</v>
      </c>
      <c r="T4546" s="14">
        <v>77.48</v>
      </c>
      <c r="U4546" s="2">
        <f t="shared" si="743"/>
        <v>17.820400000000003</v>
      </c>
      <c r="V4546" s="2">
        <f t="shared" si="744"/>
        <v>95.30040000000001</v>
      </c>
      <c r="W4546" s="2">
        <f>30.7997</f>
        <v>30.799700000000001</v>
      </c>
      <c r="X4546" s="5">
        <f t="shared" si="713"/>
        <v>0.60248193082085699</v>
      </c>
      <c r="Y4546" s="2" t="s">
        <v>2540</v>
      </c>
      <c r="Z4546" s="2" t="s">
        <v>117</v>
      </c>
      <c r="AA4546" s="2" t="s">
        <v>118</v>
      </c>
      <c r="AB4546" s="2" t="s">
        <v>119</v>
      </c>
      <c r="AC4546" s="2" t="s">
        <v>114</v>
      </c>
      <c r="AK4546" s="2">
        <f t="shared" ref="AK4546:AK4569" si="747">T4546-W4546</f>
        <v>46.680300000000003</v>
      </c>
      <c r="AL4546" s="5">
        <f t="shared" ref="AL4546:AL4569" si="748">(T4546-W4546)/T4546</f>
        <v>0.60248193082085699</v>
      </c>
    </row>
    <row r="4547" spans="1:38" x14ac:dyDescent="0.2">
      <c r="A4547" s="2">
        <v>2026</v>
      </c>
      <c r="B4547" s="2">
        <v>7</v>
      </c>
      <c r="C4547" s="2" t="s">
        <v>3475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188</v>
      </c>
      <c r="R4547" s="2" t="s">
        <v>189</v>
      </c>
      <c r="S4547" s="13">
        <v>1</v>
      </c>
      <c r="T4547" s="14">
        <v>144</v>
      </c>
      <c r="U4547" s="2">
        <f t="shared" si="743"/>
        <v>33.120000000000005</v>
      </c>
      <c r="V4547" s="2">
        <f t="shared" si="744"/>
        <v>177.12</v>
      </c>
      <c r="W4547" s="2">
        <f>T4547*40%</f>
        <v>57.6</v>
      </c>
      <c r="X4547" s="5">
        <f t="shared" si="713"/>
        <v>0.60000000000000009</v>
      </c>
      <c r="Y4547" s="2" t="s">
        <v>2540</v>
      </c>
      <c r="Z4547" s="2" t="s">
        <v>117</v>
      </c>
      <c r="AA4547" s="2" t="s">
        <v>190</v>
      </c>
      <c r="AB4547" s="2" t="s">
        <v>189</v>
      </c>
      <c r="AC4547" s="2" t="s">
        <v>40</v>
      </c>
      <c r="AK4547" s="2">
        <f t="shared" si="747"/>
        <v>86.4</v>
      </c>
      <c r="AL4547" s="5">
        <f t="shared" si="748"/>
        <v>0.60000000000000009</v>
      </c>
    </row>
    <row r="4548" spans="1:38" x14ac:dyDescent="0.2">
      <c r="A4548" s="2">
        <v>2026</v>
      </c>
      <c r="B4548" s="2">
        <v>7</v>
      </c>
      <c r="C4548" s="2" t="s">
        <v>3475</v>
      </c>
      <c r="D4548" s="2" t="s">
        <v>1765</v>
      </c>
      <c r="E4548" s="2" t="s">
        <v>108</v>
      </c>
      <c r="F4548" s="2" t="s">
        <v>477</v>
      </c>
      <c r="L4548" s="2" t="s">
        <v>201</v>
      </c>
      <c r="M4548" s="2" t="s">
        <v>40</v>
      </c>
      <c r="P4548" s="2" t="s">
        <v>187</v>
      </c>
      <c r="Q4548" s="2" t="s">
        <v>191</v>
      </c>
      <c r="R4548" s="2" t="s">
        <v>190</v>
      </c>
      <c r="S4548" s="13">
        <v>4</v>
      </c>
      <c r="T4548" s="14">
        <v>165</v>
      </c>
      <c r="U4548" s="2">
        <f t="shared" si="743"/>
        <v>37.950000000000003</v>
      </c>
      <c r="V4548" s="2">
        <f t="shared" si="744"/>
        <v>202.95</v>
      </c>
      <c r="W4548" s="2">
        <f>T4548*50%</f>
        <v>82.5</v>
      </c>
      <c r="X4548" s="5">
        <f t="shared" ref="X4548:X4593" si="749">(T4548-W4548)/T4548</f>
        <v>0.5</v>
      </c>
      <c r="Y4548" s="2" t="s">
        <v>2540</v>
      </c>
      <c r="Z4548" s="2" t="s">
        <v>117</v>
      </c>
      <c r="AA4548" s="2" t="s">
        <v>190</v>
      </c>
      <c r="AB4548" s="2" t="s">
        <v>190</v>
      </c>
      <c r="AC4548" s="2" t="s">
        <v>40</v>
      </c>
      <c r="AK4548" s="2">
        <f t="shared" si="747"/>
        <v>82.5</v>
      </c>
      <c r="AL4548" s="5">
        <f t="shared" si="748"/>
        <v>0.5</v>
      </c>
    </row>
    <row r="4549" spans="1:38" x14ac:dyDescent="0.2">
      <c r="A4549" s="2">
        <v>2026</v>
      </c>
      <c r="B4549" s="2">
        <v>7</v>
      </c>
      <c r="C4549" s="2" t="s">
        <v>3475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114</v>
      </c>
      <c r="Q4549" s="2" t="s">
        <v>735</v>
      </c>
      <c r="R4549" s="2" t="s">
        <v>736</v>
      </c>
      <c r="S4549" s="13">
        <v>1</v>
      </c>
      <c r="T4549" s="14">
        <v>22.05</v>
      </c>
      <c r="U4549" s="2">
        <f t="shared" si="743"/>
        <v>5.0715000000000003</v>
      </c>
      <c r="V4549" s="2">
        <f t="shared" si="744"/>
        <v>27.121500000000001</v>
      </c>
      <c r="W4549" s="2">
        <f>10.38*S4549</f>
        <v>10.38</v>
      </c>
      <c r="X4549" s="5">
        <f t="shared" si="749"/>
        <v>0.52925170068027205</v>
      </c>
      <c r="Y4549" s="2" t="s">
        <v>3300</v>
      </c>
      <c r="Z4549" s="2" t="s">
        <v>117</v>
      </c>
      <c r="AA4549" s="2" t="s">
        <v>118</v>
      </c>
      <c r="AB4549" s="2" t="s">
        <v>119</v>
      </c>
      <c r="AC4549" s="2" t="s">
        <v>114</v>
      </c>
      <c r="AK4549" s="2">
        <f t="shared" si="747"/>
        <v>11.67</v>
      </c>
      <c r="AL4549" s="5">
        <f t="shared" si="748"/>
        <v>0.52925170068027205</v>
      </c>
    </row>
    <row r="4550" spans="1:38" x14ac:dyDescent="0.2">
      <c r="A4550" s="2">
        <v>2026</v>
      </c>
      <c r="B4550" s="2">
        <v>7</v>
      </c>
      <c r="C4550" s="2" t="s">
        <v>3475</v>
      </c>
      <c r="D4550" s="2" t="s">
        <v>744</v>
      </c>
      <c r="E4550" s="2" t="s">
        <v>108</v>
      </c>
      <c r="F4550" s="2" t="s">
        <v>39</v>
      </c>
      <c r="G4550" s="2">
        <v>509181163</v>
      </c>
      <c r="H4550" s="2" t="s">
        <v>40</v>
      </c>
      <c r="I4550" s="2" t="s">
        <v>745</v>
      </c>
      <c r="J4550" s="2" t="s">
        <v>746</v>
      </c>
      <c r="K4550" s="2">
        <v>962372760</v>
      </c>
      <c r="L4550" s="2" t="s">
        <v>201</v>
      </c>
      <c r="M4550" s="2" t="s">
        <v>40</v>
      </c>
      <c r="P4550" s="2" t="s">
        <v>40</v>
      </c>
      <c r="Q4550" s="2" t="s">
        <v>363</v>
      </c>
      <c r="R4550" s="2" t="s">
        <v>364</v>
      </c>
      <c r="S4550" s="13">
        <v>1</v>
      </c>
      <c r="T4550" s="14">
        <v>81.27</v>
      </c>
      <c r="U4550" s="2">
        <f t="shared" si="743"/>
        <v>18.6921</v>
      </c>
      <c r="V4550" s="2">
        <f t="shared" si="744"/>
        <v>99.962099999999992</v>
      </c>
      <c r="X4550" s="5">
        <f t="shared" si="749"/>
        <v>1</v>
      </c>
      <c r="Y4550" s="2" t="s">
        <v>3300</v>
      </c>
      <c r="Z4550" s="2" t="s">
        <v>119</v>
      </c>
      <c r="AA4550" s="2" t="s">
        <v>3379</v>
      </c>
      <c r="AK4550" s="2">
        <f t="shared" si="747"/>
        <v>81.27</v>
      </c>
      <c r="AL4550" s="5">
        <f t="shared" si="748"/>
        <v>1</v>
      </c>
    </row>
    <row r="4551" spans="1:38" x14ac:dyDescent="0.2">
      <c r="A4551" s="2">
        <v>2026</v>
      </c>
      <c r="B4551" s="2">
        <v>7</v>
      </c>
      <c r="C4551" s="2" t="s">
        <v>3475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793</v>
      </c>
      <c r="R4551" s="2" t="s">
        <v>794</v>
      </c>
      <c r="S4551" s="13">
        <v>1</v>
      </c>
      <c r="T4551" s="14">
        <v>770.24</v>
      </c>
      <c r="U4551" s="2">
        <f t="shared" si="743"/>
        <v>177.15520000000001</v>
      </c>
      <c r="V4551" s="2">
        <f t="shared" si="744"/>
        <v>947.39520000000005</v>
      </c>
      <c r="W4551" s="2">
        <v>257.3</v>
      </c>
      <c r="X4551" s="5">
        <f t="shared" si="749"/>
        <v>0.66594827586206906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747"/>
        <v>512.94000000000005</v>
      </c>
      <c r="AL4551" s="5">
        <f t="shared" si="748"/>
        <v>0.66594827586206906</v>
      </c>
    </row>
    <row r="4552" spans="1:38" x14ac:dyDescent="0.2">
      <c r="A4552" s="2">
        <v>2026</v>
      </c>
      <c r="B4552" s="2">
        <v>7</v>
      </c>
      <c r="C4552" s="2" t="s">
        <v>3475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114</v>
      </c>
      <c r="Q4552" s="2" t="s">
        <v>795</v>
      </c>
      <c r="R4552" s="2" t="s">
        <v>2984</v>
      </c>
      <c r="S4552" s="13">
        <v>1</v>
      </c>
      <c r="T4552" s="14">
        <v>40.54</v>
      </c>
      <c r="U4552" s="2">
        <f t="shared" si="743"/>
        <v>9.3241999999999994</v>
      </c>
      <c r="V4552" s="2">
        <f t="shared" si="744"/>
        <v>49.864199999999997</v>
      </c>
      <c r="W4552" s="2">
        <f>13.715*S4552</f>
        <v>13.715</v>
      </c>
      <c r="X4552" s="5">
        <f t="shared" si="749"/>
        <v>0.66169215589541197</v>
      </c>
      <c r="Z4552" s="2" t="s">
        <v>117</v>
      </c>
      <c r="AA4552" s="2" t="s">
        <v>118</v>
      </c>
      <c r="AB4552" s="2" t="s">
        <v>119</v>
      </c>
      <c r="AC4552" s="2" t="s">
        <v>114</v>
      </c>
      <c r="AK4552" s="2">
        <f t="shared" si="747"/>
        <v>26.824999999999999</v>
      </c>
      <c r="AL4552" s="5">
        <f t="shared" si="748"/>
        <v>0.66169215589541197</v>
      </c>
    </row>
    <row r="4553" spans="1:38" x14ac:dyDescent="0.2">
      <c r="A4553" s="2">
        <v>2026</v>
      </c>
      <c r="B4553" s="2">
        <v>7</v>
      </c>
      <c r="C4553" s="2" t="s">
        <v>3475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188</v>
      </c>
      <c r="R4553" s="2" t="s">
        <v>189</v>
      </c>
      <c r="S4553" s="13">
        <v>2</v>
      </c>
      <c r="T4553" s="14">
        <v>396</v>
      </c>
      <c r="U4553" s="2">
        <f t="shared" si="743"/>
        <v>91.08</v>
      </c>
      <c r="V4553" s="2">
        <f t="shared" si="744"/>
        <v>487.08</v>
      </c>
      <c r="W4553" s="2">
        <f>T4553*40%</f>
        <v>158.4</v>
      </c>
      <c r="X4553" s="5">
        <f t="shared" si="749"/>
        <v>0.6</v>
      </c>
      <c r="Z4553" s="2" t="s">
        <v>117</v>
      </c>
      <c r="AA4553" s="2" t="s">
        <v>190</v>
      </c>
      <c r="AB4553" s="2" t="s">
        <v>189</v>
      </c>
      <c r="AC4553" s="2" t="s">
        <v>40</v>
      </c>
      <c r="AK4553" s="2">
        <f t="shared" si="747"/>
        <v>237.6</v>
      </c>
      <c r="AL4553" s="5">
        <f t="shared" si="748"/>
        <v>0.6</v>
      </c>
    </row>
    <row r="4554" spans="1:38" x14ac:dyDescent="0.2">
      <c r="A4554" s="2">
        <v>2026</v>
      </c>
      <c r="B4554" s="2">
        <v>7</v>
      </c>
      <c r="C4554" s="2" t="s">
        <v>3475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187</v>
      </c>
      <c r="Q4554" s="2" t="s">
        <v>191</v>
      </c>
      <c r="R4554" s="2" t="s">
        <v>190</v>
      </c>
      <c r="S4554" s="13">
        <v>4</v>
      </c>
      <c r="T4554" s="14">
        <v>220</v>
      </c>
      <c r="U4554" s="2">
        <f t="shared" si="743"/>
        <v>50.6</v>
      </c>
      <c r="V4554" s="2">
        <f t="shared" si="744"/>
        <v>270.60000000000002</v>
      </c>
      <c r="W4554" s="2">
        <f>T4554*50%</f>
        <v>110</v>
      </c>
      <c r="X4554" s="5">
        <f t="shared" si="749"/>
        <v>0.5</v>
      </c>
      <c r="Z4554" s="2" t="s">
        <v>117</v>
      </c>
      <c r="AA4554" s="2" t="s">
        <v>190</v>
      </c>
      <c r="AB4554" s="2" t="s">
        <v>190</v>
      </c>
      <c r="AC4554" s="2" t="s">
        <v>40</v>
      </c>
      <c r="AK4554" s="2">
        <f t="shared" si="747"/>
        <v>110</v>
      </c>
      <c r="AL4554" s="5">
        <f t="shared" si="748"/>
        <v>0.5</v>
      </c>
    </row>
    <row r="4555" spans="1:38" x14ac:dyDescent="0.2">
      <c r="A4555" s="2">
        <v>2026</v>
      </c>
      <c r="B4555" s="2">
        <v>7</v>
      </c>
      <c r="C4555" s="2" t="s">
        <v>3475</v>
      </c>
      <c r="D4555" s="2" t="s">
        <v>2008</v>
      </c>
      <c r="E4555" s="2" t="s">
        <v>38</v>
      </c>
      <c r="F4555" s="2" t="s">
        <v>39</v>
      </c>
      <c r="L4555" s="2" t="s">
        <v>571</v>
      </c>
      <c r="M4555" s="2" t="s">
        <v>40</v>
      </c>
      <c r="P4555" s="2" t="s">
        <v>40</v>
      </c>
      <c r="Q4555" s="2" t="s">
        <v>363</v>
      </c>
      <c r="R4555" s="2" t="s">
        <v>364</v>
      </c>
      <c r="S4555" s="13">
        <v>1</v>
      </c>
      <c r="T4555" s="14">
        <v>291.77999999999997</v>
      </c>
      <c r="U4555" s="2">
        <f t="shared" si="743"/>
        <v>67.109399999999994</v>
      </c>
      <c r="V4555" s="2">
        <f t="shared" si="744"/>
        <v>358.88939999999997</v>
      </c>
      <c r="X4555" s="5">
        <f t="shared" si="749"/>
        <v>1</v>
      </c>
      <c r="Z4555" s="2" t="s">
        <v>119</v>
      </c>
      <c r="AA4555" s="2" t="s">
        <v>3379</v>
      </c>
      <c r="AK4555" s="2">
        <f t="shared" si="747"/>
        <v>291.77999999999997</v>
      </c>
      <c r="AL4555" s="5">
        <f t="shared" si="748"/>
        <v>1</v>
      </c>
    </row>
    <row r="4556" spans="1:38" x14ac:dyDescent="0.2">
      <c r="A4556" s="2">
        <v>2026</v>
      </c>
      <c r="B4556" s="2">
        <v>7</v>
      </c>
      <c r="C4556" s="2" t="s">
        <v>3475</v>
      </c>
      <c r="D4556" s="2" t="s">
        <v>1573</v>
      </c>
      <c r="E4556" s="2" t="s">
        <v>752</v>
      </c>
      <c r="F4556" s="2" t="s">
        <v>39</v>
      </c>
      <c r="L4556" s="2" t="s">
        <v>461</v>
      </c>
      <c r="M4556" s="2" t="s">
        <v>40</v>
      </c>
      <c r="P4556" s="2" t="s">
        <v>282</v>
      </c>
      <c r="Q4556" s="2" t="s">
        <v>1284</v>
      </c>
      <c r="R4556" s="2" t="s">
        <v>1285</v>
      </c>
      <c r="S4556" s="13">
        <v>1</v>
      </c>
      <c r="T4556" s="14">
        <v>250</v>
      </c>
      <c r="U4556" s="2">
        <f t="shared" si="743"/>
        <v>57.5</v>
      </c>
      <c r="V4556" s="2">
        <f t="shared" si="744"/>
        <v>307.5</v>
      </c>
      <c r="W4556" s="2">
        <v>212.5</v>
      </c>
      <c r="X4556" s="5">
        <f t="shared" si="749"/>
        <v>0.15</v>
      </c>
      <c r="Z4556" s="2" t="s">
        <v>117</v>
      </c>
      <c r="AA4556" s="2" t="s">
        <v>181</v>
      </c>
      <c r="AB4556" s="2" t="s">
        <v>3380</v>
      </c>
      <c r="AC4556" s="2" t="s">
        <v>1327</v>
      </c>
      <c r="AK4556" s="2">
        <f t="shared" si="747"/>
        <v>37.5</v>
      </c>
      <c r="AL4556" s="5">
        <f t="shared" si="748"/>
        <v>0.15</v>
      </c>
    </row>
    <row r="4557" spans="1:38" x14ac:dyDescent="0.2">
      <c r="A4557" s="2">
        <v>2026</v>
      </c>
      <c r="B4557" s="2">
        <v>7</v>
      </c>
      <c r="C4557" s="2" t="s">
        <v>3475</v>
      </c>
      <c r="D4557" s="2" t="s">
        <v>3497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561</v>
      </c>
      <c r="R4557" s="2" t="s">
        <v>562</v>
      </c>
      <c r="S4557" s="13">
        <v>1</v>
      </c>
      <c r="T4557" s="14">
        <v>14.29</v>
      </c>
      <c r="U4557" s="2">
        <f t="shared" si="743"/>
        <v>3.2866999999999997</v>
      </c>
      <c r="V4557" s="2">
        <f t="shared" si="744"/>
        <v>17.576699999999999</v>
      </c>
      <c r="W4557" s="2">
        <f>5.33*S4557</f>
        <v>5.33</v>
      </c>
      <c r="X4557" s="5">
        <f t="shared" si="749"/>
        <v>0.62701189643107069</v>
      </c>
      <c r="Y4557" s="2" t="s">
        <v>3300</v>
      </c>
      <c r="Z4557" s="2" t="s">
        <v>117</v>
      </c>
      <c r="AA4557" s="2" t="s">
        <v>118</v>
      </c>
      <c r="AB4557" s="2" t="s">
        <v>119</v>
      </c>
      <c r="AC4557" s="2" t="s">
        <v>114</v>
      </c>
      <c r="AK4557" s="2">
        <f t="shared" si="747"/>
        <v>8.9599999999999991</v>
      </c>
      <c r="AL4557" s="5">
        <f t="shared" si="748"/>
        <v>0.62701189643107069</v>
      </c>
    </row>
    <row r="4558" spans="1:38" x14ac:dyDescent="0.2">
      <c r="A4558" s="2">
        <v>2026</v>
      </c>
      <c r="B4558" s="2">
        <v>7</v>
      </c>
      <c r="C4558" s="2" t="s">
        <v>3475</v>
      </c>
      <c r="D4558" s="2" t="s">
        <v>3497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114</v>
      </c>
      <c r="Q4558" s="2" t="s">
        <v>904</v>
      </c>
      <c r="R4558" s="2" t="s">
        <v>905</v>
      </c>
      <c r="S4558" s="13">
        <v>1</v>
      </c>
      <c r="T4558" s="14">
        <v>699.3</v>
      </c>
      <c r="U4558" s="2">
        <f t="shared" si="743"/>
        <v>160.839</v>
      </c>
      <c r="V4558" s="2">
        <f t="shared" si="744"/>
        <v>860.1389999999999</v>
      </c>
      <c r="W4558" s="2">
        <v>345.20339999999999</v>
      </c>
      <c r="X4558" s="5">
        <f t="shared" si="749"/>
        <v>0.50635864435864431</v>
      </c>
      <c r="Y4558" s="2" t="s">
        <v>3300</v>
      </c>
      <c r="Z4558" s="2" t="s">
        <v>117</v>
      </c>
      <c r="AA4558" s="2" t="s">
        <v>181</v>
      </c>
      <c r="AB4558" s="2" t="s">
        <v>119</v>
      </c>
      <c r="AC4558" s="2" t="s">
        <v>114</v>
      </c>
      <c r="AK4558" s="2">
        <f t="shared" si="747"/>
        <v>354.09659999999997</v>
      </c>
      <c r="AL4558" s="5">
        <f t="shared" si="748"/>
        <v>0.50635864435864431</v>
      </c>
    </row>
    <row r="4559" spans="1:38" x14ac:dyDescent="0.2">
      <c r="A4559" s="2">
        <v>2026</v>
      </c>
      <c r="B4559" s="2">
        <v>7</v>
      </c>
      <c r="C4559" s="2" t="s">
        <v>3475</v>
      </c>
      <c r="D4559" s="2" t="s">
        <v>3497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188</v>
      </c>
      <c r="R4559" s="2" t="s">
        <v>189</v>
      </c>
      <c r="S4559" s="13">
        <v>1</v>
      </c>
      <c r="T4559" s="14">
        <v>60</v>
      </c>
      <c r="U4559" s="2">
        <f t="shared" si="743"/>
        <v>13.8</v>
      </c>
      <c r="V4559" s="2">
        <f t="shared" si="744"/>
        <v>73.8</v>
      </c>
      <c r="W4559" s="2">
        <f>T4559*40%</f>
        <v>24</v>
      </c>
      <c r="X4559" s="5">
        <f t="shared" si="749"/>
        <v>0.6</v>
      </c>
      <c r="Y4559" s="2" t="s">
        <v>3300</v>
      </c>
      <c r="Z4559" s="2" t="s">
        <v>117</v>
      </c>
      <c r="AA4559" s="2" t="s">
        <v>190</v>
      </c>
      <c r="AB4559" s="2" t="s">
        <v>189</v>
      </c>
      <c r="AC4559" s="2" t="s">
        <v>40</v>
      </c>
      <c r="AK4559" s="2">
        <f t="shared" si="747"/>
        <v>36</v>
      </c>
      <c r="AL4559" s="5">
        <f t="shared" si="748"/>
        <v>0.6</v>
      </c>
    </row>
    <row r="4560" spans="1:38" x14ac:dyDescent="0.2">
      <c r="A4560" s="2">
        <v>2026</v>
      </c>
      <c r="B4560" s="2">
        <v>7</v>
      </c>
      <c r="C4560" s="2" t="s">
        <v>3475</v>
      </c>
      <c r="D4560" s="2" t="s">
        <v>3497</v>
      </c>
      <c r="E4560" s="2" t="s">
        <v>38</v>
      </c>
      <c r="F4560" s="2" t="s">
        <v>39</v>
      </c>
      <c r="L4560" s="2" t="s">
        <v>99</v>
      </c>
      <c r="M4560" s="2" t="s">
        <v>40</v>
      </c>
      <c r="P4560" s="2" t="s">
        <v>187</v>
      </c>
      <c r="Q4560" s="2" t="s">
        <v>191</v>
      </c>
      <c r="R4560" s="2" t="s">
        <v>190</v>
      </c>
      <c r="S4560" s="13">
        <v>1</v>
      </c>
      <c r="T4560" s="14">
        <v>55</v>
      </c>
      <c r="U4560" s="2">
        <f t="shared" si="743"/>
        <v>12.65</v>
      </c>
      <c r="V4560" s="2">
        <f t="shared" si="744"/>
        <v>67.650000000000006</v>
      </c>
      <c r="W4560" s="2">
        <f>T4560*50%</f>
        <v>27.5</v>
      </c>
      <c r="X4560" s="5">
        <f t="shared" si="749"/>
        <v>0.5</v>
      </c>
      <c r="Y4560" s="2" t="s">
        <v>3300</v>
      </c>
      <c r="Z4560" s="2" t="s">
        <v>117</v>
      </c>
      <c r="AA4560" s="2" t="s">
        <v>190</v>
      </c>
      <c r="AB4560" s="2" t="s">
        <v>190</v>
      </c>
      <c r="AC4560" s="2" t="s">
        <v>40</v>
      </c>
      <c r="AK4560" s="2">
        <f t="shared" si="747"/>
        <v>27.5</v>
      </c>
      <c r="AL4560" s="5">
        <f t="shared" si="748"/>
        <v>0.5</v>
      </c>
    </row>
    <row r="4561" spans="1:38" x14ac:dyDescent="0.2">
      <c r="A4561" s="2">
        <v>2026</v>
      </c>
      <c r="B4561" s="2">
        <v>7</v>
      </c>
      <c r="C4561" s="2" t="s">
        <v>3475</v>
      </c>
      <c r="D4561" s="2" t="s">
        <v>530</v>
      </c>
      <c r="E4561" s="2" t="s">
        <v>108</v>
      </c>
      <c r="F4561" s="2" t="s">
        <v>531</v>
      </c>
      <c r="G4561" s="2">
        <v>502139552</v>
      </c>
      <c r="H4561" s="2" t="s">
        <v>40</v>
      </c>
      <c r="I4561" s="2" t="s">
        <v>339</v>
      </c>
      <c r="J4561" s="2" t="s">
        <v>532</v>
      </c>
      <c r="L4561" s="2" t="s">
        <v>339</v>
      </c>
      <c r="M4561" s="2" t="s">
        <v>80</v>
      </c>
      <c r="P4561" s="2" t="s">
        <v>1038</v>
      </c>
      <c r="Q4561" s="2" t="s">
        <v>3498</v>
      </c>
      <c r="R4561" s="2" t="s">
        <v>3499</v>
      </c>
      <c r="S4561" s="13">
        <v>4</v>
      </c>
      <c r="T4561" s="14">
        <v>794.88</v>
      </c>
      <c r="U4561" s="2">
        <f t="shared" si="743"/>
        <v>182.82240000000002</v>
      </c>
      <c r="V4561" s="2">
        <f t="shared" si="744"/>
        <v>977.70240000000001</v>
      </c>
      <c r="W4561" s="2">
        <f>143.9*S4561</f>
        <v>575.6</v>
      </c>
      <c r="X4561" s="5">
        <f t="shared" si="749"/>
        <v>0.27586553945249592</v>
      </c>
      <c r="Z4561" s="2" t="s">
        <v>3226</v>
      </c>
      <c r="AA4561" s="2" t="s">
        <v>1041</v>
      </c>
      <c r="AB4561" s="2" t="s">
        <v>1042</v>
      </c>
      <c r="AC4561" s="2" t="s">
        <v>1038</v>
      </c>
      <c r="AK4561" s="2">
        <f t="shared" si="747"/>
        <v>219.27999999999997</v>
      </c>
      <c r="AL4561" s="5">
        <f t="shared" si="748"/>
        <v>0.27586553945249592</v>
      </c>
    </row>
    <row r="4562" spans="1:38" x14ac:dyDescent="0.2">
      <c r="A4562" s="2">
        <v>2026</v>
      </c>
      <c r="B4562" s="2">
        <v>7</v>
      </c>
      <c r="C4562" s="2" t="s">
        <v>3475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188</v>
      </c>
      <c r="R4562" s="2" t="s">
        <v>189</v>
      </c>
      <c r="S4562" s="13">
        <v>1</v>
      </c>
      <c r="T4562" s="14">
        <v>196.8</v>
      </c>
      <c r="U4562" s="2">
        <f t="shared" si="743"/>
        <v>45.264000000000003</v>
      </c>
      <c r="V4562" s="2">
        <f t="shared" si="744"/>
        <v>242.06400000000002</v>
      </c>
      <c r="W4562" s="2">
        <f>T4562*40%</f>
        <v>78.720000000000013</v>
      </c>
      <c r="X4562" s="5">
        <f t="shared" si="749"/>
        <v>0.6</v>
      </c>
      <c r="Y4562" s="2" t="s">
        <v>3493</v>
      </c>
      <c r="Z4562" s="2" t="s">
        <v>117</v>
      </c>
      <c r="AA4562" s="2" t="s">
        <v>190</v>
      </c>
      <c r="AB4562" s="2" t="s">
        <v>189</v>
      </c>
      <c r="AC4562" s="2" t="s">
        <v>40</v>
      </c>
      <c r="AK4562" s="2">
        <f t="shared" si="747"/>
        <v>118.08</v>
      </c>
      <c r="AL4562" s="5">
        <f t="shared" si="748"/>
        <v>0.6</v>
      </c>
    </row>
    <row r="4563" spans="1:38" x14ac:dyDescent="0.2">
      <c r="A4563" s="2">
        <v>2026</v>
      </c>
      <c r="B4563" s="2">
        <v>7</v>
      </c>
      <c r="C4563" s="2" t="s">
        <v>3475</v>
      </c>
      <c r="D4563" s="2" t="s">
        <v>1720</v>
      </c>
      <c r="E4563" s="2" t="s">
        <v>108</v>
      </c>
      <c r="F4563" s="2" t="s">
        <v>717</v>
      </c>
      <c r="L4563" s="2" t="s">
        <v>344</v>
      </c>
      <c r="M4563" s="2" t="s">
        <v>40</v>
      </c>
      <c r="P4563" s="2" t="s">
        <v>187</v>
      </c>
      <c r="Q4563" s="2" t="s">
        <v>191</v>
      </c>
      <c r="R4563" s="2" t="s">
        <v>190</v>
      </c>
      <c r="S4563" s="13">
        <v>0.75</v>
      </c>
      <c r="T4563" s="14">
        <v>41.25</v>
      </c>
      <c r="U4563" s="2">
        <f t="shared" si="743"/>
        <v>9.4875000000000007</v>
      </c>
      <c r="V4563" s="2">
        <f t="shared" si="744"/>
        <v>50.737499999999997</v>
      </c>
      <c r="W4563" s="2">
        <f>T4563*50%</f>
        <v>20.625</v>
      </c>
      <c r="X4563" s="5">
        <f t="shared" si="749"/>
        <v>0.5</v>
      </c>
      <c r="Y4563" s="2" t="s">
        <v>3493</v>
      </c>
      <c r="Z4563" s="2" t="s">
        <v>117</v>
      </c>
      <c r="AA4563" s="2" t="s">
        <v>190</v>
      </c>
      <c r="AB4563" s="2" t="s">
        <v>190</v>
      </c>
      <c r="AC4563" s="2" t="s">
        <v>40</v>
      </c>
      <c r="AK4563" s="2">
        <f t="shared" si="747"/>
        <v>20.625</v>
      </c>
      <c r="AL4563" s="5">
        <f t="shared" si="748"/>
        <v>0.5</v>
      </c>
    </row>
    <row r="4564" spans="1:38" x14ac:dyDescent="0.2">
      <c r="A4564" s="2">
        <v>2026</v>
      </c>
      <c r="B4564" s="2">
        <v>7</v>
      </c>
      <c r="C4564" s="2" t="s">
        <v>3475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188</v>
      </c>
      <c r="R4564" s="2" t="s">
        <v>189</v>
      </c>
      <c r="S4564" s="13">
        <v>1</v>
      </c>
      <c r="T4564" s="14">
        <v>75</v>
      </c>
      <c r="U4564" s="2">
        <f t="shared" si="743"/>
        <v>17.25</v>
      </c>
      <c r="V4564" s="2">
        <f t="shared" si="744"/>
        <v>92.25</v>
      </c>
      <c r="W4564" s="2">
        <f>T4564*40%</f>
        <v>30</v>
      </c>
      <c r="X4564" s="5">
        <f t="shared" si="749"/>
        <v>0.6</v>
      </c>
      <c r="Y4564" s="2" t="s">
        <v>3493</v>
      </c>
      <c r="Z4564" s="2" t="s">
        <v>117</v>
      </c>
      <c r="AA4564" s="2" t="s">
        <v>190</v>
      </c>
      <c r="AB4564" s="2" t="s">
        <v>189</v>
      </c>
      <c r="AC4564" s="2" t="s">
        <v>40</v>
      </c>
      <c r="AK4564" s="2">
        <f t="shared" si="747"/>
        <v>45</v>
      </c>
      <c r="AL4564" s="5">
        <f t="shared" si="748"/>
        <v>0.6</v>
      </c>
    </row>
    <row r="4565" spans="1:38" x14ac:dyDescent="0.2">
      <c r="A4565" s="2">
        <v>2026</v>
      </c>
      <c r="B4565" s="2">
        <v>7</v>
      </c>
      <c r="C4565" s="2" t="s">
        <v>3475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187</v>
      </c>
      <c r="Q4565" s="2" t="s">
        <v>191</v>
      </c>
      <c r="R4565" s="2" t="s">
        <v>190</v>
      </c>
      <c r="S4565" s="13">
        <v>1</v>
      </c>
      <c r="T4565" s="14">
        <v>55</v>
      </c>
      <c r="U4565" s="2">
        <f t="shared" si="743"/>
        <v>12.65</v>
      </c>
      <c r="V4565" s="2">
        <f t="shared" si="744"/>
        <v>67.650000000000006</v>
      </c>
      <c r="W4565" s="2">
        <f>T4565*50%</f>
        <v>27.5</v>
      </c>
      <c r="X4565" s="5">
        <f t="shared" si="749"/>
        <v>0.5</v>
      </c>
      <c r="Y4565" s="2" t="s">
        <v>3493</v>
      </c>
      <c r="Z4565" s="2" t="s">
        <v>117</v>
      </c>
      <c r="AA4565" s="2" t="s">
        <v>190</v>
      </c>
      <c r="AB4565" s="2" t="s">
        <v>190</v>
      </c>
      <c r="AC4565" s="2" t="s">
        <v>40</v>
      </c>
      <c r="AK4565" s="2">
        <f t="shared" si="747"/>
        <v>27.5</v>
      </c>
      <c r="AL4565" s="5">
        <f t="shared" si="748"/>
        <v>0.5</v>
      </c>
    </row>
    <row r="4566" spans="1:38" x14ac:dyDescent="0.2">
      <c r="A4566" s="2">
        <v>2026</v>
      </c>
      <c r="B4566" s="2">
        <v>7</v>
      </c>
      <c r="C4566" s="2" t="s">
        <v>3475</v>
      </c>
      <c r="D4566" s="2" t="s">
        <v>1275</v>
      </c>
      <c r="E4566" s="2" t="s">
        <v>108</v>
      </c>
      <c r="F4566" s="2" t="s">
        <v>39</v>
      </c>
      <c r="G4566" s="2">
        <v>506187993</v>
      </c>
      <c r="H4566" s="2" t="s">
        <v>290</v>
      </c>
      <c r="I4566" s="2" t="s">
        <v>1276</v>
      </c>
      <c r="J4566" s="2" t="s">
        <v>1277</v>
      </c>
      <c r="L4566" s="2" t="s">
        <v>339</v>
      </c>
      <c r="M4566" s="2" t="s">
        <v>40</v>
      </c>
      <c r="P4566" s="2" t="s">
        <v>40</v>
      </c>
      <c r="Q4566" s="2" t="s">
        <v>363</v>
      </c>
      <c r="R4566" s="2" t="s">
        <v>364</v>
      </c>
      <c r="S4566" s="13">
        <v>1</v>
      </c>
      <c r="T4566" s="14">
        <v>87.5</v>
      </c>
      <c r="U4566" s="2">
        <f t="shared" si="743"/>
        <v>20.125</v>
      </c>
      <c r="V4566" s="2">
        <f t="shared" si="744"/>
        <v>107.625</v>
      </c>
      <c r="X4566" s="5">
        <f t="shared" si="749"/>
        <v>1</v>
      </c>
      <c r="Y4566" s="2" t="s">
        <v>3493</v>
      </c>
      <c r="Z4566" s="2" t="s">
        <v>119</v>
      </c>
      <c r="AA4566" s="2" t="s">
        <v>3379</v>
      </c>
      <c r="AK4566" s="2">
        <f t="shared" si="747"/>
        <v>87.5</v>
      </c>
      <c r="AL4566" s="5">
        <f t="shared" si="748"/>
        <v>1</v>
      </c>
    </row>
    <row r="4567" spans="1:38" x14ac:dyDescent="0.2">
      <c r="A4567" s="2">
        <v>2026</v>
      </c>
      <c r="B4567" s="2">
        <v>7</v>
      </c>
      <c r="C4567" s="2" t="s">
        <v>3475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188</v>
      </c>
      <c r="R4567" s="2" t="s">
        <v>189</v>
      </c>
      <c r="S4567" s="13">
        <v>1</v>
      </c>
      <c r="T4567" s="14">
        <v>202</v>
      </c>
      <c r="U4567" s="2">
        <f t="shared" si="743"/>
        <v>46.46</v>
      </c>
      <c r="V4567" s="2">
        <f t="shared" si="744"/>
        <v>248.46</v>
      </c>
      <c r="W4567" s="2">
        <f>T4567*40%</f>
        <v>80.800000000000011</v>
      </c>
      <c r="X4567" s="5">
        <f t="shared" si="749"/>
        <v>0.6</v>
      </c>
      <c r="Y4567" s="2" t="s">
        <v>2540</v>
      </c>
      <c r="Z4567" s="2" t="s">
        <v>117</v>
      </c>
      <c r="AA4567" s="2" t="s">
        <v>190</v>
      </c>
      <c r="AB4567" s="2" t="s">
        <v>189</v>
      </c>
      <c r="AC4567" s="2" t="s">
        <v>40</v>
      </c>
      <c r="AK4567" s="2">
        <f t="shared" si="747"/>
        <v>121.19999999999999</v>
      </c>
      <c r="AL4567" s="5">
        <f t="shared" si="748"/>
        <v>0.6</v>
      </c>
    </row>
    <row r="4568" spans="1:38" x14ac:dyDescent="0.2">
      <c r="A4568" s="2">
        <v>2026</v>
      </c>
      <c r="B4568" s="2">
        <v>7</v>
      </c>
      <c r="C4568" s="2" t="s">
        <v>3475</v>
      </c>
      <c r="D4568" s="2" t="s">
        <v>1290</v>
      </c>
      <c r="E4568" s="2" t="s">
        <v>108</v>
      </c>
      <c r="F4568" s="2" t="s">
        <v>39</v>
      </c>
      <c r="L4568" s="2" t="s">
        <v>133</v>
      </c>
      <c r="M4568" s="2" t="s">
        <v>40</v>
      </c>
      <c r="P4568" s="2" t="s">
        <v>187</v>
      </c>
      <c r="Q4568" s="2" t="s">
        <v>191</v>
      </c>
      <c r="R4568" s="2" t="s">
        <v>190</v>
      </c>
      <c r="S4568" s="13">
        <v>4</v>
      </c>
      <c r="T4568" s="14">
        <v>220</v>
      </c>
      <c r="U4568" s="2">
        <f t="shared" si="743"/>
        <v>50.6</v>
      </c>
      <c r="V4568" s="2">
        <f t="shared" si="744"/>
        <v>270.60000000000002</v>
      </c>
      <c r="W4568" s="2">
        <f>T4568*50%</f>
        <v>110</v>
      </c>
      <c r="X4568" s="5">
        <f t="shared" si="749"/>
        <v>0.5</v>
      </c>
      <c r="Y4568" s="2" t="s">
        <v>2540</v>
      </c>
      <c r="Z4568" s="2" t="s">
        <v>117</v>
      </c>
      <c r="AA4568" s="2" t="s">
        <v>190</v>
      </c>
      <c r="AB4568" s="2" t="s">
        <v>190</v>
      </c>
      <c r="AC4568" s="2" t="s">
        <v>40</v>
      </c>
      <c r="AK4568" s="2">
        <f t="shared" si="747"/>
        <v>110</v>
      </c>
      <c r="AL4568" s="5">
        <f t="shared" si="748"/>
        <v>0.5</v>
      </c>
    </row>
    <row r="4569" spans="1:38" x14ac:dyDescent="0.2">
      <c r="A4569" s="2">
        <v>2026</v>
      </c>
      <c r="B4569" s="2">
        <v>7</v>
      </c>
      <c r="C4569" s="2" t="s">
        <v>3475</v>
      </c>
      <c r="D4569" s="2" t="s">
        <v>1657</v>
      </c>
      <c r="E4569" s="2" t="s">
        <v>38</v>
      </c>
      <c r="F4569" s="2" t="s">
        <v>39</v>
      </c>
      <c r="L4569" s="2" t="s">
        <v>177</v>
      </c>
      <c r="M4569" s="2" t="s">
        <v>40</v>
      </c>
      <c r="P4569" s="2" t="s">
        <v>114</v>
      </c>
      <c r="Q4569" s="2" t="s">
        <v>373</v>
      </c>
      <c r="R4569" s="2" t="s">
        <v>374</v>
      </c>
      <c r="S4569" s="13">
        <v>1</v>
      </c>
      <c r="T4569" s="14">
        <v>48.95</v>
      </c>
      <c r="U4569" s="2">
        <f t="shared" si="743"/>
        <v>11.258500000000002</v>
      </c>
      <c r="V4569" s="2">
        <f t="shared" si="744"/>
        <v>60.208500000000001</v>
      </c>
      <c r="W4569" s="2">
        <f>23.042*S4569</f>
        <v>23.042000000000002</v>
      </c>
      <c r="X4569" s="5">
        <f t="shared" si="749"/>
        <v>0.52927477017364655</v>
      </c>
      <c r="Y4569" s="2" t="s">
        <v>2540</v>
      </c>
      <c r="Z4569" s="2" t="s">
        <v>117</v>
      </c>
      <c r="AA4569" s="2" t="s">
        <v>118</v>
      </c>
      <c r="AB4569" s="2" t="s">
        <v>119</v>
      </c>
      <c r="AC4569" s="2" t="s">
        <v>114</v>
      </c>
      <c r="AK4569" s="2">
        <f t="shared" si="747"/>
        <v>25.908000000000001</v>
      </c>
      <c r="AL4569" s="5">
        <f t="shared" si="748"/>
        <v>0.52927477017364655</v>
      </c>
    </row>
    <row r="4570" spans="1:38" x14ac:dyDescent="0.2">
      <c r="A4570" s="2">
        <v>2026</v>
      </c>
      <c r="B4570" s="2">
        <v>7</v>
      </c>
      <c r="C4570" s="2" t="s">
        <v>3475</v>
      </c>
      <c r="D4570" s="2" t="s">
        <v>289</v>
      </c>
      <c r="E4570" s="2" t="s">
        <v>108</v>
      </c>
      <c r="F4570" s="2" t="s">
        <v>39</v>
      </c>
      <c r="G4570" s="2">
        <v>508428300</v>
      </c>
      <c r="H4570" s="2" t="s">
        <v>290</v>
      </c>
      <c r="I4570" s="2" t="s">
        <v>291</v>
      </c>
      <c r="J4570" s="2" t="s">
        <v>292</v>
      </c>
      <c r="K4570" s="2">
        <v>917165642</v>
      </c>
      <c r="L4570" s="2" t="s">
        <v>293</v>
      </c>
      <c r="M4570" s="2" t="s">
        <v>290</v>
      </c>
      <c r="P4570" s="2" t="s">
        <v>114</v>
      </c>
      <c r="Q4570" s="2" t="s">
        <v>1920</v>
      </c>
      <c r="R4570" s="2" t="s">
        <v>1921</v>
      </c>
      <c r="S4570" s="13">
        <v>1</v>
      </c>
      <c r="T4570" s="14">
        <v>25000</v>
      </c>
      <c r="U4570" s="2">
        <f t="shared" si="743"/>
        <v>5750</v>
      </c>
      <c r="V4570" s="2">
        <f t="shared" si="744"/>
        <v>30750</v>
      </c>
      <c r="W4570" s="2">
        <f>19591.14+492.45</f>
        <v>20083.59</v>
      </c>
      <c r="X4570" s="5">
        <f t="shared" si="749"/>
        <v>0.19665639999999998</v>
      </c>
      <c r="Z4570" s="2" t="s">
        <v>104</v>
      </c>
      <c r="AA4570" s="2" t="s">
        <v>150</v>
      </c>
      <c r="AB4570" s="2" t="s">
        <v>151</v>
      </c>
      <c r="AC4570" s="2" t="s">
        <v>114</v>
      </c>
      <c r="AK4570" s="2">
        <f>T4570-W4570</f>
        <v>4916.41</v>
      </c>
      <c r="AL4570" s="5">
        <f>(T4570-W4570)/T4570</f>
        <v>0.19665639999999998</v>
      </c>
    </row>
    <row r="4571" spans="1:38" x14ac:dyDescent="0.2">
      <c r="A4571" s="2">
        <v>2026</v>
      </c>
      <c r="B4571" s="2">
        <v>7</v>
      </c>
      <c r="C4571" s="2" t="s">
        <v>3475</v>
      </c>
      <c r="D4571" s="2" t="s">
        <v>3500</v>
      </c>
      <c r="E4571" s="2" t="s">
        <v>183</v>
      </c>
      <c r="F4571" s="2" t="s">
        <v>3501</v>
      </c>
      <c r="G4571" s="2">
        <v>503634824</v>
      </c>
      <c r="L4571" s="2" t="s">
        <v>99</v>
      </c>
      <c r="M4571" s="2" t="s">
        <v>40</v>
      </c>
      <c r="P4571" s="2" t="s">
        <v>40</v>
      </c>
      <c r="Q4571" s="2" t="s">
        <v>363</v>
      </c>
      <c r="R4571" s="2" t="s">
        <v>364</v>
      </c>
      <c r="S4571" s="13">
        <v>1</v>
      </c>
      <c r="T4571" s="2">
        <v>190</v>
      </c>
      <c r="U4571" s="2">
        <f t="shared" si="743"/>
        <v>43.7</v>
      </c>
      <c r="V4571" s="2">
        <f t="shared" si="744"/>
        <v>233.7</v>
      </c>
      <c r="X4571" s="5">
        <f t="shared" si="749"/>
        <v>1</v>
      </c>
      <c r="Z4571" s="2" t="s">
        <v>117</v>
      </c>
      <c r="AA4571" s="2" t="s">
        <v>3379</v>
      </c>
      <c r="AK4571" s="2">
        <f>T4571-W4571</f>
        <v>190</v>
      </c>
      <c r="AL4571" s="5">
        <f>(T4571-W4571)/T4571</f>
        <v>1</v>
      </c>
    </row>
    <row r="4572" spans="1:38" x14ac:dyDescent="0.2">
      <c r="A4572" s="2">
        <v>2026</v>
      </c>
      <c r="B4572" s="2">
        <v>8</v>
      </c>
      <c r="C4572" s="2" t="s">
        <v>3511</v>
      </c>
      <c r="D4572" s="2" t="s">
        <v>2442</v>
      </c>
      <c r="E4572" s="2" t="s">
        <v>108</v>
      </c>
      <c r="F4572" s="2" t="s">
        <v>39</v>
      </c>
      <c r="L4572" s="2" t="s">
        <v>398</v>
      </c>
      <c r="M4572" s="2" t="s">
        <v>40</v>
      </c>
      <c r="P4572" s="2" t="s">
        <v>40</v>
      </c>
      <c r="Q4572" s="2" t="s">
        <v>140</v>
      </c>
      <c r="R4572" s="2" t="s">
        <v>141</v>
      </c>
      <c r="S4572" s="13">
        <v>-1</v>
      </c>
      <c r="T4572" s="14">
        <v>-1126.29</v>
      </c>
      <c r="U4572" s="2">
        <f>T4572*23%</f>
        <v>-259.04669999999999</v>
      </c>
      <c r="V4572" s="2">
        <f t="shared" si="744"/>
        <v>-1385.3366999999998</v>
      </c>
      <c r="Z4572" s="2" t="s">
        <v>119</v>
      </c>
      <c r="AA4572" s="2" t="s">
        <v>142</v>
      </c>
      <c r="AK4572" s="2">
        <f t="shared" ref="AK4572:AK4591" si="750">T4572-W4572</f>
        <v>-1126.29</v>
      </c>
    </row>
    <row r="4573" spans="1:38" x14ac:dyDescent="0.2">
      <c r="A4573" s="2">
        <v>2026</v>
      </c>
      <c r="B4573" s="2">
        <v>8</v>
      </c>
      <c r="C4573" s="2" t="s">
        <v>3511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187</v>
      </c>
      <c r="Q4573" s="2" t="s">
        <v>3512</v>
      </c>
      <c r="R4573" s="2" t="s">
        <v>3513</v>
      </c>
      <c r="S4573" s="13">
        <v>-2</v>
      </c>
      <c r="T4573" s="14">
        <v>-253</v>
      </c>
      <c r="U4573" s="2">
        <f t="shared" ref="U4573:U4593" si="751">T4573*23%</f>
        <v>-58.190000000000005</v>
      </c>
      <c r="V4573" s="2">
        <f t="shared" ref="V4573:V4593" si="752">T4573+U4573</f>
        <v>-311.19</v>
      </c>
      <c r="Z4573" s="2" t="s">
        <v>117</v>
      </c>
      <c r="AA4573" s="2" t="s">
        <v>190</v>
      </c>
      <c r="AK4573" s="2">
        <f t="shared" si="750"/>
        <v>-253</v>
      </c>
    </row>
    <row r="4574" spans="1:38" x14ac:dyDescent="0.2">
      <c r="A4574" s="2">
        <v>2026</v>
      </c>
      <c r="B4574" s="2">
        <v>8</v>
      </c>
      <c r="C4574" s="2" t="s">
        <v>3511</v>
      </c>
      <c r="D4574" s="2" t="s">
        <v>2008</v>
      </c>
      <c r="E4574" s="2" t="s">
        <v>38</v>
      </c>
      <c r="F4574" s="2" t="s">
        <v>39</v>
      </c>
      <c r="L4574" s="2" t="s">
        <v>571</v>
      </c>
      <c r="M4574" s="2" t="s">
        <v>40</v>
      </c>
      <c r="P4574" s="2" t="s">
        <v>40</v>
      </c>
      <c r="Q4574" s="2" t="s">
        <v>140</v>
      </c>
      <c r="R4574" s="2" t="s">
        <v>141</v>
      </c>
      <c r="S4574" s="13">
        <v>-3</v>
      </c>
      <c r="T4574" s="14">
        <v>-330.73</v>
      </c>
      <c r="U4574" s="2">
        <f t="shared" si="751"/>
        <v>-76.067900000000009</v>
      </c>
      <c r="V4574" s="2">
        <f t="shared" si="752"/>
        <v>-406.79790000000003</v>
      </c>
      <c r="Z4574" s="2" t="s">
        <v>119</v>
      </c>
      <c r="AA4574" s="2" t="s">
        <v>142</v>
      </c>
      <c r="AK4574" s="2">
        <f t="shared" si="750"/>
        <v>-330.73</v>
      </c>
    </row>
    <row r="4575" spans="1:38" x14ac:dyDescent="0.2">
      <c r="A4575" s="2">
        <v>2026</v>
      </c>
      <c r="B4575" s="2">
        <v>8</v>
      </c>
      <c r="C4575" s="2" t="s">
        <v>3511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72</v>
      </c>
      <c r="Q4575" s="2" t="s">
        <v>78</v>
      </c>
      <c r="R4575" s="2" t="s">
        <v>79</v>
      </c>
      <c r="S4575" s="13">
        <v>-1</v>
      </c>
      <c r="T4575" s="14">
        <v>-195</v>
      </c>
      <c r="U4575" s="2">
        <f t="shared" si="751"/>
        <v>-44.85</v>
      </c>
      <c r="V4575" s="2">
        <f t="shared" si="752"/>
        <v>-239.85</v>
      </c>
      <c r="Z4575" s="2" t="s">
        <v>3226</v>
      </c>
      <c r="AA4575" s="2" t="s">
        <v>75</v>
      </c>
      <c r="AB4575" s="2" t="s">
        <v>76</v>
      </c>
      <c r="AC4575" s="2" t="s">
        <v>77</v>
      </c>
      <c r="AK4575" s="2">
        <f t="shared" si="750"/>
        <v>-195</v>
      </c>
    </row>
    <row r="4576" spans="1:38" x14ac:dyDescent="0.2">
      <c r="A4576" s="2">
        <v>2026</v>
      </c>
      <c r="B4576" s="2">
        <v>8</v>
      </c>
      <c r="C4576" s="2" t="s">
        <v>3511</v>
      </c>
      <c r="D4576" s="2" t="s">
        <v>428</v>
      </c>
      <c r="E4576" s="2" t="s">
        <v>38</v>
      </c>
      <c r="F4576" s="2" t="s">
        <v>39</v>
      </c>
      <c r="G4576" s="2">
        <v>500820384</v>
      </c>
      <c r="H4576" s="2" t="s">
        <v>40</v>
      </c>
      <c r="I4576" s="2" t="s">
        <v>429</v>
      </c>
      <c r="J4576" s="2" t="s">
        <v>430</v>
      </c>
      <c r="L4576" s="2" t="s">
        <v>99</v>
      </c>
      <c r="M4576" s="2" t="s">
        <v>40</v>
      </c>
      <c r="P4576" s="2" t="s">
        <v>93</v>
      </c>
      <c r="Q4576" s="2" t="s">
        <v>94</v>
      </c>
      <c r="R4576" s="2" t="s">
        <v>95</v>
      </c>
      <c r="S4576" s="13">
        <v>-1</v>
      </c>
      <c r="T4576" s="14">
        <v>-1.48</v>
      </c>
      <c r="U4576" s="2">
        <f t="shared" si="751"/>
        <v>-0.34040000000000004</v>
      </c>
      <c r="V4576" s="2">
        <f t="shared" si="752"/>
        <v>-1.8204</v>
      </c>
      <c r="W4576" s="2">
        <v>1.48</v>
      </c>
      <c r="Z4576" s="2" t="s">
        <v>3226</v>
      </c>
      <c r="AA4576" s="2" t="s">
        <v>96</v>
      </c>
      <c r="AB4576" s="2" t="s">
        <v>76</v>
      </c>
      <c r="AC4576" s="2" t="s">
        <v>93</v>
      </c>
      <c r="AK4576" s="2">
        <f t="shared" si="750"/>
        <v>-2.96</v>
      </c>
    </row>
    <row r="4577" spans="1:38" x14ac:dyDescent="0.2">
      <c r="A4577" s="2">
        <v>2026</v>
      </c>
      <c r="B4577" s="2">
        <v>8</v>
      </c>
      <c r="C4577" s="2" t="s">
        <v>3511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72</v>
      </c>
      <c r="Q4577" s="2" t="s">
        <v>73</v>
      </c>
      <c r="R4577" s="2" t="s">
        <v>74</v>
      </c>
      <c r="S4577" s="13">
        <v>1</v>
      </c>
      <c r="T4577" s="14">
        <v>230</v>
      </c>
      <c r="U4577" s="2">
        <f t="shared" si="751"/>
        <v>52.900000000000006</v>
      </c>
      <c r="V4577" s="2">
        <f t="shared" si="752"/>
        <v>282.89999999999998</v>
      </c>
      <c r="W4577" s="2">
        <v>133.4616</v>
      </c>
      <c r="X4577" s="5">
        <f t="shared" si="749"/>
        <v>0.41973217391304346</v>
      </c>
      <c r="Z4577" s="2" t="s">
        <v>3226</v>
      </c>
      <c r="AA4577" s="2" t="s">
        <v>75</v>
      </c>
      <c r="AB4577" s="2" t="s">
        <v>76</v>
      </c>
      <c r="AC4577" s="2" t="s">
        <v>77</v>
      </c>
      <c r="AK4577" s="2">
        <f t="shared" si="750"/>
        <v>96.538399999999996</v>
      </c>
      <c r="AL4577" s="5">
        <f t="shared" ref="AL4572:AL4591" si="753">(T4577-W4577)/T4577</f>
        <v>0.41973217391304346</v>
      </c>
    </row>
    <row r="4578" spans="1:38" x14ac:dyDescent="0.2">
      <c r="A4578" s="2">
        <v>2026</v>
      </c>
      <c r="B4578" s="2">
        <v>8</v>
      </c>
      <c r="C4578" s="2" t="s">
        <v>3511</v>
      </c>
      <c r="D4578" s="2" t="s">
        <v>1553</v>
      </c>
      <c r="E4578" s="2" t="s">
        <v>108</v>
      </c>
      <c r="F4578" s="2" t="s">
        <v>717</v>
      </c>
      <c r="G4578" s="2">
        <v>500975914</v>
      </c>
      <c r="H4578" s="2" t="s">
        <v>41</v>
      </c>
      <c r="I4578" s="2" t="s">
        <v>1554</v>
      </c>
      <c r="J4578" s="2" t="s">
        <v>1555</v>
      </c>
      <c r="L4578" s="2" t="s">
        <v>177</v>
      </c>
      <c r="M4578" s="2" t="s">
        <v>80</v>
      </c>
      <c r="P4578" s="2" t="s">
        <v>93</v>
      </c>
      <c r="Q4578" s="2" t="s">
        <v>94</v>
      </c>
      <c r="R4578" s="2" t="s">
        <v>95</v>
      </c>
      <c r="S4578" s="13">
        <v>1</v>
      </c>
      <c r="T4578" s="14">
        <v>1.48</v>
      </c>
      <c r="U4578" s="2">
        <f t="shared" si="751"/>
        <v>0.34040000000000004</v>
      </c>
      <c r="V4578" s="2">
        <f t="shared" si="752"/>
        <v>1.8204</v>
      </c>
      <c r="W4578" s="2">
        <v>1.48</v>
      </c>
      <c r="X4578" s="5">
        <f t="shared" si="749"/>
        <v>0</v>
      </c>
      <c r="Z4578" s="2" t="s">
        <v>3226</v>
      </c>
      <c r="AA4578" s="2" t="s">
        <v>96</v>
      </c>
      <c r="AB4578" s="2" t="s">
        <v>76</v>
      </c>
      <c r="AC4578" s="2" t="s">
        <v>93</v>
      </c>
      <c r="AK4578" s="2">
        <f t="shared" si="750"/>
        <v>0</v>
      </c>
      <c r="AL4578" s="5">
        <f t="shared" si="753"/>
        <v>0</v>
      </c>
    </row>
    <row r="4579" spans="1:38" x14ac:dyDescent="0.2">
      <c r="A4579" s="2">
        <v>2026</v>
      </c>
      <c r="B4579" s="2">
        <v>8</v>
      </c>
      <c r="C4579" s="2" t="s">
        <v>3511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187</v>
      </c>
      <c r="Q4579" s="2" t="s">
        <v>3512</v>
      </c>
      <c r="R4579" s="2" t="s">
        <v>3513</v>
      </c>
      <c r="S4579" s="13">
        <v>-6</v>
      </c>
      <c r="T4579" s="14">
        <v>-588</v>
      </c>
      <c r="U4579" s="2">
        <f t="shared" si="751"/>
        <v>-135.24</v>
      </c>
      <c r="V4579" s="2">
        <f t="shared" si="752"/>
        <v>-723.24</v>
      </c>
      <c r="Z4579" s="2" t="s">
        <v>117</v>
      </c>
      <c r="AA4579" s="2" t="s">
        <v>190</v>
      </c>
      <c r="AK4579" s="2">
        <f t="shared" si="750"/>
        <v>-588</v>
      </c>
      <c r="AL4579" s="5">
        <f t="shared" si="753"/>
        <v>1</v>
      </c>
    </row>
    <row r="4580" spans="1:38" x14ac:dyDescent="0.2">
      <c r="A4580" s="2">
        <v>2026</v>
      </c>
      <c r="B4580" s="2">
        <v>8</v>
      </c>
      <c r="C4580" s="2" t="s">
        <v>3511</v>
      </c>
      <c r="D4580" s="2" t="s">
        <v>816</v>
      </c>
      <c r="E4580" s="2" t="s">
        <v>38</v>
      </c>
      <c r="F4580" s="2" t="s">
        <v>39</v>
      </c>
      <c r="L4580" s="2" t="s">
        <v>480</v>
      </c>
      <c r="M4580" s="2" t="s">
        <v>40</v>
      </c>
      <c r="P4580" s="2" t="s">
        <v>40</v>
      </c>
      <c r="Q4580" s="2" t="s">
        <v>140</v>
      </c>
      <c r="R4580" s="2" t="s">
        <v>141</v>
      </c>
      <c r="S4580" s="13">
        <v>-2</v>
      </c>
      <c r="T4580" s="14">
        <v>-179.8</v>
      </c>
      <c r="U4580" s="2">
        <f t="shared" si="751"/>
        <v>-41.354000000000006</v>
      </c>
      <c r="V4580" s="2">
        <f t="shared" si="752"/>
        <v>-221.15400000000002</v>
      </c>
      <c r="Z4580" s="2" t="s">
        <v>119</v>
      </c>
      <c r="AA4580" s="2" t="s">
        <v>142</v>
      </c>
      <c r="AK4580" s="2">
        <f t="shared" si="750"/>
        <v>-179.8</v>
      </c>
    </row>
    <row r="4581" spans="1:38" x14ac:dyDescent="0.2">
      <c r="A4581" s="2">
        <v>2026</v>
      </c>
      <c r="B4581" s="2">
        <v>8</v>
      </c>
      <c r="C4581" s="2" t="s">
        <v>3511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72</v>
      </c>
      <c r="Q4581" s="2" t="s">
        <v>557</v>
      </c>
      <c r="R4581" s="2" t="s">
        <v>307</v>
      </c>
      <c r="S4581" s="13">
        <v>1</v>
      </c>
      <c r="T4581" s="14">
        <v>230</v>
      </c>
      <c r="U4581" s="2">
        <f t="shared" si="751"/>
        <v>52.900000000000006</v>
      </c>
      <c r="V4581" s="2">
        <f t="shared" si="752"/>
        <v>282.89999999999998</v>
      </c>
      <c r="W4581" s="2">
        <v>122.446</v>
      </c>
      <c r="X4581" s="5">
        <f t="shared" si="749"/>
        <v>0.46762608695652175</v>
      </c>
      <c r="Z4581" s="2" t="s">
        <v>3226</v>
      </c>
      <c r="AA4581" s="2" t="s">
        <v>75</v>
      </c>
      <c r="AB4581" s="2" t="s">
        <v>76</v>
      </c>
      <c r="AC4581" s="2" t="s">
        <v>77</v>
      </c>
      <c r="AK4581" s="2">
        <f t="shared" si="750"/>
        <v>107.554</v>
      </c>
      <c r="AL4581" s="5">
        <f t="shared" si="753"/>
        <v>0.46762608695652175</v>
      </c>
    </row>
    <row r="4582" spans="1:38" x14ac:dyDescent="0.2">
      <c r="A4582" s="2">
        <v>2026</v>
      </c>
      <c r="B4582" s="2">
        <v>8</v>
      </c>
      <c r="C4582" s="2" t="s">
        <v>3511</v>
      </c>
      <c r="D4582" s="2" t="s">
        <v>476</v>
      </c>
      <c r="E4582" s="2" t="s">
        <v>108</v>
      </c>
      <c r="F4582" s="2" t="s">
        <v>477</v>
      </c>
      <c r="G4582" s="2">
        <v>500864365</v>
      </c>
      <c r="H4582" s="2" t="s">
        <v>41</v>
      </c>
      <c r="I4582" s="2" t="s">
        <v>478</v>
      </c>
      <c r="J4582" s="2" t="s">
        <v>479</v>
      </c>
      <c r="L4582" s="2" t="s">
        <v>480</v>
      </c>
      <c r="M4582" s="2" t="s">
        <v>80</v>
      </c>
      <c r="P4582" s="2" t="s">
        <v>93</v>
      </c>
      <c r="Q4582" s="2" t="s">
        <v>94</v>
      </c>
      <c r="R4582" s="2" t="s">
        <v>95</v>
      </c>
      <c r="S4582" s="13">
        <v>1</v>
      </c>
      <c r="T4582" s="14">
        <v>1.48</v>
      </c>
      <c r="U4582" s="2">
        <f t="shared" si="751"/>
        <v>0.34040000000000004</v>
      </c>
      <c r="V4582" s="2">
        <f t="shared" si="752"/>
        <v>1.8204</v>
      </c>
      <c r="W4582" s="2">
        <v>1.48</v>
      </c>
      <c r="X4582" s="5">
        <f t="shared" si="749"/>
        <v>0</v>
      </c>
      <c r="Z4582" s="2" t="s">
        <v>3226</v>
      </c>
      <c r="AA4582" s="2" t="s">
        <v>96</v>
      </c>
      <c r="AB4582" s="2" t="s">
        <v>76</v>
      </c>
      <c r="AC4582" s="2" t="s">
        <v>93</v>
      </c>
      <c r="AK4582" s="2">
        <f t="shared" si="750"/>
        <v>0</v>
      </c>
      <c r="AL4582" s="5">
        <f t="shared" si="753"/>
        <v>0</v>
      </c>
    </row>
    <row r="4583" spans="1:38" x14ac:dyDescent="0.2">
      <c r="A4583" s="2">
        <v>2026</v>
      </c>
      <c r="B4583" s="2">
        <v>8</v>
      </c>
      <c r="C4583" s="2" t="s">
        <v>3511</v>
      </c>
      <c r="D4583" s="2" t="s">
        <v>3337</v>
      </c>
      <c r="E4583" s="2" t="s">
        <v>38</v>
      </c>
      <c r="F4583" s="2" t="s">
        <v>39</v>
      </c>
      <c r="L4583" s="2" t="s">
        <v>133</v>
      </c>
      <c r="M4583" s="2" t="s">
        <v>40</v>
      </c>
      <c r="P4583" s="2" t="s">
        <v>40</v>
      </c>
      <c r="Q4583" s="2" t="s">
        <v>140</v>
      </c>
      <c r="R4583" s="2" t="s">
        <v>141</v>
      </c>
      <c r="S4583" s="13">
        <v>-5</v>
      </c>
      <c r="T4583" s="14">
        <v>-1124.74</v>
      </c>
      <c r="U4583" s="2">
        <f t="shared" si="751"/>
        <v>-258.6902</v>
      </c>
      <c r="V4583" s="2">
        <f t="shared" si="752"/>
        <v>-1383.4302</v>
      </c>
      <c r="Z4583" s="2" t="s">
        <v>119</v>
      </c>
      <c r="AA4583" s="2" t="s">
        <v>142</v>
      </c>
      <c r="AK4583" s="2">
        <f t="shared" si="750"/>
        <v>-1124.74</v>
      </c>
    </row>
    <row r="4584" spans="1:38" x14ac:dyDescent="0.2">
      <c r="A4584" s="2">
        <v>2026</v>
      </c>
      <c r="B4584" s="2">
        <v>8</v>
      </c>
      <c r="C4584" s="2" t="s">
        <v>3511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72</v>
      </c>
      <c r="Q4584" s="2" t="s">
        <v>301</v>
      </c>
      <c r="R4584" s="2" t="s">
        <v>74</v>
      </c>
      <c r="S4584" s="13">
        <v>1</v>
      </c>
      <c r="T4584" s="14">
        <v>230</v>
      </c>
      <c r="U4584" s="2">
        <f t="shared" si="751"/>
        <v>52.900000000000006</v>
      </c>
      <c r="V4584" s="2">
        <f t="shared" si="752"/>
        <v>282.89999999999998</v>
      </c>
      <c r="W4584" s="2">
        <f>123.48+12.2</f>
        <v>135.68</v>
      </c>
      <c r="X4584" s="5">
        <f t="shared" si="749"/>
        <v>0.4100869565217391</v>
      </c>
      <c r="Z4584" s="2" t="s">
        <v>3226</v>
      </c>
      <c r="AA4584" s="2" t="s">
        <v>75</v>
      </c>
      <c r="AB4584" s="2" t="s">
        <v>76</v>
      </c>
      <c r="AC4584" s="2" t="s">
        <v>77</v>
      </c>
      <c r="AK4584" s="2">
        <f t="shared" si="750"/>
        <v>94.32</v>
      </c>
      <c r="AL4584" s="5">
        <f t="shared" si="753"/>
        <v>0.4100869565217391</v>
      </c>
    </row>
    <row r="4585" spans="1:38" x14ac:dyDescent="0.2">
      <c r="A4585" s="2">
        <v>2026</v>
      </c>
      <c r="B4585" s="2">
        <v>8</v>
      </c>
      <c r="C4585" s="2" t="s">
        <v>3511</v>
      </c>
      <c r="D4585" s="2" t="s">
        <v>2536</v>
      </c>
      <c r="E4585" s="2" t="s">
        <v>38</v>
      </c>
      <c r="F4585" s="2" t="s">
        <v>39</v>
      </c>
      <c r="L4585" s="2" t="s">
        <v>339</v>
      </c>
      <c r="M4585" s="2" t="s">
        <v>80</v>
      </c>
      <c r="P4585" s="2" t="s">
        <v>93</v>
      </c>
      <c r="Q4585" s="2" t="s">
        <v>94</v>
      </c>
      <c r="R4585" s="2" t="s">
        <v>95</v>
      </c>
      <c r="S4585" s="13">
        <v>1</v>
      </c>
      <c r="T4585" s="14">
        <v>1.48</v>
      </c>
      <c r="U4585" s="2">
        <f t="shared" si="751"/>
        <v>0.34040000000000004</v>
      </c>
      <c r="V4585" s="2">
        <f t="shared" si="752"/>
        <v>1.8204</v>
      </c>
      <c r="W4585" s="2">
        <v>1.48</v>
      </c>
      <c r="X4585" s="5">
        <f t="shared" si="749"/>
        <v>0</v>
      </c>
      <c r="Z4585" s="2" t="s">
        <v>3226</v>
      </c>
      <c r="AA4585" s="2" t="s">
        <v>96</v>
      </c>
      <c r="AB4585" s="2" t="s">
        <v>76</v>
      </c>
      <c r="AC4585" s="2" t="s">
        <v>93</v>
      </c>
      <c r="AK4585" s="2">
        <f t="shared" si="750"/>
        <v>0</v>
      </c>
      <c r="AL4585" s="5">
        <f t="shared" si="753"/>
        <v>0</v>
      </c>
    </row>
    <row r="4586" spans="1:38" x14ac:dyDescent="0.2">
      <c r="A4586" s="2">
        <v>2026</v>
      </c>
      <c r="B4586" s="2">
        <v>8</v>
      </c>
      <c r="C4586" s="2" t="s">
        <v>3511</v>
      </c>
      <c r="D4586" s="2" t="s">
        <v>530</v>
      </c>
      <c r="E4586" s="2" t="s">
        <v>108</v>
      </c>
      <c r="F4586" s="2" t="s">
        <v>531</v>
      </c>
      <c r="G4586" s="2">
        <v>502139552</v>
      </c>
      <c r="H4586" s="2" t="s">
        <v>40</v>
      </c>
      <c r="I4586" s="2" t="s">
        <v>339</v>
      </c>
      <c r="J4586" s="2" t="s">
        <v>532</v>
      </c>
      <c r="L4586" s="2" t="s">
        <v>339</v>
      </c>
      <c r="M4586" s="2" t="s">
        <v>40</v>
      </c>
      <c r="P4586" s="2" t="s">
        <v>40</v>
      </c>
      <c r="Q4586" s="2" t="s">
        <v>140</v>
      </c>
      <c r="R4586" s="2" t="s">
        <v>141</v>
      </c>
      <c r="S4586" s="13">
        <v>-1</v>
      </c>
      <c r="T4586" s="14">
        <v>-25.69</v>
      </c>
      <c r="U4586" s="2">
        <f t="shared" si="751"/>
        <v>-5.9087000000000005</v>
      </c>
      <c r="V4586" s="2">
        <f t="shared" si="752"/>
        <v>-31.598700000000001</v>
      </c>
      <c r="Z4586" s="2" t="s">
        <v>119</v>
      </c>
      <c r="AA4586" s="2" t="s">
        <v>142</v>
      </c>
      <c r="AK4586" s="2">
        <f t="shared" si="750"/>
        <v>-25.69</v>
      </c>
    </row>
    <row r="4587" spans="1:38" x14ac:dyDescent="0.2">
      <c r="A4587" s="2">
        <v>2026</v>
      </c>
      <c r="B4587" s="2">
        <v>8</v>
      </c>
      <c r="C4587" s="2" t="s">
        <v>3511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72</v>
      </c>
      <c r="Q4587" s="2" t="s">
        <v>306</v>
      </c>
      <c r="R4587" s="2" t="s">
        <v>307</v>
      </c>
      <c r="S4587" s="13">
        <v>-1</v>
      </c>
      <c r="T4587" s="14">
        <v>-230</v>
      </c>
      <c r="U4587" s="2">
        <f t="shared" si="751"/>
        <v>-52.900000000000006</v>
      </c>
      <c r="V4587" s="2">
        <f t="shared" si="752"/>
        <v>-282.89999999999998</v>
      </c>
      <c r="W4587" s="2">
        <v>134.57</v>
      </c>
      <c r="Z4587" s="2" t="s">
        <v>3226</v>
      </c>
      <c r="AA4587" s="2" t="s">
        <v>75</v>
      </c>
      <c r="AB4587" s="2" t="s">
        <v>76</v>
      </c>
      <c r="AC4587" s="2" t="s">
        <v>77</v>
      </c>
      <c r="AK4587" s="2">
        <f t="shared" si="750"/>
        <v>-364.57</v>
      </c>
    </row>
    <row r="4588" spans="1:38" x14ac:dyDescent="0.2">
      <c r="A4588" s="2">
        <v>2026</v>
      </c>
      <c r="B4588" s="2">
        <v>8</v>
      </c>
      <c r="C4588" s="2" t="s">
        <v>3511</v>
      </c>
      <c r="D4588" s="2" t="s">
        <v>1622</v>
      </c>
      <c r="E4588" s="2" t="s">
        <v>108</v>
      </c>
      <c r="F4588" s="2" t="s">
        <v>477</v>
      </c>
      <c r="G4588" s="2">
        <v>504161342</v>
      </c>
      <c r="H4588" s="2" t="s">
        <v>290</v>
      </c>
      <c r="I4588" s="2" t="s">
        <v>1623</v>
      </c>
      <c r="J4588" s="2" t="s">
        <v>1624</v>
      </c>
      <c r="L4588" s="2" t="s">
        <v>293</v>
      </c>
      <c r="M4588" s="2" t="s">
        <v>40</v>
      </c>
      <c r="P4588" s="2" t="s">
        <v>93</v>
      </c>
      <c r="Q4588" s="2" t="s">
        <v>94</v>
      </c>
      <c r="R4588" s="2" t="s">
        <v>95</v>
      </c>
      <c r="S4588" s="13">
        <v>-1</v>
      </c>
      <c r="T4588" s="14">
        <v>-1.48</v>
      </c>
      <c r="U4588" s="2">
        <f t="shared" si="751"/>
        <v>-0.34040000000000004</v>
      </c>
      <c r="V4588" s="2">
        <f t="shared" si="752"/>
        <v>-1.8204</v>
      </c>
      <c r="W4588" s="2">
        <v>1.48</v>
      </c>
      <c r="Z4588" s="2" t="s">
        <v>3226</v>
      </c>
      <c r="AA4588" s="2" t="s">
        <v>96</v>
      </c>
      <c r="AB4588" s="2" t="s">
        <v>76</v>
      </c>
      <c r="AC4588" s="2" t="s">
        <v>93</v>
      </c>
      <c r="AK4588" s="2">
        <f t="shared" si="750"/>
        <v>-2.96</v>
      </c>
    </row>
    <row r="4589" spans="1:38" x14ac:dyDescent="0.2">
      <c r="A4589" s="2">
        <v>2026</v>
      </c>
      <c r="B4589" s="2">
        <v>8</v>
      </c>
      <c r="C4589" s="2" t="s">
        <v>3511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2486</v>
      </c>
      <c r="R4589" s="2" t="s">
        <v>2487</v>
      </c>
      <c r="S4589" s="13">
        <v>1</v>
      </c>
      <c r="T4589" s="14">
        <v>225.71</v>
      </c>
      <c r="U4589" s="2">
        <f t="shared" si="751"/>
        <v>51.913300000000007</v>
      </c>
      <c r="V4589" s="2">
        <f t="shared" si="752"/>
        <v>277.62330000000003</v>
      </c>
      <c r="W4589" s="2">
        <v>102.88249999999999</v>
      </c>
      <c r="X4589" s="5">
        <f t="shared" si="749"/>
        <v>0.54418280093925842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750"/>
        <v>122.82750000000001</v>
      </c>
      <c r="AL4589" s="5">
        <f t="shared" si="753"/>
        <v>0.54418280093925842</v>
      </c>
    </row>
    <row r="4590" spans="1:38" x14ac:dyDescent="0.2">
      <c r="A4590" s="2">
        <v>2026</v>
      </c>
      <c r="B4590" s="2">
        <v>8</v>
      </c>
      <c r="C4590" s="2" t="s">
        <v>3511</v>
      </c>
      <c r="D4590" s="2" t="s">
        <v>582</v>
      </c>
      <c r="E4590" s="2" t="s">
        <v>108</v>
      </c>
      <c r="F4590" s="2" t="s">
        <v>39</v>
      </c>
      <c r="G4590" s="2">
        <v>503850276</v>
      </c>
      <c r="H4590" s="2" t="s">
        <v>40</v>
      </c>
      <c r="I4590" s="2" t="s">
        <v>583</v>
      </c>
      <c r="J4590" s="2" t="s">
        <v>584</v>
      </c>
      <c r="L4590" s="2" t="s">
        <v>201</v>
      </c>
      <c r="M4590" s="2" t="s">
        <v>40</v>
      </c>
      <c r="P4590" s="2" t="s">
        <v>114</v>
      </c>
      <c r="Q4590" s="2" t="s">
        <v>2489</v>
      </c>
      <c r="R4590" s="2" t="s">
        <v>2490</v>
      </c>
      <c r="S4590" s="13">
        <v>1</v>
      </c>
      <c r="T4590" s="14">
        <v>29.77</v>
      </c>
      <c r="U4590" s="2">
        <f t="shared" si="751"/>
        <v>6.8471000000000002</v>
      </c>
      <c r="V4590" s="2">
        <f t="shared" si="752"/>
        <v>36.617100000000001</v>
      </c>
      <c r="W4590" s="2">
        <v>15</v>
      </c>
      <c r="X4590" s="5">
        <f t="shared" si="749"/>
        <v>0.49613705072220354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750"/>
        <v>14.77</v>
      </c>
      <c r="AL4590" s="5">
        <f t="shared" si="753"/>
        <v>0.49613705072220354</v>
      </c>
    </row>
    <row r="4591" spans="1:38" x14ac:dyDescent="0.2">
      <c r="A4591" s="2">
        <v>2026</v>
      </c>
      <c r="B4591" s="2">
        <v>8</v>
      </c>
      <c r="C4591" s="2" t="s">
        <v>3511</v>
      </c>
      <c r="D4591" s="2" t="s">
        <v>3514</v>
      </c>
      <c r="E4591" s="2" t="s">
        <v>3418</v>
      </c>
      <c r="F4591" s="2" t="s">
        <v>3419</v>
      </c>
      <c r="L4591" s="2" t="s">
        <v>2438</v>
      </c>
      <c r="M4591" s="2" t="s">
        <v>40</v>
      </c>
      <c r="P4591" s="2" t="s">
        <v>114</v>
      </c>
      <c r="Q4591" s="2" t="s">
        <v>3357</v>
      </c>
      <c r="R4591" s="2" t="s">
        <v>1100</v>
      </c>
      <c r="S4591" s="13">
        <v>1</v>
      </c>
      <c r="T4591" s="14">
        <v>105.42</v>
      </c>
      <c r="U4591" s="2">
        <f t="shared" si="751"/>
        <v>24.246600000000001</v>
      </c>
      <c r="V4591" s="2">
        <f t="shared" si="752"/>
        <v>129.66660000000002</v>
      </c>
      <c r="W4591" s="2">
        <f>49.96+0.65</f>
        <v>50.61</v>
      </c>
      <c r="X4591" s="5">
        <f t="shared" si="749"/>
        <v>0.51992031872509958</v>
      </c>
      <c r="Z4591" s="2" t="s">
        <v>117</v>
      </c>
      <c r="AA4591" s="2" t="s">
        <v>118</v>
      </c>
      <c r="AB4591" s="2" t="s">
        <v>119</v>
      </c>
      <c r="AC4591" s="2" t="s">
        <v>114</v>
      </c>
      <c r="AK4591" s="2">
        <f t="shared" si="750"/>
        <v>54.81</v>
      </c>
      <c r="AL4591" s="5">
        <f t="shared" si="753"/>
        <v>0.51992031872509958</v>
      </c>
    </row>
    <row r="4592" spans="1:38" x14ac:dyDescent="0.2">
      <c r="A4592" s="2">
        <v>2026</v>
      </c>
      <c r="B4592" s="2">
        <v>8</v>
      </c>
      <c r="C4592" s="2" t="s">
        <v>3511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188</v>
      </c>
      <c r="R4592" s="2" t="s">
        <v>189</v>
      </c>
      <c r="S4592" s="13">
        <v>-1</v>
      </c>
      <c r="T4592" s="14">
        <v>-52</v>
      </c>
      <c r="U4592" s="2">
        <f t="shared" si="751"/>
        <v>-11.96</v>
      </c>
      <c r="V4592" s="2">
        <f t="shared" si="752"/>
        <v>-63.96</v>
      </c>
      <c r="Z4592" s="2" t="s">
        <v>117</v>
      </c>
      <c r="AA4592" s="2" t="s">
        <v>190</v>
      </c>
      <c r="AB4592" s="2" t="s">
        <v>189</v>
      </c>
      <c r="AC4592" s="2" t="s">
        <v>40</v>
      </c>
      <c r="AK4592" s="2">
        <f t="shared" ref="AK4592:AK4593" si="754">T4592-W4592</f>
        <v>-52</v>
      </c>
    </row>
    <row r="4593" spans="1:37" x14ac:dyDescent="0.2">
      <c r="A4593" s="2">
        <v>2026</v>
      </c>
      <c r="B4593" s="2">
        <v>8</v>
      </c>
      <c r="C4593" s="2" t="s">
        <v>3511</v>
      </c>
      <c r="D4593" s="2" t="s">
        <v>674</v>
      </c>
      <c r="E4593" s="2" t="s">
        <v>38</v>
      </c>
      <c r="F4593" s="2" t="s">
        <v>39</v>
      </c>
      <c r="G4593" s="2">
        <v>502616695</v>
      </c>
      <c r="H4593" s="2" t="s">
        <v>40</v>
      </c>
      <c r="I4593" s="2" t="s">
        <v>1623</v>
      </c>
      <c r="J4593" s="2" t="s">
        <v>3169</v>
      </c>
      <c r="L4593" s="2" t="s">
        <v>339</v>
      </c>
      <c r="M4593" s="2" t="s">
        <v>40</v>
      </c>
      <c r="P4593" s="2" t="s">
        <v>187</v>
      </c>
      <c r="Q4593" s="2" t="s">
        <v>191</v>
      </c>
      <c r="R4593" s="2" t="s">
        <v>190</v>
      </c>
      <c r="S4593" s="13">
        <v>-1</v>
      </c>
      <c r="T4593" s="14">
        <v>-50</v>
      </c>
      <c r="U4593" s="2">
        <f t="shared" si="751"/>
        <v>-11.5</v>
      </c>
      <c r="V4593" s="2">
        <f t="shared" si="752"/>
        <v>-61.5</v>
      </c>
      <c r="Z4593" s="2" t="s">
        <v>117</v>
      </c>
      <c r="AA4593" s="2" t="s">
        <v>190</v>
      </c>
      <c r="AB4593" s="2" t="s">
        <v>190</v>
      </c>
      <c r="AC4593" s="2" t="s">
        <v>40</v>
      </c>
      <c r="AK4593" s="2">
        <f t="shared" si="754"/>
        <v>-50</v>
      </c>
    </row>
  </sheetData>
  <autoFilter ref="A1:AL4593" xr:uid="{00000000-0001-0000-0000-000000000000}"/>
  <sortState xmlns:xlrd2="http://schemas.microsoft.com/office/spreadsheetml/2017/richdata2" ref="A2:AL4276">
    <sortCondition ref="A2:A4276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2026-08-04T09:14:17Z</dcterms:modified>
</cp:coreProperties>
</file>