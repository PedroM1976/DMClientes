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B41CC13F-AE68-4904-B86F-1A184A6911D3}" xr6:coauthVersionLast="47" xr6:coauthVersionMax="47" xr10:uidLastSave="{00000000-0000-0000-0000-000000000000}"/>
  <bookViews>
    <workbookView xWindow="-28920" yWindow="321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624" i="1" l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2" i="1"/>
  <c r="AL4622" i="1"/>
  <c r="AK4623" i="1"/>
  <c r="AL4623" i="1"/>
  <c r="AK4624" i="1"/>
  <c r="AL4624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4" i="1"/>
  <c r="X4626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L3534" i="1"/>
  <c r="AK3534" i="1"/>
  <c r="AJ3534" i="1"/>
  <c r="AF3534" i="1" s="1"/>
  <c r="X3534" i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625" i="1" l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X2928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<sst xmlns="http://schemas.openxmlformats.org/spreadsheetml/2006/main" count="62413" uniqueCount="3531">
  <si>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</si>
  <si>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</si>
  <si>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</si>
  <si>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</si>
  <si>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</si>
  <si>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</si>
  <si>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</si>
  <si>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</si>
  <si>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</si>
  <si>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</si>
  <si>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</si>
  <si>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</si>
  <si>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</si>
  <si>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</si>
  <si>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</si>
  <si>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</si>
  <si>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</si>
  <si>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</si>
  <si>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</si>
  <si>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</si>
  <si>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</si>
  <si>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</si>
  <si>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</si>
  <si>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</si>
  <si>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</si>
  <si>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</si>
  <si>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</si>
  <si>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</si>
  <si>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</si>
  <si>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</si>
  <si>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</si>
  <si>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</si>
  <si>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</si>
  <si>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</si>
  <si>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</si>
  <si>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</si>
  <si>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</si>
  <si>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</si>
  <si>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</si>
  <si>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</si>
  <si>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</si>
  <si>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</si>
  <si>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</si>
  <si>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</si>
  <si>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</si>
  <si>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</si>
  <si>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</si>
  <si>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</si>
  <si>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</si>
  <si>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</si>
  <si>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</si>
  <si>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</si>
  <si>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</si>
  <si>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</si>
  <si>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</si>
  <si>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</si>
  <si>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</si>
  <si>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</si>
  <si>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</si>
  <si>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</si>
  <si>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</si>
  <si>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</si>
  <si>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</si>
  <si>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</si>
  <si>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</si>
  <si>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</si>
  <si>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</si>
  <si>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</si>
  <si>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</si>
  <si>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</si>
  <si>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</si>
  <si>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</si>
  <si>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</si>
  <si>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</si>
  <si>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</si>
  <si>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</si>
  <si>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</si>
  <si>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</si>
  <si>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</si>
  <si>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</si>
  <si>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</si>
  <si>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</si>
  <si>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</si>
  <si>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</si>
  <si>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</si>
  <si>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</si>
  <si>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</si>
  <si>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</si>
  <si>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</si>
  <si>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</si>
  <si>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</si>
  <si>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</si>
  <si>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</si>
  <si>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</si>
  <si>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</si>
  <si>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</si>
  <si>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</si>
  <si>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</si>
  <si>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</si>
  <si>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</si>
  <si>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</si>
  <si>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</si>
  <si>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</si>
  <si>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</si>
  <si>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</si>
  <si>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</si>
  <si>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</si>
  <si>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</si>
  <si>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</si>
  <si>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</si>
  <si>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</si>
  <si>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</si>
  <si>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</si>
  <si>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</si>
  <si>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</si>
  <si>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</si>
  <si>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</si>
  <si>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</si>
  <si>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</si>
  <si>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</si>
  <si>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</si>
  <si>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</si>
  <si>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</si>
  <si>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</si>
  <si>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</si>
  <si>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</si>
  <si>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</si>
  <si>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</si>
  <si>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</si>
  <si>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</si>
  <si>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</si>
  <si>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</si>
  <si>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</si>
  <si>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</si>
  <si>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</si>
  <si>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</si>
  <si>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</si>
  <si>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</si>
  <si>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</si>
  <si>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</si>
  <si>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</si>
  <si>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</si>
  <si>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</si>
  <si>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</si>
  <si>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</si>
  <si>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</si>
  <si>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</si>
  <si>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</si>
  <si>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</si>
  <si>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</si>
  <si>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</si>
  <si>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</si>
  <si>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</si>
  <si>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</si>
  <si>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</si>
  <si>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</si>
  <si>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</si>
  <si>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</si>
  <si>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</si>
  <si>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</si>
  <si>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</si>
  <si>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</si>
  <si>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</si>
  <si>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</si>
  <si>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</si>
  <si>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</si>
  <si>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</si>
  <si>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</si>
  <si>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</si>
  <si>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</si>
  <si>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</si>
  <si>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</si>
  <si>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</si>
  <si>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</si>
  <si>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</si>
  <si>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</si>
  <si>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</si>
  <si>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</si>
  <si>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</si>
  <si>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</si>
  <si>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</si>
  <si>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</si>
  <si>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</si>
  <si>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</si>
  <si>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</si>
  <si>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</si>
  <si>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</si>
  <si>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</si>
  <si>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</si>
  <si>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</si>
  <si>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</si>
  <si>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</si>
  <si>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</si>
  <si>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</si>
  <si>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</si>
  <si>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</si>
  <si>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</si>
  <si>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</si>
  <si>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</si>
  <si>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</si>
  <si>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</si>
  <si>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</si>
  <si>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</si>
  <si>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</si>
  <si>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</si>
  <si>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</si>
  <si>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</si>
  <si>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</si>
  <si>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</si>
  <si>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</si>
  <si>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</si>
  <si>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</si>
  <si>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</si>
  <si>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</si>
  <si>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</si>
  <si>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</si>
  <si>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</si>
  <si>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</si>
  <si>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</si>
  <si>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</si>
  <si>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</si>
  <si>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</si>
  <si>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</si>
  <si>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</si>
  <si>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</si>
  <si>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</si>
  <si>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</si>
  <si>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</si>
  <si>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</si>
  <si>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</si>
  <si>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</si>
  <si>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</si>
  <si>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</si>
  <si>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</si>
  <si>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</si>
  <si>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</si>
  <si>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</si>
  <si>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</si>
  <si>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</si>
  <si>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</si>
  <si>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</si>
  <si>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</si>
  <si>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</si>
  <si>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</si>
  <si>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</si>
  <si>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</si>
  <si>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</si>
  <si>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</si>
  <si>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</si>
  <si>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</si>
  <si>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</si>
  <si>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</si>
  <si>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</si>
  <si>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</si>
  <si>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</si>
  <si>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</si>
  <si>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</si>
  <si>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</si>
  <si>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</si>
  <si>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</si>
  <si>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</si>
  <si>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</si>
  <si>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</si>
  <si>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</si>
  <si>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</si>
  <si>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</si>
  <si>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</si>
  <si>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</si>
  <si>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</si>
  <si>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</si>
  <si>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</si>
  <si>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</si>
  <si>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</si>
  <si>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</si>
  <si>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</si>
  <si>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</si>
  <si>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</si>
  <si>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</si>
  <si>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</si>
  <si>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</si>
  <si>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</si>
  <si>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</si>
  <si>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</si>
  <si>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</si>
  <si>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</si>
  <si>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</si>
  <si>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</si>
  <si>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</si>
  <si>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</si>
  <si>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</si>
  <si>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</si>
  <si>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</si>
  <si>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</si>
  <si>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</si>
  <si>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</si>
  <si>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</si>
  <si>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</si>
  <si>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</si>
  <si>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</si>
  <si>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</si>
  <si>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</si>
  <si>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</si>
  <si>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</si>
  <si>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</si>
  <si>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</si>
  <si>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</si>
  <si>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</si>
  <si>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</si>
  <si>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</si>
  <si>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</si>
  <si>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</si>
  <si>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</si>
  <si>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</si>
  <si>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</si>
  <si>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</si>
  <si>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</si>
  <si>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</si>
  <si>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</si>
  <si>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</si>
  <si>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</si>
  <si>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</si>
  <si>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</si>
  <si>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</si>
  <si>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</si>
  <si>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</si>
  <si>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</si>
  <si>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</si>
  <si>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</si>
  <si>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</si>
  <si>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</si>
  <si>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</si>
  <si>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</si>
  <si>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</si>
  <si>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</si>
  <si>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</si>
  <si>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</si>
  <si>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</si>
  <si>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</si>
  <si>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</si>
  <si>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</si>
  <si>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</si>
  <si>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</si>
  <si>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</si>
  <si>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</si>
  <si>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</si>
  <si>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</si>
  <si>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</si>
  <si>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</si>
  <si>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</si>
  <si>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</si>
  <si>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</si>
  <si>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</si>
  <si>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</si>
  <si>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</si>
  <si>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</si>
  <si>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</si>
  <si>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</si>
  <si>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</si>
  <si>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</si>
  <si>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</si>
  <si>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</si>
  <si>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</si>
  <si>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</si>
  <si>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</si>
  <si>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</si>
  <si>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</si>
  <si>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</si>
  <si>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</si>
  <si>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</si>
  <si>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</si>
  <si>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</si>
  <si>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</si>
  <si>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</si>
  <si>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</si>
  <si>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</si>
  <si>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</si>
  <si>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</si>
  <si>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</si>
  <si>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</si>
  <si>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</si>
  <si>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</si>
  <si>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</si>
  <si>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</si>
  <si>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</si>
  <si>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</si>
  <si>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</si>
  <si>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</si>
  <si>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</si>
  <si>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</si>
  <si>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</si>
  <si>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</si>
  <si>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</si>
  <si>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</si>
  <si>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</si>
  <si>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</si>
  <si>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</si>
  <si>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</si>
  <si>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</si>
  <si>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</si>
  <si>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</si>
  <si>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</si>
  <si>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</si>
  <si>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</si>
  <si>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</si>
  <si>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</si>
  <si>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</si>
  <si>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</si>
  <si>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</si>
  <si>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</si>
  <si>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</si>
  <si>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</si>
  <si>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</si>
  <si>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</si>
  <si>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</si>
  <si>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</si>
  <si>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</si>
  <si>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</si>
  <si>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</si>
  <si>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</si>
  <si>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</si>
  <si>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</si>
  <si>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</si>
  <si>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</si>
  <si>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</si>
  <si>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</si>
  <si>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</si>
  <si>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</si>
  <si>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</si>
  <si>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</si>
  <si>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</si>
  <si>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</si>
  <si>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</si>
  <si>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</si>
  <si>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</si>
  <si>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</si>
  <si>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</si>
  <si>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</si>
  <si>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</si>
  <si>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</si>
  <si>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</si>
  <si>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</si>
  <si>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</si>
  <si>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</si>
  <si>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</si>
  <si>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</si>
  <si>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</si>
  <si>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</si>
  <si>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</si>
  <si>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</si>
  <si>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</si>
  <si>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</si>
  <si>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</si>
  <si>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</si>
  <si>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</si>
  <si>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</si>
  <si>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</si>
  <si>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</si>
  <si>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</si>
  <si>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</si>
  <si>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</si>
  <si>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</si>
  <si>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</si>
  <si>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</si>
  <si>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</si>
  <si>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</si>
  <si>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</si>
  <si>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</si>
  <si>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</si>
  <si>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</si>
  <si>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</si>
  <si>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</si>
  <si>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</si>
  <si>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</si>
  <si>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</si>
  <si>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</si>
  <si>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</si>
  <si>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</si>
  <si>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</si>
  <si>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</si>
  <si>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</si>
  <si>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</si>
  <si>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</si>
  <si>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</si>
  <si>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</si>
  <si>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</si>
  <si>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</si>
  <si>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</si>
  <si>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</si>
  <si>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</si>
  <si>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</si>
  <si>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</si>
  <si>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</si>
  <si>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</si>
  <si>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</si>
  <si>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</si>
  <si>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</si>
  <si>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</si>
  <si>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</si>
  <si>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</si>
  <si>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</si>
  <si>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</si>
  <si>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</si>
  <si>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</si>
  <si>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</si>
  <si>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</si>
  <si>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</si>
  <si>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</si>
  <si>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</si>
  <si>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</si>
  <si>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</si>
  <si>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</si>
  <si>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</si>
  <si>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</si>
  <si>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</si>
  <si>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</si>
  <si>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</si>
  <si>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</si>
  <si>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</si>
  <si>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</si>
  <si>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</si>
  <si>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</si>
  <si>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</si>
  <si>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</si>
  <si>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</si>
  <si>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</si>
  <si>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</si>
  <si>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</si>
  <si>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</si>
  <si>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</si>
  <si>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</si>
  <si>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</si>
  <si>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</si>
  <si>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</si>
  <si>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</si>
  <si>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</si>
  <si>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</si>
  <si>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</si>
  <si>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</si>
  <si>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</si>
  <si>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</si>
  <si>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</si>
  <si>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</si>
  <si>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</si>
  <si>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</si>
  <si>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</si>
  <si>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</si>
  <si>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</si>
  <si>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</si>
  <si>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</si>
  <si>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</si>
  <si>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</si>
  <si>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</si>
  <si>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</si>
  <si>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</si>
  <si>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</si>
  <si>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</si>
  <si>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</si>
  <si>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</si>
  <si>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</si>
  <si>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</si>
  <si>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</si>
  <si>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</si>
  <si>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</si>
  <si>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</si>
  <si>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</si>
  <si>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</si>
  <si>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</si>
  <si>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</si>
  <si>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</si>
  <si>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</si>
  <si>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</si>
  <si>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</si>
  <si>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</si>
  <si>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</si>
  <si>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</si>
  <si>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</si>
  <si>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</si>
  <si>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</si>
  <si>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</si>
  <si>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</si>
  <si>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</si>
  <si>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</si>
  <si>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</si>
  <si>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</si>
  <si>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</si>
  <si>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</si>
  <si>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</si>
  <si>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</si>
  <si>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</si>
  <si>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</si>
  <si>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</si>
  <si>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</si>
  <si>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</si>
  <si>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</si>
  <si>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</si>
  <si>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</si>
  <si>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</si>
  <si>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</si>
  <si>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</si>
  <si>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</si>
  <si>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</si>
  <si>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</si>
  <si>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</si>
  <si>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</si>
  <si>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</si>
  <si>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</si>
  <si>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</si>
  <si>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</si>
  <si>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</si>
  <si>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</si>
  <si>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</si>
  <si>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</si>
  <si>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</si>
  <si>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</si>
  <si>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</si>
  <si>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</si>
  <si>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</si>
  <si>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</si>
  <si>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</si>
  <si>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</si>
  <si>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</si>
  <si>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</si>
  <si>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</si>
  <si>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</si>
  <si>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</si>
  <si>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</si>
  <si>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</si>
  <si>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</si>
  <si>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</si>
  <si>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</si>
  <si>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</si>
  <si>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</si>
  <si>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</si>
  <si>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</si>
  <si>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</si>
  <si>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</si>
  <si>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</si>
  <si>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</si>
  <si>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</si>
  <si>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</si>
  <si>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</si>
  <si>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</si>
  <si>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</si>
  <si>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</si>
  <si>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</si>
  <si>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</si>
  <si>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</si>
  <si>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</si>
  <si>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</si>
  <si>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</si>
  <si>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</si>
  <si>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</si>
  <si>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</si>
  <si>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</si>
  <si>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</si>
  <si>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</si>
  <si>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</si>
  <si>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</si>
  <si>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</si>
  <si>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</si>
  <si>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</si>
  <si>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</si>
  <si>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</si>
  <si>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</si>
  <si>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</si>
  <si>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</si>
  <si>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</si>
  <si>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</si>
  <si>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</si>
  <si>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</si>
  <si>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</si>
  <si>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</si>
  <si>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</si>
  <si>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</si>
  <si>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</si>
  <si>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</si>
  <si>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</si>
  <si>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</si>
  <si>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</si>
  <si>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</si>
  <si>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</si>
  <si>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</si>
  <si>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</si>
  <si>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</si>
  <si>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</si>
  <si>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</si>
  <si>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</si>
  <si>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</si>
  <si>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</si>
  <si>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</si>
  <si>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</si>
  <si>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</si>
  <si>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</si>
  <si>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</si>
  <si>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</si>
  <si>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</si>
  <si>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</si>
  <si>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</si>
  <si>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</si>
  <si>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</si>
  <si>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</si>
  <si>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</si>
  <si>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</si>
  <si>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</si>
  <si>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</si>
  <si>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</si>
  <si>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</si>
  <si>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</si>
  <si>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</si>
  <si>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</si>
  <si>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</si>
  <si>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</si>
  <si>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</si>
  <si>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</si>
  <si>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</si>
  <si>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</si>
  <si>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</si>
  <si>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</si>
  <si>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</si>
  <si>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</si>
  <si>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</si>
  <si>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</si>
  <si>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</si>
  <si>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</si>
  <si>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</si>
  <si>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</si>
  <si>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</si>
  <si>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</si>
  <si>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</si>
  <si>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</si>
  <si>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</si>
  <si>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</si>
  <si>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</si>
  <si>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</si>
  <si>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</si>
  <si>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</si>
  <si>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</si>
  <si>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</si>
  <si>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</si>
  <si>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</si>
  <si>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</si>
  <si>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</si>
  <si>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</si>
  <si>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</si>
  <si>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</si>
  <si>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</si>
  <si>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</si>
  <si>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</si>
  <si>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</si>
  <si>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</si>
  <si>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</si>
  <si>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</si>
  <si>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</si>
  <si>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</si>
  <si>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</si>
  <si>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</si>
  <si>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</si>
  <si>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</si>
  <si>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</si>
  <si>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</si>
  <si>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</si>
  <si>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</si>
  <si>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</si>
  <si>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</si>
  <si>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</si>
  <si>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</si>
  <si>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</si>
  <si>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</si>
  <si>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</si>
  <si>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</si>
  <si>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</si>
  <si>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</si>
  <si>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</si>
  <si>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</si>
  <si>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</si>
  <si>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</si>
  <si>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</si>
  <si>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</si>
  <si>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</si>
  <si>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</si>
  <si>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</si>
  <si>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</si>
  <si>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</si>
  <si>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</si>
  <si>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</si>
  <si>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</si>
  <si>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</si>
  <si>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</si>
  <si>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</si>
  <si>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</si>
  <si>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</si>
  <si>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</si>
  <si>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</si>
  <si>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</si>
  <si>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</si>
  <si>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</si>
  <si>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</si>
  <si>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</si>
  <si>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</si>
  <si>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</si>
  <si>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</si>
  <si>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</si>
  <si>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</si>
  <si>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</si>
  <si>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</si>
  <si>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</si>
  <si>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</si>
  <si>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</si>
  <si>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</si>
  <si>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</si>
  <si>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</si>
  <si>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</si>
  <si>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</si>
  <si>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</si>
  <si>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</si>
  <si>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</si>
  <si>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</si>
  <si>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</si>
  <si>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</si>
  <si>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</si>
  <si>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</si>
  <si>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</si>
  <si>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</si>
  <si>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</si>
  <si>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</si>
  <si>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</si>
  <si>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</si>
  <si>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</si>
  <si>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</si>
  <si>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</si>
  <si>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</si>
  <si>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</si>
  <si>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</si>
  <si>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</si>
  <si>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</si>
  <si>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</si>
  <si>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</si>
  <si>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</si>
  <si>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</si>
  <si>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</si>
  <si>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</si>
  <si>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</si>
  <si>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</si>
  <si>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</si>
  <si>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</si>
  <si>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</si>
  <si>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</si>
  <si>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</si>
  <si>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</si>
  <si>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</si>
  <si>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</si>
  <si>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</si>
  <si>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</si>
  <si>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</si>
  <si>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</si>
  <si>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</si>
  <si>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</si>
  <si>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</si>
  <si>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</si>
  <si>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</si>
  <si>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</si>
  <si>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</si>
  <si>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</si>
  <si>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</si>
  <si>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</si>
  <si>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</si>
  <si>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</si>
  <si>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</si>
  <si>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</si>
  <si>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</si>
  <si>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</si>
  <si>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</si>
  <si>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</si>
  <si>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</si>
  <si>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</si>
  <si>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</si>
  <si>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</si>
  <si>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</si>
  <si>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</si>
  <si>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</si>
  <si>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</si>
  <si>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</si>
  <si>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</si>
  <si>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</si>
  <si>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</si>
  <si>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</si>
  <si>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</si>
  <si>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</si>
  <si>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</si>
  <si>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</si>
  <si>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</si>
  <si>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</si>
  <si>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</si>
  <si>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</si>
  <si>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</si>
  <si>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</si>
  <si>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</si>
  <si>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</si>
  <si>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</si>
  <si>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</si>
  <si>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</si>
  <si>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</si>
  <si>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</si>
  <si>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</si>
  <si>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</si>
  <si>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</si>
  <si>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</si>
  <si>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</si>
  <si>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</si>
  <si>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</si>
  <si>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</si>
  <si>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</si>
  <si>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</si>
  <si>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</si>
  <si>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</si>
  <si>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</si>
  <si>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</si>
  <si>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</si>
  <si>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</si>
  <si>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</si>
  <si>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</si>
  <si>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</si>
  <si>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</si>
  <si>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</si>
  <si>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</si>
  <si>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</si>
  <si>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</si>
  <si>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</si>
  <si>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</si>
  <si>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</si>
  <si>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</si>
  <si>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</si>
  <si>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</si>
  <si>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</si>
  <si>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</si>
  <si>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</si>
  <si>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</si>
  <si>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</si>
  <si>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</si>
  <si>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</si>
  <si>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</si>
  <si>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</si>
  <si>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</si>
  <si>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</si>
  <si>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</si>
  <si>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</si>
  <si>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</si>
  <si>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</si>
  <si>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</si>
  <si>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</si>
  <si>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</si>
  <si>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</si>
  <si>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</si>
  <si>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</si>
  <si>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</si>
  <si>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</si>
  <si>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</si>
  <si>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</si>
  <si>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</si>
  <si>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</si>
  <si>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</si>
  <si>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</si>
  <si>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</si>
  <si>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</si>
  <si>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</si>
  <si>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</si>
  <si>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</si>
  <si>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</si>
  <si>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</si>
  <si>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</si>
  <si>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</si>
  <si>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</si>
  <si>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</si>
  <si>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</si>
  <si>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</si>
  <si>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</si>
  <si>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</si>
  <si>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</si>
  <si>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</si>
  <si>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</si>
  <si>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</si>
  <si>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</si>
  <si>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</si>
  <si>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</si>
  <si>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</si>
  <si>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</si>
  <si>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</si>
  <si>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</si>
  <si>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</si>
  <si>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</si>
  <si>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</si>
  <si>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</si>
  <si>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</si>
  <si>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</si>
  <si>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</si>
  <si>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</si>
  <si>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</si>
  <si>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</si>
  <si>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</si>
  <si>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</si>
  <si>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</si>
  <si>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</si>
  <si>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</si>
  <si>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</si>
  <si>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</si>
  <si>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</si>
  <si>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</si>
  <si>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</si>
  <si>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</si>
  <si>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</si>
  <si>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</si>
  <si>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</si>
  <si>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</si>
  <si>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</si>
  <si>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</si>
  <si>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</si>
  <si>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</si>
  <si>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</si>
  <si>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</si>
  <si>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</si>
  <si>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</si>
  <si>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</si>
  <si>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</si>
  <si>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</si>
  <si>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</si>
  <si>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</si>
  <si>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</si>
  <si>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</si>
  <si>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</si>
  <si>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</si>
  <si>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</si>
  <si>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</si>
  <si>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</si>
  <si>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</si>
  <si>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</si>
  <si>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</si>
  <si>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</si>
  <si>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</si>
  <si>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</si>
  <si>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</si>
  <si>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</si>
  <si>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</si>
  <si>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</si>
  <si>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</si>
  <si>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</si>
  <si>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</si>
  <si>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</si>
  <si>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</si>
  <si>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</si>
  <si>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</si>
  <si>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</si>
  <si>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</si>
  <si>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</si>
  <si>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</si>
  <si>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</si>
  <si>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</si>
  <si>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</si>
  <si>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</si>
  <si>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</si>
  <si>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</si>
  <si>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</si>
  <si>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</si>
  <si>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</si>
  <si>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</si>
  <si>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</si>
  <si>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</si>
  <si>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</si>
  <si>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</si>
  <si>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</si>
  <si>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</si>
  <si>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</si>
  <si>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</si>
  <si>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</si>
  <si>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</si>
  <si>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</si>
  <si>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</si>
  <si>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</si>
  <si>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</si>
  <si>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</si>
  <si>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</si>
  <si>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</si>
  <si>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</si>
  <si>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</si>
  <si>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</si>
  <si>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</si>
  <si>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</si>
  <si>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</si>
  <si>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</si>
  <si>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</si>
  <si>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</si>
  <si>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</si>
  <si>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</si>
  <si>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</si>
  <si>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</si>
  <si>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</si>
  <si>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</si>
  <si>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</si>
  <si>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</si>
  <si>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</si>
  <si>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</si>
  <si>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</si>
  <si>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</si>
  <si>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</si>
  <si>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</si>
  <si>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</si>
  <si>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</si>
  <si>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</si>
  <si>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</si>
  <si>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</si>
  <si>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</si>
  <si>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</si>
  <si>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</si>
  <si>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</si>
  <si>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</si>
  <si>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</si>
  <si>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</si>
  <si>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</si>
  <si>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</si>
  <si>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</si>
  <si>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</si>
  <si>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</si>
  <si>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</si>
  <si>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</si>
  <si>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</si>
  <si>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</si>
  <si>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</si>
  <si>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</si>
  <si>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</si>
  <si>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</si>
  <si>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</si>
  <si>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</si>
  <si>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</si>
  <si>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</si>
  <si>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</si>
  <si>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</si>
  <si>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</si>
  <si>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</si>
  <si>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</si>
  <si>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</si>
  <si>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</si>
  <si>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</si>
  <si>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</si>
  <si>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</si>
  <si>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</si>
  <si>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</si>
  <si>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</si>
  <si>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</si>
  <si>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</si>
  <si>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</si>
  <si>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</si>
  <si>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</si>
  <si>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</si>
  <si>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</si>
  <si>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</si>
  <si>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</si>
  <si>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</si>
  <si>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</si>
  <si>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</si>
  <si>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</si>
  <si>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</si>
  <si>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</si>
  <si>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</si>
  <si>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</si>
  <si>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</si>
  <si>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</si>
  <si>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</si>
  <si>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</si>
  <si>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</si>
  <si>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</si>
  <si>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</si>
  <si>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</si>
  <si>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</si>
  <si>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</si>
  <si>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</si>
  <si>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</si>
  <si>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</si>
  <si>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</si>
  <si>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</si>
  <si>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</si>
  <si>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</si>
  <si>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</si>
  <si>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</si>
  <si>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</si>
  <si>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</si>
  <si>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</si>
  <si>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</si>
  <si>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</si>
  <si>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</si>
  <si>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</si>
  <si>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</si>
  <si>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</si>
  <si>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</si>
  <si>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</si>
  <si>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</si>
  <si>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</si>
  <si>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</si>
  <si>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</si>
  <si>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</si>
  <si>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</si>
  <si>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</si>
  <si>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</si>
  <si>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</si>
  <si>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</si>
  <si>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</si>
  <si>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</si>
  <si>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</si>
  <si>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</si>
  <si>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</si>
  <si>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</si>
  <si>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</si>
  <si>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</si>
  <si>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</si>
  <si>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</si>
  <si>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</si>
  <si>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</si>
  <si>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</si>
  <si>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</si>
  <si>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</si>
  <si>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</si>
  <si>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</si>
  <si>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</si>
  <si>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</si>
  <si>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</si>
  <si>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</si>
  <si>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</si>
  <si>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</si>
  <si>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</si>
  <si>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</si>
  <si>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</si>
  <si>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</si>
  <si>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</si>
  <si>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</si>
  <si>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</si>
  <si>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</si>
  <si>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</si>
  <si>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</si>
  <si>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</si>
  <si>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</si>
  <si>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</si>
  <si>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</si>
  <si>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</si>
  <si>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</si>
  <si>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</si>
  <si>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</si>
  <si>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</si>
  <si>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</si>
  <si>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</si>
  <si>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</si>
  <si>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</si>
  <si>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</si>
  <si>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</si>
  <si>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</si>
  <si>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</si>
  <si>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</si>
  <si>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</si>
  <si>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</si>
  <si>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</si>
  <si>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</si>
  <si>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</si>
  <si>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</si>
  <si>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</si>
  <si>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</si>
  <si>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</si>
  <si>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</si>
  <si>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</si>
  <si>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</si>
  <si>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</si>
  <si>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</si>
  <si>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</si>
  <si>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</si>
  <si>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</si>
  <si>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</si>
  <si>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</si>
  <si>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</si>
  <si>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</si>
  <si>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</si>
  <si>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</si>
  <si>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</si>
  <si>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</si>
  <si>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</si>
  <si>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</si>
  <si>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</si>
  <si>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</si>
  <si>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</si>
  <si>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</si>
  <si>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</si>
  <si>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</si>
  <si>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</si>
  <si>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</si>
  <si>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</si>
  <si>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</si>
  <si>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</si>
  <si>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</si>
  <si>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</si>
  <si>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</si>
  <si>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</si>
  <si>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</si>
  <si>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</si>
  <si>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</si>
  <si>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</si>
  <si>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</si>
  <si>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</si>
  <si>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</si>
  <si>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</si>
  <si>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</si>
  <si>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</si>
  <si>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</si>
  <si>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</si>
  <si>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</si>
  <si>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</si>
  <si>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</si>
  <si>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</si>
  <si>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</si>
  <si>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</si>
  <si>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</si>
  <si>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</si>
  <si>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</si>
  <si>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</si>
  <si>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</si>
  <si>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</si>
  <si>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</si>
  <si>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</si>
  <si>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</si>
  <si>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</si>
  <si>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</si>
  <si>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</si>
  <si>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</si>
  <si>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</si>
  <si>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</si>
  <si>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</si>
  <si>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</si>
  <si>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</si>
  <si>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</si>
  <si>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</si>
  <si>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</si>
  <si>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</si>
  <si>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</si>
  <si>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</si>
  <si>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</si>
  <si>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</si>
  <si>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</si>
  <si>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</si>
  <si>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</si>
  <si>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</si>
  <si>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</si>
  <si>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</si>
  <si>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</si>
  <si>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</si>
  <si>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</si>
  <si>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</si>
  <si>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</si>
  <si>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</si>
  <si>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</si>
  <si>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</si>
  <si>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</si>
  <si>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</si>
  <si>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</si>
  <si>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</si>
  <si>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</si>
  <si>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</si>
  <si>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</si>
  <si>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</si>
  <si>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</si>
  <si>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</si>
  <si>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</si>
  <si>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</si>
  <si>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</si>
  <si>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</si>
  <si>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</si>
  <si>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</si>
  <si>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</si>
  <si>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</si>
  <si>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</si>
  <si>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</si>
  <si>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</si>
  <si>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</si>
  <si>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</si>
  <si>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</si>
  <si>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</si>
  <si>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</si>
  <si>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</si>
  <si>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</si>
  <si>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</si>
  <si>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</si>
  <si>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</si>
  <si>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</si>
  <si>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</si>
  <si>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</si>
  <si>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</si>
  <si>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</si>
  <si>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</si>
  <si>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</si>
  <si>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</si>
  <si>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</si>
  <si>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</si>
  <si>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</si>
  <si>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</si>
  <si>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</si>
  <si>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</si>
  <si>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</si>
  <si>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</si>
  <si>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</si>
  <si>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</si>
  <si>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</si>
  <si>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</si>
  <si>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</si>
  <si>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</si>
  <si>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</si>
  <si>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</si>
  <si>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</si>
  <si>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</si>
  <si>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</si>
  <si>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</si>
  <si>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</si>
  <si>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</si>
  <si>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</si>
  <si>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</si>
  <si>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</si>
  <si>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</si>
  <si>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</si>
  <si>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</si>
  <si>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</si>
  <si>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</si>
  <si>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</si>
  <si>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</si>
  <si>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</si>
  <si>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</si>
  <si>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</si>
  <si>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</si>
  <si>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</si>
  <si>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</si>
  <si>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</si>
  <si>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</si>
  <si>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</si>
  <si>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</si>
  <si>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</si>
  <si>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</si>
  <si>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</si>
  <si>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</si>
  <si>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</si>
  <si>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</si>
  <si>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</si>
  <si>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</si>
  <si>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</si>
  <si>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</si>
  <si>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</si>
  <si>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</si>
  <si>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</si>
  <si>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</si>
  <si>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</si>
  <si>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</si>
  <si>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</si>
  <si>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</si>
  <si>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</si>
  <si>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</si>
  <si>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</si>
  <si>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</si>
  <si>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</si>
  <si>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</si>
  <si>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</si>
  <si>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</si>
  <si>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</si>
  <si>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</si>
  <si>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</si>
  <si>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</si>
  <si>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</si>
  <si>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</si>
  <si>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</si>
  <si>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</si>
  <si>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</si>
  <si>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</si>
  <si>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</si>
  <si>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</si>
  <si>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</si>
  <si>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</si>
  <si>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</si>
  <si>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</si>
  <si>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</si>
  <si>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</si>
  <si>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</si>
  <si>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</si>
  <si>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</si>
  <si>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</si>
  <si>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</si>
  <si>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</si>
  <si>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</si>
  <si>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</si>
  <si>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</si>
  <si>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</si>
  <si>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</si>
  <si>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</si>
  <si>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</si>
  <si>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</si>
  <si>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</si>
  <si>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</si>
  <si>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</si>
  <si>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</si>
  <si>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</si>
  <si>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</si>
  <si>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</si>
  <si>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</si>
  <si>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</si>
  <si>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</si>
  <si>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</si>
  <si>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</si>
  <si>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</si>
  <si>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</si>
  <si>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</si>
  <si>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</si>
  <si>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</si>
  <si>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</si>
  <si>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</si>
  <si>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</si>
  <si>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</si>
  <si>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</si>
  <si>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</si>
  <si>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</si>
  <si>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</si>
  <si>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</si>
  <si>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</si>
  <si>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</si>
  <si>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</si>
  <si>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</si>
  <si>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</si>
  <si>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</si>
  <si>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</si>
  <si>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</si>
  <si>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</si>
  <si>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</si>
  <si>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</si>
  <si>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</si>
  <si>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</si>
  <si>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</si>
  <si>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</si>
  <si>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</si>
  <si>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</si>
  <si>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</si>
  <si>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</si>
  <si>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</si>
  <si>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</si>
  <si>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</si>
  <si>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</si>
  <si>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</si>
  <si>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</si>
  <si>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</si>
  <si>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</si>
  <si>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</si>
  <si>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</si>
  <si>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</si>
  <si>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</si>
  <si>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</si>
  <si>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</si>
  <si>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</si>
  <si>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</si>
  <si>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</si>
  <si>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</si>
  <si>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</si>
  <si>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</si>
  <si>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</si>
  <si>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</si>
  <si>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</si>
  <si>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</si>
  <si>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</si>
  <si>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</si>
  <si>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</si>
  <si>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</si>
  <si>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</si>
  <si>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</si>
  <si>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</si>
  <si>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</si>
  <si>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</si>
  <si>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</si>
  <si>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</si>
  <si>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</si>
  <si>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</si>
  <si>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</si>
  <si>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</si>
  <si>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</si>
  <si>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</si>
  <si>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</si>
  <si>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</si>
  <si>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</si>
  <si>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</si>
  <si>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</si>
  <si>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</si>
  <si>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</si>
  <si>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</si>
  <si>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</si>
  <si>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</si>
  <si>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</si>
  <si>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</si>
  <si>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</si>
  <si>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</si>
  <si>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</si>
  <si>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</si>
  <si>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</si>
  <si>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</si>
  <si>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</si>
  <si>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</si>
  <si>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</si>
  <si>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</si>
  <si>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</si>
  <si>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</si>
  <si>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</si>
  <si>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</si>
  <si>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</si>
  <si>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</si>
  <si>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</si>
  <si>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</si>
  <si>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</si>
  <si>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</si>
  <si>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</si>
  <si>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</si>
  <si>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</si>
  <si>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</si>
  <si>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</si>
  <si>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</si>
  <si>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</si>
  <si>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</si>
  <si>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</si>
  <si>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</si>
  <si>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</si>
  <si>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</si>
  <si>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</si>
  <si>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</si>
  <si>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</si>
  <si>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</si>
  <si>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</si>
  <si>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</si>
  <si>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</si>
  <si>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</si>
  <si>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</si>
  <si>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</si>
  <si>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</si>
  <si>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</si>
  <si>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</si>
  <si>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</si>
  <si>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</si>
  <si>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</si>
  <si>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</si>
  <si>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</si>
  <si>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</si>
  <si>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</si>
  <si>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</si>
  <si>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</si>
  <si>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</si>
  <si>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</si>
  <si>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</si>
  <si>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</si>
  <si>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</si>
  <si>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</si>
  <si>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</si>
  <si>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</si>
  <si>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</si>
  <si>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</si>
  <si>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</si>
  <si>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</si>
  <si>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</si>
  <si>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</si>
  <si>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</si>
  <si>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</si>
  <si>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</si>
  <si>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</si>
  <si>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</si>
  <si>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</si>
  <si>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</si>
  <si>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</si>
  <si>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</si>
  <si>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</si>
  <si>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</si>
  <si>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</si>
  <si>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</si>
  <si>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</si>
  <si>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</si>
  <si>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</si>
  <si>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</si>
  <si>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</si>
  <si>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</si>
  <si>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</si>
  <si>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</si>
  <si>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</si>
  <si>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</si>
  <si>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</si>
  <si>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</si>
  <si>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</si>
  <si>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</si>
  <si>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</si>
  <si>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</si>
  <si>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</si>
  <si>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</si>
  <si>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</si>
  <si>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</si>
  <si>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</si>
  <si>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</si>
  <si>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</si>
  <si>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</si>
  <si>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</si>
  <si>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</si>
  <si>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</si>
  <si>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</si>
  <si>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</si>
  <si>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</si>
  <si>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</si>
  <si>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</si>
  <si>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</si>
  <si>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</si>
  <si>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</si>
  <si>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</si>
  <si>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</si>
  <si>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</si>
  <si>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</si>
  <si>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</si>
  <si>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</si>
  <si>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</si>
  <si>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</si>
  <si>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</si>
  <si>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</si>
  <si>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</si>
  <si>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</si>
  <si>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</si>
  <si>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</si>
  <si>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</si>
  <si>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</si>
  <si>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</si>
  <si>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</si>
  <si>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</si>
  <si>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</si>
  <si>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</si>
  <si>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</si>
  <si>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</si>
  <si>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</si>
  <si>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</si>
  <si>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</si>
  <si>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</si>
  <si>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</si>
  <si>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</si>
  <si>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</si>
  <si>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</si>
  <si>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</si>
  <si>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</si>
  <si>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</si>
  <si>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</si>
  <si>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</si>
  <si>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</si>
  <si>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</si>
  <si>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</si>
  <si>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</si>
  <si>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</si>
  <si>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</si>
  <si>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</si>
  <si>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</si>
  <si>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</si>
  <si>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</si>
  <si>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</si>
  <si>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</si>
  <si>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</si>
  <si>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</si>
  <si>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</si>
  <si>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</si>
  <si>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</si>
  <si>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</si>
  <si>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</si>
  <si>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</si>
  <si>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</si>
  <si>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</si>
  <si>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</si>
  <si>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</si>
  <si>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</si>
  <si>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</si>
  <si>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</si>
  <si>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</si>
  <si>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</si>
  <si>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</si>
  <si>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</si>
  <si>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</si>
  <si>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</si>
  <si>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</si>
  <si>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</si>
  <si>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</si>
  <si>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</si>
  <si>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</si>
  <si>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</si>
  <si>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</si>
  <si>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</si>
  <si>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</si>
  <si>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</si>
  <si>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</si>
  <si>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</si>
  <si>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</si>
  <si>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</si>
  <si>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</si>
  <si>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</si>
  <si>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</si>
  <si>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</si>
  <si>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</si>
  <si>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</si>
  <si>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</si>
  <si>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</si>
  <si>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</si>
  <si>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</si>
  <si>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</si>
  <si>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</si>
  <si>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</si>
  <si>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</si>
  <si>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</si>
  <si>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</si>
  <si>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</si>
  <si>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</si>
  <si>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</si>
  <si>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</si>
  <si>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</si>
  <si>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</si>
  <si>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</si>
  <si>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</si>
  <si>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</si>
  <si>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</si>
  <si>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</si>
  <si>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</si>
  <si>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</si>
  <si>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</si>
  <si>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</si>
  <si>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</si>
  <si>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</si>
  <si>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</si>
  <si>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</si>
  <si>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</si>
  <si>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</si>
  <si>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</si>
  <si>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</si>
  <si>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</si>
  <si>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</si>
  <si>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</si>
  <si>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</si>
  <si>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</si>
  <si>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</si>
  <si>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</si>
  <si>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</si>
  <si>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</si>
  <si>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</si>
  <si>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</si>
  <si>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</si>
  <si>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</si>
  <si>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</si>
  <si>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</si>
  <si>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</si>
  <si>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</si>
  <si>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</si>
  <si>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</si>
  <si>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</si>
  <si>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</si>
  <si>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</si>
  <si>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</si>
  <si>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</si>
  <si>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</si>
  <si>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</si>
  <si>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</si>
  <si>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</si>
  <si>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</si>
  <si>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</si>
  <si>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</si>
  <si>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</si>
  <si>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</si>
  <si>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</si>
  <si>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</si>
  <si>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</si>
  <si>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</si>
  <si>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</si>
  <si>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</si>
  <si>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</si>
  <si>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</si>
  <si>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</si>
  <si>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</si>
  <si>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</si>
  <si>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</si>
  <si>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</si>
  <si>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</si>
  <si>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</si>
  <si>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</si>
  <si>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</si>
  <si>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</si>
  <si>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</si>
  <si>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</si>
  <si>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</si>
  <si>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</si>
  <si>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</si>
  <si>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</si>
  <si>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</si>
  <si>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</si>
  <si>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</si>
  <si>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</si>
  <si>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</si>
  <si>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</si>
  <si>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</si>
  <si>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</si>
  <si>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</si>
  <si>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</si>
  <si>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</si>
  <si>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</si>
  <si>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</si>
  <si>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</si>
  <si>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</si>
  <si>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</si>
  <si>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</si>
  <si>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</si>
  <si>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</si>
  <si>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</si>
  <si>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</si>
  <si>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</si>
  <si>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</si>
  <si>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</si>
  <si>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</si>
  <si>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</si>
  <si>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</si>
  <si>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</si>
  <si>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</si>
  <si>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</si>
  <si>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</si>
  <si>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</si>
  <si>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</si>
  <si>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</si>
  <si>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</si>
  <si>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</si>
  <si>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</si>
  <si>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</si>
  <si>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</si>
  <si>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</si>
  <si>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</si>
  <si>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</si>
  <si>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</si>
  <si>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</si>
  <si>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</si>
  <si>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</si>
  <si>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</si>
  <si>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</si>
  <si>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</si>
  <si>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</si>
  <si>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</si>
  <si>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</si>
  <si>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</si>
  <si>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</si>
  <si>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</si>
  <si>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</si>
  <si>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</si>
  <si>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</si>
  <si>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</si>
  <si>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</si>
  <si>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</si>
  <si>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</si>
  <si>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</si>
  <si>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</si>
  <si>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</si>
  <si>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</si>
  <si>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</si>
  <si>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</si>
  <si>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</si>
  <si>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</si>
  <si>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</si>
  <si>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</si>
  <si>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</si>
  <si>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</si>
  <si>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</si>
  <si>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</si>
  <si>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</si>
  <si>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</si>
  <si>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</si>
  <si>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</si>
  <si>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</si>
  <si>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</si>
  <si>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</si>
  <si>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</si>
  <si>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</si>
  <si>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</si>
  <si>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</si>
  <si>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</si>
  <si>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</si>
  <si>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</si>
  <si>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</si>
  <si>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</si>
  <si>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</si>
  <si>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</si>
  <si>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</si>
  <si>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</si>
  <si>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</si>
  <si>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</si>
  <si>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</si>
  <si>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</si>
  <si>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</si>
  <si>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</si>
  <si>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</si>
  <si>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</si>
  <si>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</si>
  <si>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</si>
  <si>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</si>
  <si>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</si>
  <si>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</si>
  <si>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</si>
  <si>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</si>
  <si>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</si>
  <si>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</si>
  <si>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</si>
  <si>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</si>
  <si>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</si>
  <si>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</si>
  <si>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</si>
  <si>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</si>
  <si>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</si>
  <si>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</si>
  <si>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</si>
  <si>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</si>
  <si>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</si>
  <si>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</si>
  <si>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</si>
  <si>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</si>
  <si>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</si>
  <si>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</si>
  <si>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</si>
  <si>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</si>
  <si>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</si>
  <si>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</si>
  <si>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</si>
  <si>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</si>
  <si>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</si>
  <si>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</si>
  <si>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</si>
  <si>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</si>
  <si>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</si>
  <si>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</si>
  <si>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</si>
  <si>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</si>
  <si>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</si>
  <si>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</si>
  <si>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</si>
  <si>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</si>
  <si>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</si>
  <si>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</si>
  <si>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</si>
  <si>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</si>
  <si>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</si>
  <si>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</si>
  <si>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</si>
  <si>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</si>
  <si>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</si>
  <si>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</si>
  <si>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</si>
  <si>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</si>
  <si>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</si>
  <si>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</si>
  <si>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</si>
  <si>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</si>
  <si>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</si>
  <si>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</si>
  <si>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</si>
  <si>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</si>
  <si>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</si>
  <si>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</si>
  <si>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</si>
  <si>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</si>
  <si>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</si>
  <si>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</si>
  <si>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</si>
  <si>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</si>
  <si>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</si>
  <si>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</si>
  <si>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</si>
  <si>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</si>
  <si>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</si>
  <si>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</si>
  <si>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</si>
  <si>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</si>
  <si>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</si>
  <si>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</si>
  <si>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</si>
  <si>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</si>
  <si>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</si>
  <si>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</si>
  <si>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</si>
  <si>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</si>
  <si>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</si>
  <si>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</si>
  <si>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</si>
  <si>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</si>
  <si>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</si>
  <si>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</si>
  <si>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</si>
  <si>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</si>
  <si>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</si>
  <si>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</si>
  <si>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</si>
  <si>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</si>
  <si>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</si>
  <si>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</si>
  <si>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</si>
  <si>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</si>
  <si>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</si>
  <si>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</si>
  <si>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</si>
  <si>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</si>
  <si>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</si>
  <si>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</si>
  <si>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</si>
  <si>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</si>
  <si>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</si>
  <si>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</si>
  <si>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</si>
  <si>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</si>
  <si>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</si>
  <si>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</si>
  <si>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</si>
  <si>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</si>
  <si>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</si>
  <si>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</si>
  <si>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</si>
  <si>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</si>
  <si>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</si>
  <si>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</si>
  <si>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</si>
  <si>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</si>
  <si>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</si>
  <si>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</si>
  <si>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</si>
  <si>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</si>
  <si>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</si>
  <si>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</si>
  <si>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</si>
  <si>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</si>
  <si>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</si>
  <si>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</si>
  <si>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</si>
  <si>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</si>
  <si>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</si>
  <si>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</si>
  <si>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</si>
  <si>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</si>
  <si>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</si>
  <si>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</si>
  <si>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</si>
  <si>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</si>
  <si>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</si>
  <si>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</si>
  <si>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</si>
  <si>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</si>
  <si>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</si>
  <si>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</si>
  <si>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</si>
  <si>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</si>
  <si>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</si>
  <si>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</si>
  <si>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</si>
  <si>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</si>
  <si>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</si>
  <si>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</si>
  <si>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</si>
  <si>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</si>
  <si>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</si>
  <si>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</si>
  <si>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</si>
  <si>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</si>
  <si>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</si>
  <si>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</si>
  <si>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</si>
  <si>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</si>
  <si>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</si>
  <si>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</si>
  <si>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</si>
  <si>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</si>
  <si>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</si>
  <si>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</si>
  <si>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</si>
  <si>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</si>
  <si>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</si>
  <si>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</si>
  <si>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</si>
  <si>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</si>
  <si>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</si>
  <si>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</si>
  <si>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</si>
  <si>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</si>
  <si>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</si>
  <si>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</si>
  <si>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</si>
  <si>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</si>
  <si>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</si>
  <si>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</si>
  <si>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</si>
  <si>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</si>
  <si>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</si>
  <si>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</si>
  <si>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</si>
  <si>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</si>
  <si>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</si>
  <si>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</si>
  <si>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</si>
  <si>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</si>
  <si>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</si>
  <si>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</si>
  <si>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</si>
  <si>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</si>
  <si>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</si>
  <si>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</si>
  <si>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</si>
  <si>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</si>
  <si>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</si>
  <si>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</si>
  <si>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</si>
  <si>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</si>
  <si>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</si>
  <si>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</si>
  <si>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</si>
  <si>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</si>
  <si>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</si>
  <si>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</si>
  <si>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</si>
  <si>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</si>
  <si>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</si>
  <si>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</si>
  <si>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</si>
  <si>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</si>
  <si>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</si>
  <si>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</si>
  <si>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</si>
  <si>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</si>
  <si>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</si>
  <si>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</si>
  <si>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</si>
  <si>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</si>
  <si>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</si>
  <si>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</si>
  <si>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</si>
  <si>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</si>
  <si>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</si>
  <si>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</si>
  <si>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</si>
  <si>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</si>
  <si>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</si>
  <si>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</si>
  <si>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</si>
  <si>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</si>
  <si>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</si>
  <si>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</si>
  <si>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</si>
  <si>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</si>
  <si>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</si>
  <si>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</si>
  <si>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</si>
  <si>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</si>
  <si>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</si>
  <si>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</si>
  <si>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</si>
  <si>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</si>
  <si>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</si>
  <si>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</si>
  <si>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</si>
  <si>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</si>
  <si>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</si>
  <si>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</si>
  <si>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</si>
  <si>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</si>
  <si>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</si>
  <si>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</si>
  <si>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</si>
  <si>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</si>
  <si>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</si>
  <si>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</si>
  <si>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</si>
  <si>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</si>
  <si>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</si>
  <si>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</si>
  <si>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</si>
  <si>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</si>
  <si>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</si>
  <si>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</si>
  <si>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</si>
  <si>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</si>
  <si>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</si>
  <si>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</si>
  <si>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</si>
  <si>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</si>
  <si>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</si>
  <si>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</si>
  <si>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</si>
  <si>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</si>
  <si>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</si>
  <si>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</si>
  <si>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</si>
  <si>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</si>
  <si>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</si>
  <si>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</si>
  <si>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</si>
  <si>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</si>
  <si>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</si>
  <si>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</si>
  <si>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</si>
  <si>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</si>
  <si>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</si>
  <si>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</si>
  <si>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</si>
  <si>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</si>
  <si>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</si>
  <si>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</si>
  <si>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</si>
  <si>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</si>
  <si>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</si>
  <si>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</si>
  <si>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</si>
  <si>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</si>
  <si>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</si>
  <si>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</si>
  <si>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</si>
  <si>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</si>
  <si>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</si>
  <si>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</si>
  <si>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</si>
  <si>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</si>
  <si>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</si>
  <si>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</si>
  <si>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</si>
  <si>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</si>
  <si>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</si>
  <si>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</si>
  <si>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</si>
  <si>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</si>
  <si>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</si>
  <si>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</si>
  <si>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</si>
  <si>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</si>
  <si>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</si>
  <si>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</si>
  <si>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</si>
  <si>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</si>
  <si>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</si>
  <si>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</si>
  <si>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</si>
  <si>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</si>
  <si>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</si>
  <si>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</si>
  <si>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</si>
  <si>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</si>
  <si>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</si>
  <si>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</si>
  <si>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</si>
  <si>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</si>
  <si>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</si>
  <si>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</si>
  <si>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</si>
  <si>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</si>
  <si>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</si>
  <si>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</si>
  <si>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</si>
  <si>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</si>
  <si>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</si>
  <si>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</si>
  <si>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</si>
  <si>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</si>
  <si>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</si>
  <si>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</si>
  <si>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</si>
  <si>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</si>
  <si>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</si>
  <si>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</si>
  <si>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</si>
  <si>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</si>
  <si>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</si>
  <si>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</si>
  <si>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</si>
  <si>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</si>
  <si>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</si>
  <si>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</si>
  <si>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</si>
  <si>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</si>
  <si>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</si>
  <si>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</si>
  <si>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</si>
  <si>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</si>
  <si>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</si>
  <si>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</si>
  <si>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</si>
  <si>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</si>
  <si>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</si>
  <si>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</si>
  <si>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</si>
  <si>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</si>
  <si>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</si>
  <si>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</si>
  <si>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</si>
  <si>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</si>
  <si>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</si>
  <si>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</si>
  <si>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</si>
  <si>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</si>
  <si>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</si>
  <si>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</si>
  <si>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</si>
  <si>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</si>
  <si>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</si>
  <si>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</si>
  <si>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</si>
  <si>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</si>
  <si>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</si>
  <si>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</si>
  <si>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</si>
  <si>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</si>
  <si>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</si>
  <si>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</si>
  <si>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</si>
  <si>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</si>
  <si>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</si>
  <si>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</si>
  <si>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</si>
  <si>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</si>
  <si>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</si>
  <si>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</si>
  <si>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</si>
  <si>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</si>
  <si>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</si>
  <si>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</si>
  <si>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</si>
  <si>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</si>
  <si>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</si>
  <si>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</si>
  <si>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</si>
  <si>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</si>
  <si>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</si>
  <si>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</si>
  <si>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</si>
  <si>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</si>
  <si>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</si>
  <si>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</si>
  <si>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</si>
  <si>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</si>
  <si>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</si>
  <si>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</si>
  <si>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</si>
  <si>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</si>
  <si>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</si>
  <si>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</si>
  <si>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</si>
  <si>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</si>
  <si>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</si>
  <si>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</si>
  <si>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</si>
  <si>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</si>
  <si>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</si>
  <si>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</si>
  <si>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</si>
  <si>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</si>
  <si>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</si>
  <si>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</si>
  <si>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</si>
  <si>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</si>
  <si>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</si>
  <si>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</si>
  <si>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</si>
  <si>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</si>
  <si>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</si>
  <si>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</si>
  <si>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</si>
  <si>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</si>
  <si>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</si>
  <si>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</si>
  <si>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</si>
  <si>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</si>
  <si>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</si>
  <si>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</si>
  <si>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</si>
  <si>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</si>
  <si>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</si>
  <si>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</si>
  <si>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</si>
  <si>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</si>
  <si>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</si>
  <si>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</si>
  <si>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</si>
  <si>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</si>
  <si>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</si>
  <si>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</si>
  <si>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</si>
  <si>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</si>
  <si>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</si>
  <si>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</si>
  <si>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</si>
  <si>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</si>
  <si>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</si>
  <si>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</si>
  <si>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</si>
  <si>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</si>
  <si>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</si>
  <si>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</si>
  <si>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</si>
  <si>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</si>
  <si>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</si>
  <si>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</si>
  <si>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</si>
  <si>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</si>
  <si>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</si>
  <si>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</si>
  <si>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</si>
  <si>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</si>
  <si>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</si>
  <si>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</si>
  <si>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</si>
  <si>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</si>
  <si>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</si>
  <si>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</si>
  <si>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</si>
  <si>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</si>
  <si>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</si>
  <si>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</si>
  <si>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</si>
  <si>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</si>
  <si>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</si>
  <si>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</si>
  <si>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</si>
  <si>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</si>
  <si>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</si>
  <si>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</si>
  <si>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</si>
  <si>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</si>
  <si>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</si>
  <si>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</si>
  <si>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</si>
  <si>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</si>
  <si>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</si>
  <si>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</si>
  <si>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</si>
  <si>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</si>
  <si>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</si>
  <si>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</si>
  <si>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</si>
  <si>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</si>
  <si>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</si>
  <si>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</si>
  <si>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</si>
  <si>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</si>
  <si>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</si>
  <si>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</si>
  <si>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</si>
  <si>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</si>
  <si>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</si>
  <si>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</si>
  <si>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</si>
  <si>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</si>
  <si>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</si>
  <si>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</si>
  <si>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</si>
  <si>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</si>
  <si>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</si>
  <si>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</si>
  <si>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</si>
  <si>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</si>
  <si>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</si>
  <si>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</si>
  <si>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</si>
  <si>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</si>
  <si>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</si>
  <si>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</si>
  <si>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</si>
  <si>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</si>
  <si>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</si>
  <si>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</si>
  <si>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</si>
  <si>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</si>
  <si>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</si>
  <si>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</si>
  <si>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</si>
  <si>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</si>
  <si>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</si>
  <si>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</si>
  <si>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</si>
  <si>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</si>
  <si>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</si>
  <si>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</si>
  <si>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</si>
  <si>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</si>
  <si>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</si>
  <si>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</si>
  <si>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</si>
  <si>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</si>
  <si>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</si>
  <si>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</si>
  <si>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</si>
  <si>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</si>
  <si>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</si>
  <si>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</si>
  <si>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</si>
  <si>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</si>
  <si>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</si>
  <si>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</si>
  <si>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</si>
  <si>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</si>
  <si>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</si>
  <si>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</si>
  <si>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</si>
  <si>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</si>
  <si>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</si>
  <si>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</si>
  <si>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</si>
  <si>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</si>
  <si>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</si>
  <si>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</si>
  <si>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</si>
  <si>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</si>
  <si>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</si>
  <si>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</si>
  <si>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</si>
  <si>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</si>
  <si>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</si>
  <si>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</si>
  <si>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</si>
  <si>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</si>
  <si>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</si>
  <si>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</si>
  <si>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</si>
  <si>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</si>
  <si>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</si>
  <si>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</si>
  <si>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</si>
  <si>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</si>
  <si>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</si>
  <si>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</si>
  <si>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</si>
  <si>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</si>
  <si>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</si>
  <si>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</si>
  <si>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</si>
  <si>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</si>
  <si>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</si>
  <si>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</si>
  <si>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</si>
  <si>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</si>
  <si>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</si>
  <si>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</si>
  <si>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</si>
  <si>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</si>
  <si>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</si>
  <si>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</si>
  <si>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</si>
  <si>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</si>
  <si>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</si>
  <si>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</si>
  <si>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</si>
  <si>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</si>
  <si>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</si>
  <si>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</si>
  <si>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</si>
  <si>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</si>
  <si>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</si>
  <si>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</si>
  <si>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</si>
  <si>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</si>
  <si>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</si>
  <si>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</si>
  <si>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</si>
  <si>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</si>
  <si>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</si>
  <si>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</si>
  <si>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</si>
  <si>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</si>
  <si>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</si>
  <si>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</si>
  <si>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</si>
  <si>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</si>
  <si>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</si>
  <si>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</si>
  <si>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</si>
  <si>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</si>
  <si>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</si>
  <si>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</si>
  <si>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</si>
  <si>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</si>
  <si>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</si>
  <si>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</si>
  <si>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</si>
  <si>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</si>
  <si>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</si>
  <si>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</si>
  <si>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</si>
  <si>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</si>
  <si>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</si>
  <si>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</si>
  <si>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</si>
  <si>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</si>
  <si>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</si>
  <si>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</si>
  <si>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</si>
  <si>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</si>
  <si>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</si>
  <si>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</si>
  <si>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</si>
  <si>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</si>
  <si>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</si>
  <si>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</si>
  <si>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</si>
  <si>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</si>
  <si>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</si>
  <si>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</si>
  <si>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</si>
  <si>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</si>
  <si>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</si>
  <si>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</si>
  <si>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</si>
  <si>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</si>
  <si>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</si>
  <si>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</si>
  <si>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</si>
  <si>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</si>
  <si>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</si>
  <si>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</si>
  <si>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</si>
  <si>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</si>
  <si>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</si>
  <si>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</si>
  <si>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</si>
  <si>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</si>
  <si>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</si>
  <si>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</si>
  <si>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</si>
  <si>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</si>
  <si>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</si>
  <si>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</si>
  <si>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</si>
  <si>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</si>
  <si>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</si>
  <si>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</si>
  <si>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</si>
  <si>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</si>
  <si>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</si>
  <si>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</si>
  <si>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</si>
  <si>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</si>
  <si>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</si>
  <si>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</si>
  <si>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</si>
  <si>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</si>
  <si>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</si>
  <si>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</si>
  <si>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</si>
  <si>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</si>
  <si>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</si>
  <si>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</si>
  <si>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</si>
  <si>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</si>
  <si>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</si>
  <si>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</si>
  <si>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</si>
  <si>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</si>
  <si>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</si>
  <si>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</si>
  <si>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</si>
  <si>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</si>
  <si>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</si>
  <si>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</si>
  <si>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</si>
  <si>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</si>
  <si>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</si>
  <si>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</si>
  <si>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</si>
  <si>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</si>
  <si>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</si>
  <si>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</si>
  <si>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</si>
  <si>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</si>
  <si>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</si>
  <si>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</si>
  <si>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</si>
  <si>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</si>
  <si>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</si>
  <si>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</si>
  <si>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</si>
  <si>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</si>
  <si>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</si>
  <si>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</si>
  <si>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</si>
  <si>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</si>
  <si>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</si>
  <si>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</si>
  <si>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</si>
  <si>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</si>
  <si>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</si>
  <si>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</si>
  <si>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</si>
  <si>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</si>
  <si>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</si>
  <si>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</si>
  <si>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</si>
  <si>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</si>
  <si>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</si>
  <si>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</si>
  <si>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</si>
  <si>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</si>
  <si>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</si>
  <si>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</si>
  <si>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</si>
  <si>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</si>
  <si>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</si>
  <si>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</si>
  <si>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</si>
  <si>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</si>
  <si>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</si>
  <si>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</si>
  <si>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</si>
  <si>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</si>
  <si>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</si>
  <si>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</si>
  <si>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</si>
  <si>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</si>
  <si>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</si>
  <si>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</si>
  <si>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</si>
  <si>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</si>
  <si>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</si>
  <si>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</si>
  <si>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</si>
  <si>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</si>
  <si>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</si>
  <si>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</si>
  <si>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</si>
  <si>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</si>
  <si>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</si>
  <si>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</si>
  <si>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</si>
  <si>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</si>
  <si>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</si>
  <si>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</si>
  <si>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</si>
  <si>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</si>
  <si>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</si>
  <si>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</si>
  <si>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</si>
  <si>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</si>
  <si>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</si>
  <si>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</si>
  <si>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</si>
  <si>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</si>
  <si>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</si>
  <si>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</si>
  <si>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</si>
  <si>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</si>
  <si>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</si>
  <si>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</si>
  <si>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</si>
  <si>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</si>
  <si>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</si>
  <si>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</si>
  <si>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</si>
  <si>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</si>
  <si>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</si>
  <si>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</si>
  <si>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</si>
  <si>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</si>
  <si>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</si>
  <si>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</si>
  <si>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</si>
  <si>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</si>
  <si>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</si>
  <si>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</si>
  <si>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</si>
  <si>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</si>
  <si>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</si>
  <si>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</si>
  <si>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</si>
  <si>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</si>
  <si>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</si>
  <si>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</si>
  <si>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</si>
  <si>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</si>
  <si>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</si>
  <si>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</si>
  <si>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</si>
  <si>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</si>
  <si>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</si>
  <si>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</si>
  <si>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</si>
  <si>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</si>
  <si>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</si>
  <si>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</si>
  <si>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</si>
  <si>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</si>
  <si>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</si>
  <si>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</si>
  <si>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</si>
  <si>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</si>
  <si>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</si>
  <si>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</si>
  <si>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</si>
  <si>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</si>
  <si>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</si>
  <si>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</si>
  <si>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</si>
  <si>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</si>
  <si>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</si>
  <si>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</si>
  <si>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</si>
  <si>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</si>
  <si>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</si>
  <si>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</si>
  <si>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</si>
  <si>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</si>
  <si>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</si>
  <si>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</si>
  <si>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</si>
  <si>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</si>
  <si>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</si>
  <si>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</si>
  <si>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</si>
  <si>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</si>
  <si>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</si>
  <si>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</si>
  <si>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</si>
  <si>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</si>
  <si>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</si>
  <si>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</si>
  <si>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</si>
  <si>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</si>
  <si>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</si>
  <si>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</si>
  <si>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</si>
  <si>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</si>
  <si>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</si>
  <si>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</si>
  <si>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</si>
  <si>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</si>
  <si>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</si>
  <si>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</si>
  <si>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</si>
  <si>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</si>
  <si>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</si>
  <si>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</si>
  <si>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</si>
  <si>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</si>
  <si>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</si>
  <si>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</si>
  <si>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</si>
  <si>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</si>
  <si>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</si>
  <si>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</si>
  <si>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</si>
  <si>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</si>
  <si>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</si>
  <si>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</si>
  <si>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</si>
  <si>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</si>
  <si>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</si>
  <si>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</si>
  <si>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</si>
  <si>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</si>
  <si>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</si>
  <si>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</si>
  <si>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</si>
  <si>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</si>
  <si>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</si>
  <si>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</si>
  <si>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</si>
  <si>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</si>
  <si>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</si>
  <si>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</si>
  <si>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</si>
  <si>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</si>
  <si>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</si>
  <si>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</si>
  <si>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</si>
  <si>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</si>
  <si>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</si>
  <si>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</si>
  <si>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</si>
  <si>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</si>
  <si>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</si>
  <si>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</si>
  <si>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</si>
  <si>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</si>
  <si>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</si>
  <si>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</si>
  <si>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</si>
  <si>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</si>
  <si>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</si>
  <si>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</si>
  <si>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</si>
  <si>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</si>
  <si>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</si>
  <si>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</si>
  <si>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</si>
  <si>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</si>
  <si>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</si>
  <si>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</si>
  <si>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</si>
  <si>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</si>
  <si>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</si>
  <si>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</si>
  <si>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</si>
  <si>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</si>
  <si>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</si>
  <si>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</si>
  <si>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</si>
  <si>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</si>
  <si>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</si>
  <si>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</si>
  <si>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</si>
  <si>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</si>
  <si>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</si>
  <si>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</si>
  <si>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</si>
  <si>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</si>
  <si>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</si>
  <si>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</si>
  <si>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</si>
  <si>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</si>
  <si>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</si>
  <si>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</si>
  <si>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</si>
  <si>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</si>
  <si>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</si>
  <si>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</si>
  <si>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</si>
  <si>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</si>
  <si>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</si>
  <si>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</si>
  <si>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</si>
  <si>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</si>
  <si>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</si>
  <si>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</si>
  <si>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</si>
  <si>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</si>
  <si>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</si>
  <si>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</si>
  <si>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</si>
  <si>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</si>
  <si>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</si>
  <si>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</si>
  <si>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</si>
  <si>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</si>
  <si>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</si>
  <si>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</si>
  <si>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</si>
  <si>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</si>
  <si>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</si>
  <si>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</si>
  <si>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</si>
  <si>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</si>
  <si>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</si>
  <si>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</si>
  <si>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</si>
  <si>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</si>
  <si>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</si>
  <si>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</si>
  <si>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</si>
  <si>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</si>
  <si>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</si>
  <si>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</si>
  <si>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</si>
  <si>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</si>
  <si>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</si>
  <si>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</si>
  <si>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</si>
  <si>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</si>
  <si>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</si>
  <si>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</si>
  <si>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</si>
  <si>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</si>
  <si>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</si>
  <si>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</si>
  <si>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</si>
  <si>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</si>
  <si>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</si>
  <si>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</si>
  <si>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</si>
  <si>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</si>
  <si>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</si>
  <si>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</si>
  <si>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</si>
  <si>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</si>
  <si>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</si>
  <si>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</si>
  <si>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</si>
  <si>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</si>
  <si>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</si>
  <si>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</si>
  <si>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</si>
  <si>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</si>
  <si>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</si>
  <si>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</si>
  <si>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</si>
  <si>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</si>
  <si>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</si>
  <si>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</si>
  <si>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</si>
  <si>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</si>
  <si>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</si>
  <si>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</si>
  <si>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</si>
  <si>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</si>
  <si>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</si>
  <si>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</si>
  <si>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</si>
  <si>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</si>
  <si>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</si>
  <si>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</si>
  <si>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</si>
  <si>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</si>
  <si>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</si>
  <si>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</si>
  <si>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</si>
  <si>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</si>
  <si>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</si>
  <si>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</si>
  <si>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</si>
  <si>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</si>
  <si>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</si>
  <si>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</si>
  <si>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</si>
  <si>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</si>
  <si>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</si>
  <si>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</si>
  <si>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</si>
  <si>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</si>
  <si>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</si>
  <si>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</si>
  <si>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</si>
  <si>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</si>
  <si>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</si>
  <si>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</si>
  <si>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</si>
  <si>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</si>
  <si>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</si>
  <si>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</si>
  <si>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</si>
  <si>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</si>
  <si>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</si>
  <si>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</si>
  <si>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</si>
  <si>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</si>
  <si>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</si>
  <si>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</si>
  <si>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</si>
  <si>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</si>
  <si>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</si>
  <si>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</si>
  <si>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</si>
  <si>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</si>
  <si>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</si>
  <si>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</si>
  <si>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</si>
  <si>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</si>
  <si>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</si>
  <si>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</si>
  <si>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</si>
  <si>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</si>
  <si>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</si>
  <si>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</si>
  <si>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</si>
  <si>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</si>
  <si>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</si>
  <si>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</si>
  <si>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</si>
  <si>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</si>
  <si>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</si>
  <si>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</si>
  <si>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</si>
  <si>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</si>
  <si>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</si>
  <si>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</si>
  <si>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</si>
  <si>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</si>
  <si>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</si>
  <si>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</si>
  <si>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</si>
  <si>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</si>
  <si>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</si>
  <si>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</si>
  <si>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</si>
  <si>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</si>
  <si>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</si>
  <si>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</si>
  <si>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</si>
  <si>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</si>
  <si>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</si>
  <si>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</si>
  <si>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</si>
  <si>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</si>
  <si>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</si>
  <si>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</si>
  <si>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</si>
  <si>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</si>
  <si>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</si>
  <si>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</si>
  <si>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</si>
  <si>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</si>
  <si>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</si>
  <si>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</si>
  <si>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</si>
  <si>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</si>
  <si>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</si>
  <si>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</si>
  <si>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</si>
  <si>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</si>
  <si>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</si>
  <si>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</si>
  <si>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</si>
  <si>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</si>
  <si>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</si>
  <si>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</si>
  <si>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</si>
  <si>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</si>
  <si>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</si>
  <si>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</si>
  <si>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</si>
  <si>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</si>
  <si>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</si>
  <si>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</si>
  <si>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</si>
  <si>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</si>
  <si>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</si>
  <si>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</si>
  <si>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</si>
  <si>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</si>
  <si>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</si>
  <si>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</si>
  <si>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</si>
  <si>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</si>
  <si>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</si>
  <si>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</si>
  <si>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</si>
  <si>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</si>
  <si>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</si>
  <si>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</si>
  <si>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</si>
  <si>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</si>
  <si>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</si>
  <si>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</si>
  <si>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</si>
  <si>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</si>
  <si>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</si>
  <si>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</si>
  <si>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</si>
  <si>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</si>
  <si>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</si>
  <si>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</si>
  <si>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</si>
  <si>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</si>
  <si>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</si>
  <si>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</si>
  <si>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</si>
  <si>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</si>
  <si>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</si>
  <si>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</si>
  <si>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</si>
  <si>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</si>
  <si>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</si>
  <si>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</si>
  <si>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</si>
  <si>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</si>
  <si>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</si>
  <si>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</si>
  <si>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</si>
  <si>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</si>
  <si>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</si>
  <si>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</si>
  <si>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</si>
  <si>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</si>
  <si>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</si>
  <si>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</si>
  <si>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</si>
  <si>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</si>
  <si>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</si>
  <si>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</si>
  <si>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</si>
  <si>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</si>
  <si>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</si>
  <si>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</si>
  <si>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</si>
  <si>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</si>
  <si>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</si>
  <si>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</si>
  <si>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</si>
  <si>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</si>
  <si>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</si>
  <si>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</si>
  <si>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</si>
  <si>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</si>
  <si>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</si>
  <si>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</si>
  <si>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</si>
  <si>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</si>
  <si>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</si>
  <si>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</si>
  <si>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</si>
  <si>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</si>
  <si>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</si>
  <si>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</si>
  <si>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</si>
  <si>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</si>
  <si>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</si>
  <si>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</si>
  <si>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</si>
  <si>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</si>
  <si>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</si>
  <si>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</si>
  <si>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</si>
  <si>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</si>
  <si>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</si>
  <si>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</si>
  <si>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</si>
  <si>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</si>
  <si>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</si>
  <si>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</si>
  <si>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</si>
  <si>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</si>
  <si>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</si>
  <si>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</si>
  <si>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</si>
  <si>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</si>
  <si>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</si>
  <si>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</si>
  <si>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</si>
  <si>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</si>
  <si>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</si>
  <si>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</si>
  <si>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</si>
  <si>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</si>
  <si>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</si>
  <si>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</si>
  <si>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</si>
  <si>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</si>
  <si>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</si>
  <si>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</si>
  <si>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</si>
  <si>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</si>
  <si>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</si>
  <si>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</si>
  <si>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</si>
  <si>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</si>
  <si>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</si>
  <si>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</si>
  <si>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</si>
  <si>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</si>
  <si>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</si>
  <si>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</si>
  <si>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</si>
  <si>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</si>
  <si>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</si>
  <si>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</si>
  <si>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</si>
  <si>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</si>
  <si>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</si>
  <si>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</si>
  <si>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</si>
  <si>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</si>
  <si>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</si>
  <si>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</si>
  <si>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</si>
  <si>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</si>
  <si>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</si>
  <si>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</si>
  <si>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</si>
  <si>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</si>
  <si>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</si>
  <si>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</si>
  <si>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</si>
  <si>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</si>
  <si>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</si>
  <si>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</si>
  <si>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</si>
  <si>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</si>
  <si>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</si>
  <si>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</si>
  <si>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</si>
  <si>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</si>
  <si>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</si>
  <si>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</si>
  <si>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</si>
  <si>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</si>
  <si>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</si>
  <si>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</si>
  <si>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</si>
  <si>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</si>
  <si>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</si>
  <si>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</si>
  <si>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</si>
  <si>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</si>
  <si>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</si>
  <si>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</si>
  <si>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</si>
  <si>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</si>
  <si>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</si>
  <si>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</si>
  <si>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</si>
  <si>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</si>
  <si>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</si>
  <si>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</si>
  <si>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</si>
  <si>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</si>
  <si>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</si>
  <si>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</si>
  <si>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</si>
  <si>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</si>
  <si>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</si>
  <si>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</si>
  <si>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</si>
  <si>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</si>
  <si>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</si>
  <si>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</si>
  <si>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</si>
  <si>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</si>
  <si>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</si>
  <si>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</si>
  <si>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</si>
  <si>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</si>
  <si>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</si>
  <si>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</si>
  <si>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</si>
  <si>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</si>
  <si>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</si>
  <si>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</si>
  <si>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</si>
  <si>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</si>
  <si>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</si>
  <si>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</si>
  <si>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</si>
  <si>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</si>
  <si>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</si>
  <si>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</si>
  <si>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</si>
  <si>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</si>
  <si>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</si>
  <si>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</si>
  <si>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</si>
  <si>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</si>
  <si>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</si>
  <si>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</si>
  <si>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</si>
  <si>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</si>
  <si>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</si>
  <si>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</si>
  <si>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</si>
  <si>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</si>
  <si>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</si>
  <si>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</si>
  <si>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</si>
  <si>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</si>
  <si>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</si>
  <si>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</si>
  <si>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</si>
  <si>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</si>
  <si>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</si>
  <si>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</si>
  <si>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</si>
  <si>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</si>
  <si>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</si>
  <si>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</si>
  <si>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</si>
  <si>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</si>
  <si>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</si>
  <si>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</si>
  <si>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</si>
  <si>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</si>
  <si>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</si>
  <si>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</si>
  <si>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</si>
  <si>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</si>
  <si>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</si>
  <si>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</si>
  <si>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</si>
  <si>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</si>
  <si>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</si>
  <si>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</si>
  <si>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</si>
  <si>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</si>
  <si>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</si>
  <si>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</si>
  <si>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</si>
  <si>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</si>
  <si>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</si>
  <si>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</si>
  <si>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</si>
  <si>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</si>
  <si>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</si>
  <si>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</si>
  <si>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</si>
  <si>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</si>
  <si>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</si>
  <si>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</si>
  <si>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</si>
  <si>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</si>
  <si>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</si>
  <si>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</si>
  <si>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</si>
  <si>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</si>
  <si>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</si>
  <si>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</si>
  <si>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</si>
  <si>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</si>
  <si>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</si>
  <si>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</si>
  <si>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</si>
  <si>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</si>
  <si>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</si>
  <si>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</si>
  <si>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</si>
  <si>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</si>
  <si>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</si>
  <si>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</si>
  <si>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</si>
  <si>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</si>
  <si>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</si>
  <si>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</si>
  <si>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</si>
  <si>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</si>
  <si>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</si>
  <si>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</si>
  <si>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</si>
  <si>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</si>
  <si>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</si>
  <si>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</si>
  <si>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</si>
  <si>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</si>
  <si>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</si>
  <si>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</si>
  <si>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</si>
  <si>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</si>
  <si>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</si>
  <si>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</si>
  <si>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</si>
  <si>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</si>
  <si>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DAARTALIORTELA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</si>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</sst>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6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  <xf numFmtId="0" fontId="6" fillId="0" borderId="0" xfId="0" quotePrefix="1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38"/>
  <sheetViews>
    <sheetView tabSelected="1" workbookViewId="0">
      <pane ySplit="1" topLeftCell="A4596" activePane="bottomLeft" state="frozen"/>
      <selection pane="bottomLeft" activeCell="D4603" sqref="D4603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3489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3489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3489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3489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3489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3489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3502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3489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3502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3489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3489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3488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3488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3506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3501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3501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3507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3507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3507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3507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3507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3507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3507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3507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3501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3501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3501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3501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3501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3501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3508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3508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3508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3508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3508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3503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3487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3487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3487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3490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3490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3490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3490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3490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3490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3488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3490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3521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40"/>
        <v>1</v>
      </c>
      <c r="Z2255" s="2" t="s">
        <v>104</v>
      </c>
      <c r="AF2255" s="2">
        <f t="shared" si="342"/>
        <v>0</v>
      </c>
      <c r="AJ2255" s="2">
        <f t="shared" si="343"/>
        <v>0</v>
      </c>
      <c r="AK2255" s="2">
        <f t="shared" si="338"/>
        <v>2190</v>
      </c>
      <c r="AL2255" s="5">
        <f t="shared" si="341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3491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3491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3491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3491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3491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3491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3491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3513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3513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3491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3"/>
        <v>1</v>
      </c>
      <c r="AF2751" s="2">
        <f t="shared" si="408"/>
        <v>0</v>
      </c>
      <c r="AJ2751" s="2">
        <f t="shared" si="409"/>
        <v>0</v>
      </c>
      <c r="AK2751" s="2">
        <f t="shared" si="410"/>
        <v>23.62</v>
      </c>
      <c r="AL2751" s="5">
        <f t="shared" si="412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D2863" s="2" t="s">
        <v>37</v>
      </c>
      <c r="E2863" s="2" t="s">
        <v>38</v>
      </c>
      <c r="F2863" s="2" t="s">
        <v>39</v>
      </c>
      <c r="H2863" s="2" t="s">
        <v>40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D2867" s="2" t="s">
        <v>37</v>
      </c>
      <c r="E2867" s="2" t="s">
        <v>38</v>
      </c>
      <c r="F2867" s="2" t="s">
        <v>39</v>
      </c>
      <c r="H2867" s="2" t="s">
        <v>40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D2869" s="2" t="s">
        <v>37</v>
      </c>
      <c r="E2869" s="2" t="s">
        <v>38</v>
      </c>
      <c r="F2869" s="2" t="s">
        <v>39</v>
      </c>
      <c r="H2869" s="2" t="s">
        <v>40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D2876" s="2" t="s">
        <v>37</v>
      </c>
      <c r="E2876" s="2" t="s">
        <v>38</v>
      </c>
      <c r="F2876" s="2" t="s">
        <v>39</v>
      </c>
      <c r="H2876" s="2" t="s">
        <v>40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D2893" s="2" t="s">
        <v>37</v>
      </c>
      <c r="E2893" s="2" t="s">
        <v>38</v>
      </c>
      <c r="F2893" s="2" t="s">
        <v>39</v>
      </c>
      <c r="H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D2912" s="2" t="s">
        <v>37</v>
      </c>
      <c r="E2912" s="2" t="s">
        <v>38</v>
      </c>
      <c r="F2912" s="2" t="s">
        <v>39</v>
      </c>
      <c r="H2912" s="2" t="s">
        <v>40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D2915" s="2" t="s">
        <v>37</v>
      </c>
      <c r="E2915" s="2" t="s">
        <v>38</v>
      </c>
      <c r="F2915" s="2" t="s">
        <v>39</v>
      </c>
      <c r="H2915" s="2" t="s">
        <v>40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D2928" s="2" t="s">
        <v>1590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 t="shared" si="439"/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D2941" s="2" t="s">
        <v>37</v>
      </c>
      <c r="E2941" s="2" t="s">
        <v>38</v>
      </c>
      <c r="F2941" s="2" t="s">
        <v>39</v>
      </c>
      <c r="H2941" s="2" t="s">
        <v>40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D2946" s="2" t="s">
        <v>816</v>
      </c>
      <c r="E2946" s="2" t="s">
        <v>38</v>
      </c>
      <c r="F2946" s="2" t="s">
        <v>39</v>
      </c>
      <c r="L2946" s="2" t="s">
        <v>480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3518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D2965" s="2" t="s">
        <v>37</v>
      </c>
      <c r="E2965" s="2" t="s">
        <v>38</v>
      </c>
      <c r="F2965" s="2" t="s">
        <v>39</v>
      </c>
      <c r="H2965" s="2" t="s">
        <v>40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D2968" s="2" t="s">
        <v>816</v>
      </c>
      <c r="E2968" s="2" t="s">
        <v>38</v>
      </c>
      <c r="F2968" s="2" t="s">
        <v>39</v>
      </c>
      <c r="L2968" s="2" t="s">
        <v>480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D2971" s="2" t="s">
        <v>816</v>
      </c>
      <c r="E2971" s="2" t="s">
        <v>38</v>
      </c>
      <c r="F2971" s="2" t="s">
        <v>39</v>
      </c>
      <c r="L2971" s="2" t="s">
        <v>480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3518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D2987" s="2" t="s">
        <v>37</v>
      </c>
      <c r="E2987" s="2" t="s">
        <v>38</v>
      </c>
      <c r="F2987" s="2" t="s">
        <v>39</v>
      </c>
      <c r="H2987" s="2" t="s">
        <v>40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D3040" s="2" t="s">
        <v>37</v>
      </c>
      <c r="E3040" s="2" t="s">
        <v>38</v>
      </c>
      <c r="F3040" s="2" t="s">
        <v>39</v>
      </c>
      <c r="H3040" s="2" t="s">
        <v>40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3518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D3054" s="2" t="s">
        <v>816</v>
      </c>
      <c r="E3054" s="2" t="s">
        <v>38</v>
      </c>
      <c r="F3054" s="2" t="s">
        <v>39</v>
      </c>
      <c r="L3054" s="2" t="s">
        <v>480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D3160" s="2" t="s">
        <v>37</v>
      </c>
      <c r="E3160" s="2" t="s">
        <v>38</v>
      </c>
      <c r="F3160" s="2" t="s">
        <v>39</v>
      </c>
      <c r="H3160" s="2" t="s">
        <v>40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D3167" s="2" t="s">
        <v>37</v>
      </c>
      <c r="E3167" s="2" t="s">
        <v>38</v>
      </c>
      <c r="F3167" s="2" t="s">
        <v>39</v>
      </c>
      <c r="H3167" s="2" t="s">
        <v>40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D3189" s="2" t="s">
        <v>37</v>
      </c>
      <c r="E3189" s="2" t="s">
        <v>38</v>
      </c>
      <c r="F3189" s="2" t="s">
        <v>39</v>
      </c>
      <c r="H3189" s="2" t="s">
        <v>40</v>
      </c>
      <c r="M3189" s="2" t="s">
        <v>41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D3197" s="2" t="s">
        <v>37</v>
      </c>
      <c r="E3197" s="2" t="s">
        <v>38</v>
      </c>
      <c r="F3197" s="2" t="s">
        <v>39</v>
      </c>
      <c r="H3197" s="2" t="s">
        <v>40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D3199" s="2" t="s">
        <v>2557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D3206" s="2" t="s">
        <v>37</v>
      </c>
      <c r="E3206" s="2" t="s">
        <v>38</v>
      </c>
      <c r="F3206" s="2" t="s">
        <v>39</v>
      </c>
      <c r="H3206" s="2" t="s">
        <v>40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D3211" s="2" t="s">
        <v>2567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D3213" s="2" t="s">
        <v>37</v>
      </c>
      <c r="E3213" s="2" t="s">
        <v>38</v>
      </c>
      <c r="F3213" s="2" t="s">
        <v>39</v>
      </c>
      <c r="H3213" s="2" t="s">
        <v>40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D3217" s="2" t="s">
        <v>37</v>
      </c>
      <c r="E3217" s="2" t="s">
        <v>38</v>
      </c>
      <c r="F3217" s="2" t="s">
        <v>39</v>
      </c>
      <c r="H3217" s="2" t="s">
        <v>40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D3222" s="2" t="s">
        <v>37</v>
      </c>
      <c r="E3222" s="2" t="s">
        <v>38</v>
      </c>
      <c r="F3222" s="2" t="s">
        <v>39</v>
      </c>
      <c r="H3222" s="2" t="s">
        <v>40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D3231" s="2" t="s">
        <v>37</v>
      </c>
      <c r="E3231" s="2" t="s">
        <v>38</v>
      </c>
      <c r="F3231" s="2" t="s">
        <v>39</v>
      </c>
      <c r="H3231" s="2" t="s">
        <v>40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D3283" s="2" t="s">
        <v>2557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D3289" s="2" t="s">
        <v>2567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3505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M3315" s="2" t="s">
        <v>41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X3315" s="5">
        <f t="shared" si="515"/>
        <v>1</v>
      </c>
      <c r="Z3315" s="2" t="s">
        <v>117</v>
      </c>
      <c r="AF3315" s="2">
        <f t="shared" si="511"/>
        <v>0</v>
      </c>
      <c r="AJ3315" s="2">
        <f t="shared" si="512"/>
        <v>0</v>
      </c>
      <c r="AK3315" s="2">
        <f t="shared" si="516"/>
        <v>136.22999999999999</v>
      </c>
      <c r="AL3315" s="5">
        <f t="shared" si="517"/>
        <v>1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3505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3505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D3477" s="2" t="s">
        <v>1255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D3492" s="2" t="s">
        <v>2557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3505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D3534" s="2" t="s">
        <v>2557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5">
        <f t="shared" si="564"/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5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7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8">T3540-W3540</f>
        <v>111</v>
      </c>
      <c r="AL3540" s="5">
        <f t="shared" ref="AL3540:AL3545" si="569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7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8"/>
        <v>0</v>
      </c>
      <c r="AL3541" s="5">
        <f t="shared" si="569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7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8"/>
        <v>0</v>
      </c>
      <c r="AL3542" s="5">
        <f t="shared" si="569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7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8"/>
        <v>0</v>
      </c>
      <c r="AL3543" s="5">
        <f t="shared" si="569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7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8"/>
        <v>0</v>
      </c>
      <c r="AL3544" s="5">
        <f t="shared" si="569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7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8"/>
        <v>0</v>
      </c>
      <c r="AL3545" s="5">
        <f t="shared" si="569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8"/>
        <v>0</v>
      </c>
      <c r="AL3546" s="18">
        <f t="shared" ref="AL3546" si="570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1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2">T3547-W3547</f>
        <v>0</v>
      </c>
      <c r="AL3547" s="5">
        <f t="shared" ref="AL3547:AL3578" si="573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1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2"/>
        <v>0</v>
      </c>
      <c r="AL3548" s="5">
        <f t="shared" si="573"/>
        <v>0</v>
      </c>
    </row>
    <row r="3549" spans="1:38" x14ac:dyDescent="0.2">
      <c r="A3549" s="2">
        <v>2026</v>
      </c>
      <c r="B3549" s="2">
        <v>3</v>
      </c>
      <c r="D3549" s="2" t="s">
        <v>2557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1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2"/>
        <v>0</v>
      </c>
      <c r="AL3549" s="5">
        <f t="shared" si="573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1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2"/>
        <v>0</v>
      </c>
      <c r="AL3550" s="5">
        <f t="shared" si="573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1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2"/>
        <v>0</v>
      </c>
      <c r="AL3551" s="5">
        <f t="shared" si="573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1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2"/>
        <v>0</v>
      </c>
      <c r="AL3552" s="5">
        <f t="shared" si="573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1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2"/>
        <v>0</v>
      </c>
      <c r="AL3553" s="5">
        <f t="shared" si="573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1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2"/>
        <v>0</v>
      </c>
      <c r="AL3554" s="5">
        <f t="shared" si="573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1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2"/>
        <v>0</v>
      </c>
      <c r="AL3555" s="5">
        <f t="shared" si="573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1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2"/>
        <v>0</v>
      </c>
      <c r="AL3556" s="5">
        <f t="shared" si="573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1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2"/>
        <v>0</v>
      </c>
      <c r="AL3557" s="5">
        <f t="shared" si="573"/>
        <v>0</v>
      </c>
    </row>
    <row r="3558" spans="1:38" x14ac:dyDescent="0.2">
      <c r="A3558" s="2">
        <v>2026</v>
      </c>
      <c r="B3558" s="2">
        <v>3</v>
      </c>
      <c r="D3558" s="2" t="s">
        <v>1255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1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2"/>
        <v>0</v>
      </c>
      <c r="AL3558" s="5">
        <f t="shared" si="573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1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2"/>
        <v>0</v>
      </c>
      <c r="AL3559" s="5">
        <f t="shared" si="573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1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2"/>
        <v>0</v>
      </c>
      <c r="AL3560" s="5">
        <f t="shared" si="573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1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2"/>
        <v>0</v>
      </c>
      <c r="AL3561" s="5">
        <f t="shared" si="573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1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2"/>
        <v>0</v>
      </c>
      <c r="AL3562" s="5">
        <f t="shared" si="573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1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2"/>
        <v>0</v>
      </c>
      <c r="AL3563" s="5">
        <f t="shared" si="573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1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2"/>
        <v>0</v>
      </c>
      <c r="AL3564" s="5">
        <f t="shared" si="573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1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2"/>
        <v>0</v>
      </c>
      <c r="AL3565" s="5">
        <f t="shared" si="573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1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2"/>
        <v>0</v>
      </c>
      <c r="AL3566" s="5">
        <f t="shared" si="573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1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2"/>
        <v>0</v>
      </c>
      <c r="AL3567" s="5">
        <f t="shared" si="573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1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2"/>
        <v>0</v>
      </c>
      <c r="AL3568" s="5">
        <f t="shared" si="573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1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2"/>
        <v>0</v>
      </c>
      <c r="AL3569" s="5">
        <f t="shared" si="573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1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2"/>
        <v>0</v>
      </c>
      <c r="AL3570" s="5">
        <f t="shared" si="573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1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2"/>
        <v>0</v>
      </c>
      <c r="AL3571" s="5">
        <f t="shared" si="573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4">T3572*70%</f>
        <v>403.2</v>
      </c>
      <c r="X3572" s="5">
        <f t="shared" si="571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2"/>
        <v>172.8</v>
      </c>
      <c r="AL3572" s="5">
        <f t="shared" si="573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4"/>
        <v>140</v>
      </c>
      <c r="X3573" s="5">
        <f t="shared" si="571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2"/>
        <v>60</v>
      </c>
      <c r="AL3573" s="5">
        <f t="shared" si="573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4"/>
        <v>125.99999999999999</v>
      </c>
      <c r="X3574" s="5">
        <f t="shared" si="571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2"/>
        <v>54.000000000000014</v>
      </c>
      <c r="AL3574" s="5">
        <f t="shared" si="573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4"/>
        <v>125.99999999999999</v>
      </c>
      <c r="X3575" s="5">
        <f t="shared" si="571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2"/>
        <v>54.000000000000014</v>
      </c>
      <c r="AL3575" s="5">
        <f t="shared" si="573"/>
        <v>0.3000000000000001</v>
      </c>
    </row>
    <row r="3576" spans="1:38" x14ac:dyDescent="0.2">
      <c r="A3576" s="2">
        <v>2026</v>
      </c>
      <c r="B3576" s="2">
        <v>3</v>
      </c>
      <c r="C3576" s="2" t="s">
        <v>3504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4"/>
        <v>47.04</v>
      </c>
      <c r="X3576" s="5">
        <f t="shared" si="571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2"/>
        <v>20.160000000000004</v>
      </c>
      <c r="AL3576" s="5">
        <f t="shared" si="573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1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2"/>
        <v>12.439999999999998</v>
      </c>
      <c r="AL3577" s="5">
        <f t="shared" si="573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1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2"/>
        <v>445.75559999999996</v>
      </c>
      <c r="AL3578" s="5">
        <f t="shared" si="573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5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6">T3579-W3579</f>
        <v>117.51000000000002</v>
      </c>
      <c r="AL3579" s="5">
        <f t="shared" ref="AL3579:AL3610" si="577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3504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5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6"/>
        <v>5.43</v>
      </c>
      <c r="AL3580" s="5">
        <f t="shared" si="577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5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6"/>
        <v>9.1433</v>
      </c>
      <c r="AL3581" s="5">
        <f t="shared" si="577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5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6"/>
        <v>84.728400000000008</v>
      </c>
      <c r="AL3582" s="5">
        <f t="shared" si="577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5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6"/>
        <v>17.91</v>
      </c>
      <c r="AL3583" s="5">
        <f t="shared" si="577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5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6"/>
        <v>22.2</v>
      </c>
      <c r="AL3584" s="5">
        <f t="shared" si="577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5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8">AJ3585</f>
        <v>0</v>
      </c>
      <c r="AG3585" s="2">
        <f>63.89+1.02</f>
        <v>64.91</v>
      </c>
      <c r="AJ3585" s="2">
        <f t="shared" ref="AJ3585:AJ3648" si="579">AI3585*T3585</f>
        <v>0</v>
      </c>
      <c r="AK3585" s="2">
        <f t="shared" si="576"/>
        <v>69.259999999999991</v>
      </c>
      <c r="AL3585" s="5">
        <f t="shared" si="577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5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8"/>
        <v>0</v>
      </c>
      <c r="AG3586" s="2">
        <f>W3586</f>
        <v>100</v>
      </c>
      <c r="AJ3586" s="2">
        <f t="shared" si="579"/>
        <v>0</v>
      </c>
      <c r="AK3586" s="2">
        <f t="shared" si="576"/>
        <v>100</v>
      </c>
      <c r="AL3586" s="5">
        <f t="shared" si="577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5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8"/>
        <v>0</v>
      </c>
      <c r="AG3587" s="2">
        <v>183.26</v>
      </c>
      <c r="AJ3587" s="2">
        <f t="shared" si="579"/>
        <v>0</v>
      </c>
      <c r="AK3587" s="2">
        <f t="shared" si="576"/>
        <v>151.26999999999998</v>
      </c>
      <c r="AL3587" s="5">
        <f t="shared" si="577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5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8"/>
        <v>0</v>
      </c>
      <c r="AG3588" s="2">
        <v>22.2</v>
      </c>
      <c r="AJ3588" s="2">
        <f t="shared" si="579"/>
        <v>0</v>
      </c>
      <c r="AK3588" s="2">
        <f t="shared" si="576"/>
        <v>51.816000000000003</v>
      </c>
      <c r="AL3588" s="5">
        <f t="shared" si="577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5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8"/>
        <v>0</v>
      </c>
      <c r="AG3589" s="2">
        <v>22.2</v>
      </c>
      <c r="AJ3589" s="2">
        <f t="shared" si="579"/>
        <v>0</v>
      </c>
      <c r="AK3589" s="2">
        <f t="shared" si="576"/>
        <v>25.908000000000001</v>
      </c>
      <c r="AL3589" s="5">
        <f t="shared" si="577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5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8"/>
        <v>0</v>
      </c>
      <c r="AG3590" s="2">
        <f>249.84+4</f>
        <v>253.84</v>
      </c>
      <c r="AJ3590" s="2">
        <f t="shared" si="579"/>
        <v>0</v>
      </c>
      <c r="AK3590" s="2">
        <f t="shared" si="576"/>
        <v>270.81999999999994</v>
      </c>
      <c r="AL3590" s="5">
        <f t="shared" si="577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5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8"/>
        <v>0</v>
      </c>
      <c r="AG3591" s="2">
        <v>30.22</v>
      </c>
      <c r="AJ3591" s="2">
        <f t="shared" si="579"/>
        <v>0</v>
      </c>
      <c r="AK3591" s="2">
        <f t="shared" si="576"/>
        <v>32.85</v>
      </c>
      <c r="AL3591" s="5">
        <f t="shared" si="577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5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8"/>
        <v>0</v>
      </c>
      <c r="AG3592" s="2">
        <v>342.22</v>
      </c>
      <c r="AJ3592" s="2">
        <f t="shared" si="579"/>
        <v>0</v>
      </c>
      <c r="AK3592" s="2">
        <f t="shared" si="576"/>
        <v>354.09659999999997</v>
      </c>
      <c r="AL3592" s="5">
        <f t="shared" si="577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5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8"/>
        <v>0</v>
      </c>
      <c r="AG3593" s="2">
        <v>342.22</v>
      </c>
      <c r="AJ3593" s="2">
        <f t="shared" si="579"/>
        <v>0</v>
      </c>
      <c r="AK3593" s="2">
        <f t="shared" si="576"/>
        <v>354.09659999999997</v>
      </c>
      <c r="AL3593" s="5">
        <f t="shared" si="577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5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8"/>
        <v>0</v>
      </c>
      <c r="AG3594" s="2">
        <v>342.22</v>
      </c>
      <c r="AJ3594" s="2">
        <f t="shared" si="579"/>
        <v>0</v>
      </c>
      <c r="AK3594" s="2">
        <f t="shared" si="576"/>
        <v>354.09659999999997</v>
      </c>
      <c r="AL3594" s="5">
        <f t="shared" si="577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5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8"/>
        <v>0</v>
      </c>
      <c r="AJ3595" s="2">
        <f t="shared" si="579"/>
        <v>0</v>
      </c>
      <c r="AK3595" s="2">
        <f t="shared" si="576"/>
        <v>352.72999999999996</v>
      </c>
      <c r="AL3595" s="5">
        <f t="shared" si="577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5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8"/>
        <v>0</v>
      </c>
      <c r="AG3596" s="2">
        <v>346.57</v>
      </c>
      <c r="AJ3596" s="2">
        <f t="shared" si="579"/>
        <v>0</v>
      </c>
      <c r="AK3596" s="2">
        <f t="shared" si="576"/>
        <v>352.72999999999996</v>
      </c>
      <c r="AL3596" s="5">
        <f t="shared" si="577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5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8"/>
        <v>0</v>
      </c>
      <c r="AG3597" s="2">
        <v>346.57</v>
      </c>
      <c r="AJ3597" s="2">
        <f t="shared" si="579"/>
        <v>0</v>
      </c>
      <c r="AK3597" s="2">
        <f t="shared" si="576"/>
        <v>352.72999999999996</v>
      </c>
      <c r="AL3597" s="5">
        <f t="shared" si="577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5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8"/>
        <v>0</v>
      </c>
      <c r="AJ3598" s="2">
        <f t="shared" si="579"/>
        <v>0</v>
      </c>
      <c r="AK3598" s="2">
        <f t="shared" si="576"/>
        <v>352.72999999999996</v>
      </c>
      <c r="AL3598" s="5">
        <f t="shared" si="577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5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8"/>
        <v>0</v>
      </c>
      <c r="AJ3599" s="2">
        <f t="shared" si="579"/>
        <v>0</v>
      </c>
      <c r="AK3599" s="2">
        <f t="shared" si="576"/>
        <v>229.38000000000005</v>
      </c>
      <c r="AL3599" s="5">
        <f t="shared" si="577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5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8"/>
        <v>0</v>
      </c>
      <c r="AG3600" s="2">
        <f>167.92</f>
        <v>167.92</v>
      </c>
      <c r="AJ3600" s="2">
        <f t="shared" si="579"/>
        <v>0</v>
      </c>
      <c r="AK3600" s="2">
        <f t="shared" si="576"/>
        <v>188.89000000000001</v>
      </c>
      <c r="AL3600" s="5">
        <f t="shared" si="577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5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8"/>
        <v>0</v>
      </c>
      <c r="AG3601" s="2">
        <f>W3601</f>
        <v>36.800000000000004</v>
      </c>
      <c r="AJ3601" s="2">
        <f t="shared" si="579"/>
        <v>0</v>
      </c>
      <c r="AK3601" s="2">
        <f t="shared" si="576"/>
        <v>55.199999999999996</v>
      </c>
      <c r="AL3601" s="5">
        <f t="shared" si="577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5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8"/>
        <v>0</v>
      </c>
      <c r="AG3602" s="2">
        <f>231.78+0.96</f>
        <v>232.74</v>
      </c>
      <c r="AJ3602" s="2">
        <f t="shared" si="579"/>
        <v>0</v>
      </c>
      <c r="AK3602" s="2">
        <f t="shared" si="576"/>
        <v>250.9734</v>
      </c>
      <c r="AL3602" s="5">
        <f t="shared" si="577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5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8"/>
        <v>0</v>
      </c>
      <c r="AG3603" s="2">
        <v>565.755</v>
      </c>
      <c r="AJ3603" s="2">
        <f t="shared" si="579"/>
        <v>0</v>
      </c>
      <c r="AK3603" s="2">
        <f t="shared" si="576"/>
        <v>1279.1445000000001</v>
      </c>
      <c r="AL3603" s="5">
        <f t="shared" si="577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5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8"/>
        <v>0</v>
      </c>
      <c r="AG3604" s="2">
        <v>255.65</v>
      </c>
      <c r="AJ3604" s="2">
        <f t="shared" si="579"/>
        <v>0</v>
      </c>
      <c r="AK3604" s="2">
        <f t="shared" si="576"/>
        <v>514.59</v>
      </c>
      <c r="AL3604" s="5">
        <f t="shared" si="577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5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8"/>
        <v>0</v>
      </c>
      <c r="AG3605" s="2">
        <v>102.88249999999999</v>
      </c>
      <c r="AJ3605" s="2">
        <f t="shared" si="579"/>
        <v>0</v>
      </c>
      <c r="AK3605" s="2">
        <f t="shared" si="576"/>
        <v>112.075</v>
      </c>
      <c r="AL3605" s="5">
        <f t="shared" si="577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5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8"/>
        <v>0</v>
      </c>
      <c r="AG3606" s="2">
        <v>42.436799999999998</v>
      </c>
      <c r="AJ3606" s="2">
        <f t="shared" si="579"/>
        <v>0</v>
      </c>
      <c r="AK3606" s="2">
        <f t="shared" si="576"/>
        <v>46.603200000000008</v>
      </c>
      <c r="AL3606" s="5">
        <f t="shared" si="577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5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8"/>
        <v>0</v>
      </c>
      <c r="AG3607" s="2">
        <v>42.436799999999998</v>
      </c>
      <c r="AJ3607" s="2">
        <f t="shared" si="579"/>
        <v>0</v>
      </c>
      <c r="AK3607" s="2">
        <f t="shared" si="576"/>
        <v>11.613199999999999</v>
      </c>
      <c r="AL3607" s="5">
        <f t="shared" si="577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5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8"/>
        <v>0</v>
      </c>
      <c r="AG3608" s="2">
        <f>15.49+0.25</f>
        <v>15.74</v>
      </c>
      <c r="AJ3608" s="2">
        <f t="shared" si="579"/>
        <v>0</v>
      </c>
      <c r="AK3608" s="2">
        <f t="shared" si="576"/>
        <v>16.79</v>
      </c>
      <c r="AL3608" s="5">
        <f t="shared" si="577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5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8"/>
        <v>0</v>
      </c>
      <c r="AG3609" s="2">
        <v>21.32</v>
      </c>
      <c r="AJ3609" s="2">
        <f t="shared" si="579"/>
        <v>0</v>
      </c>
      <c r="AK3609" s="2">
        <f t="shared" si="576"/>
        <v>25.270000000000003</v>
      </c>
      <c r="AL3609" s="5">
        <f t="shared" si="577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5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8"/>
        <v>0</v>
      </c>
      <c r="AG3610" s="2">
        <v>19.5167</v>
      </c>
      <c r="AJ3610" s="2">
        <f t="shared" si="579"/>
        <v>0</v>
      </c>
      <c r="AK3610" s="2">
        <f t="shared" si="576"/>
        <v>21.823300000000003</v>
      </c>
      <c r="AL3610" s="5">
        <f t="shared" si="577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8"/>
        <v>0</v>
      </c>
      <c r="AJ3611" s="2">
        <f t="shared" si="579"/>
        <v>0</v>
      </c>
      <c r="AK3611" s="2">
        <f t="shared" si="576"/>
        <v>-121.31</v>
      </c>
      <c r="AL3611" s="18">
        <f t="shared" ref="AL3611" si="580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1">(T3612-W3612)/T3612</f>
        <v>1</v>
      </c>
      <c r="Z3612" s="2" t="s">
        <v>117</v>
      </c>
      <c r="AF3612" s="2">
        <f t="shared" si="578"/>
        <v>0</v>
      </c>
      <c r="AJ3612" s="2">
        <f t="shared" si="579"/>
        <v>0</v>
      </c>
      <c r="AK3612" s="2">
        <f t="shared" ref="AK3612:AK3635" si="582">T3612-W3612</f>
        <v>140.24</v>
      </c>
      <c r="AL3612" s="5">
        <f t="shared" ref="AL3612:AL3634" si="583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1"/>
        <v>1</v>
      </c>
      <c r="Z3613" s="2" t="s">
        <v>117</v>
      </c>
      <c r="AF3613" s="2">
        <f t="shared" si="578"/>
        <v>0</v>
      </c>
      <c r="AJ3613" s="2">
        <f t="shared" si="579"/>
        <v>0</v>
      </c>
      <c r="AK3613" s="2">
        <f t="shared" si="582"/>
        <v>1031.94</v>
      </c>
      <c r="AL3613" s="5">
        <f t="shared" si="583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1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8"/>
        <v>0</v>
      </c>
      <c r="AJ3614" s="2">
        <f t="shared" si="579"/>
        <v>0</v>
      </c>
      <c r="AK3614" s="2">
        <f t="shared" si="582"/>
        <v>1028.0500000000002</v>
      </c>
      <c r="AL3614" s="5">
        <f t="shared" si="583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1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8"/>
        <v>0</v>
      </c>
      <c r="AJ3615" s="2">
        <f t="shared" si="579"/>
        <v>0</v>
      </c>
      <c r="AK3615" s="2">
        <f t="shared" si="582"/>
        <v>5320.6</v>
      </c>
      <c r="AL3615" s="5">
        <f t="shared" si="583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1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8"/>
        <v>0</v>
      </c>
      <c r="AJ3616" s="2">
        <f t="shared" si="579"/>
        <v>0</v>
      </c>
      <c r="AK3616" s="2">
        <f t="shared" si="582"/>
        <v>4004.8500000000004</v>
      </c>
      <c r="AL3616" s="5">
        <f t="shared" si="583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1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8"/>
        <v>0</v>
      </c>
      <c r="AG3617" s="2">
        <f>6193.4+275.33</f>
        <v>6468.73</v>
      </c>
      <c r="AJ3617" s="2">
        <f t="shared" si="579"/>
        <v>0</v>
      </c>
      <c r="AK3617" s="2">
        <f t="shared" si="582"/>
        <v>2461.2700000000004</v>
      </c>
      <c r="AL3617" s="5">
        <f t="shared" si="583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1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8"/>
        <v>0</v>
      </c>
      <c r="AG3618" s="2">
        <v>6468.73</v>
      </c>
      <c r="AJ3618" s="2">
        <f t="shared" si="579"/>
        <v>0</v>
      </c>
      <c r="AK3618" s="2">
        <f t="shared" si="582"/>
        <v>2461.2700000000004</v>
      </c>
      <c r="AL3618" s="5">
        <f t="shared" si="583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1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8"/>
        <v>0</v>
      </c>
      <c r="AG3619" s="2">
        <f>4893.23+171</f>
        <v>5064.2299999999996</v>
      </c>
      <c r="AJ3619" s="2">
        <f t="shared" si="579"/>
        <v>0</v>
      </c>
      <c r="AK3619" s="2">
        <f t="shared" si="582"/>
        <v>2275.7700000000004</v>
      </c>
      <c r="AL3619" s="5">
        <f t="shared" si="583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1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8"/>
        <v>0</v>
      </c>
      <c r="AG3620" s="2">
        <f>4893.23+171</f>
        <v>5064.2299999999996</v>
      </c>
      <c r="AJ3620" s="2">
        <f t="shared" si="579"/>
        <v>0</v>
      </c>
      <c r="AK3620" s="2">
        <f t="shared" si="582"/>
        <v>1925.7700000000004</v>
      </c>
      <c r="AL3620" s="5">
        <f t="shared" si="583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1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8"/>
        <v>0</v>
      </c>
      <c r="AG3621" s="2">
        <v>10.15</v>
      </c>
      <c r="AJ3621" s="2">
        <f t="shared" si="579"/>
        <v>0</v>
      </c>
      <c r="AK3621" s="2">
        <f t="shared" si="582"/>
        <v>58.71</v>
      </c>
      <c r="AL3621" s="5">
        <f t="shared" si="583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1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8"/>
        <v>0</v>
      </c>
      <c r="AJ3622" s="2">
        <f t="shared" si="579"/>
        <v>0</v>
      </c>
      <c r="AK3622" s="2">
        <f t="shared" si="582"/>
        <v>1963.1800000000003</v>
      </c>
      <c r="AL3622" s="5">
        <f t="shared" si="583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1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8"/>
        <v>0</v>
      </c>
      <c r="AG3623" s="2">
        <v>14.34</v>
      </c>
      <c r="AJ3623" s="2">
        <f t="shared" si="579"/>
        <v>0</v>
      </c>
      <c r="AK3623" s="2">
        <f t="shared" si="582"/>
        <v>29.119999999999997</v>
      </c>
      <c r="AL3623" s="5">
        <f t="shared" si="583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1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8"/>
        <v>0</v>
      </c>
      <c r="AJ3624" s="2">
        <f t="shared" si="579"/>
        <v>0</v>
      </c>
      <c r="AK3624" s="2">
        <f t="shared" si="582"/>
        <v>1.129999999999999</v>
      </c>
      <c r="AL3624" s="5">
        <f t="shared" si="583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1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8"/>
        <v>0</v>
      </c>
      <c r="AJ3625" s="2">
        <f t="shared" si="579"/>
        <v>0</v>
      </c>
      <c r="AK3625" s="2">
        <f t="shared" si="582"/>
        <v>8.9499999999999886</v>
      </c>
      <c r="AL3625" s="5">
        <f t="shared" si="583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1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8"/>
        <v>0</v>
      </c>
      <c r="AG3626" s="2">
        <v>1458</v>
      </c>
      <c r="AJ3626" s="2">
        <f t="shared" si="579"/>
        <v>0</v>
      </c>
      <c r="AK3626" s="2">
        <f t="shared" si="582"/>
        <v>532</v>
      </c>
      <c r="AL3626" s="5">
        <f t="shared" si="583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1"/>
        <v>0.24989949748743717</v>
      </c>
      <c r="Z3627" s="2" t="s">
        <v>104</v>
      </c>
      <c r="AF3627" s="2">
        <f t="shared" si="578"/>
        <v>0</v>
      </c>
      <c r="AJ3627" s="2">
        <f t="shared" si="579"/>
        <v>0</v>
      </c>
      <c r="AK3627" s="2">
        <f t="shared" si="582"/>
        <v>497.29999999999995</v>
      </c>
      <c r="AL3627" s="5">
        <f t="shared" si="583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1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8"/>
        <v>0</v>
      </c>
      <c r="AJ3628" s="2">
        <f t="shared" si="579"/>
        <v>0</v>
      </c>
      <c r="AK3628" s="2">
        <f t="shared" si="582"/>
        <v>298.29999999999995</v>
      </c>
      <c r="AL3628" s="5">
        <f t="shared" si="583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1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8"/>
        <v>0</v>
      </c>
      <c r="AG3629" s="2">
        <v>1458</v>
      </c>
      <c r="AJ3629" s="2">
        <f t="shared" si="579"/>
        <v>0</v>
      </c>
      <c r="AK3629" s="2">
        <f t="shared" si="582"/>
        <v>532</v>
      </c>
      <c r="AL3629" s="5">
        <f t="shared" si="583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1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8"/>
        <v>0</v>
      </c>
      <c r="AG3630" s="2">
        <v>1578</v>
      </c>
      <c r="AJ3630" s="2">
        <f t="shared" si="579"/>
        <v>0</v>
      </c>
      <c r="AK3630" s="2">
        <f t="shared" si="582"/>
        <v>412</v>
      </c>
      <c r="AL3630" s="5">
        <f t="shared" si="583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1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8"/>
        <v>0</v>
      </c>
      <c r="AJ3631" s="2">
        <f t="shared" si="579"/>
        <v>0</v>
      </c>
      <c r="AK3631" s="2">
        <f t="shared" si="582"/>
        <v>357</v>
      </c>
      <c r="AL3631" s="5">
        <f t="shared" si="583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1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8"/>
        <v>0</v>
      </c>
      <c r="AJ3632" s="2">
        <f t="shared" si="579"/>
        <v>0</v>
      </c>
      <c r="AK3632" s="2">
        <f t="shared" si="582"/>
        <v>37.5</v>
      </c>
      <c r="AL3632" s="5">
        <f t="shared" si="583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1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8"/>
        <v>0</v>
      </c>
      <c r="AG3633" s="2">
        <v>299.25</v>
      </c>
      <c r="AJ3633" s="2">
        <f t="shared" si="579"/>
        <v>0</v>
      </c>
      <c r="AK3633" s="2">
        <f t="shared" si="582"/>
        <v>87.779999999999973</v>
      </c>
      <c r="AL3633" s="5">
        <f t="shared" si="583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1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8"/>
        <v>0</v>
      </c>
      <c r="AG3634" s="2">
        <v>77.400000000000006</v>
      </c>
      <c r="AJ3634" s="2">
        <f t="shared" si="579"/>
        <v>0</v>
      </c>
      <c r="AK3634" s="2">
        <f t="shared" si="582"/>
        <v>47.72999999999999</v>
      </c>
      <c r="AL3634" s="5">
        <f t="shared" si="583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8"/>
        <v>0</v>
      </c>
      <c r="AJ3635" s="2">
        <f t="shared" si="579"/>
        <v>0</v>
      </c>
      <c r="AK3635" s="2">
        <f t="shared" si="582"/>
        <v>-345</v>
      </c>
      <c r="AL3635" s="18">
        <f t="shared" ref="AL3635" si="584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8"/>
        <v>0</v>
      </c>
      <c r="AJ3636" s="2">
        <f t="shared" si="579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8"/>
        <v>0</v>
      </c>
      <c r="AJ3637" s="2">
        <f t="shared" si="579"/>
        <v>0</v>
      </c>
      <c r="AK3637" s="2">
        <f t="shared" ref="AK3637" si="585">T3637-W3637</f>
        <v>-345</v>
      </c>
      <c r="AL3637" s="18">
        <f t="shared" ref="AL3637" si="586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8"/>
        <v>0</v>
      </c>
      <c r="AG3638" s="2">
        <v>14.535</v>
      </c>
      <c r="AH3638" s="2">
        <v>25.2</v>
      </c>
      <c r="AJ3638" s="2">
        <f t="shared" si="579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8"/>
        <v>0</v>
      </c>
      <c r="AG3639" s="2">
        <v>10</v>
      </c>
      <c r="AH3639" s="2">
        <v>21</v>
      </c>
      <c r="AJ3639" s="2">
        <f t="shared" si="579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8"/>
        <v>0</v>
      </c>
      <c r="AG3640" s="2">
        <v>10.67</v>
      </c>
      <c r="AH3640" s="2">
        <v>21</v>
      </c>
      <c r="AJ3640" s="2">
        <f t="shared" si="579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8"/>
        <v>0</v>
      </c>
      <c r="AG3641" s="2">
        <v>122.446</v>
      </c>
      <c r="AH3641" s="2">
        <v>230</v>
      </c>
      <c r="AJ3641" s="2">
        <f t="shared" si="579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8"/>
        <v>0</v>
      </c>
      <c r="AG3642" s="2">
        <v>1.48</v>
      </c>
      <c r="AH3642" s="2">
        <v>1.48</v>
      </c>
      <c r="AJ3642" s="2">
        <f t="shared" si="579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8"/>
        <v>0</v>
      </c>
      <c r="AG3643" s="2">
        <v>6.6266999999999996</v>
      </c>
      <c r="AH3643" s="2">
        <v>12</v>
      </c>
      <c r="AJ3643" s="2">
        <f t="shared" si="579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8"/>
        <v>0</v>
      </c>
      <c r="AG3644" s="2">
        <v>6.6266999999999996</v>
      </c>
      <c r="AH3644" s="2">
        <v>12</v>
      </c>
      <c r="AJ3644" s="2">
        <f t="shared" si="579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8"/>
        <v>0</v>
      </c>
      <c r="AG3645" s="2">
        <v>6.6266999999999996</v>
      </c>
      <c r="AH3645" s="2">
        <v>12</v>
      </c>
      <c r="AJ3645" s="2">
        <f t="shared" si="579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8"/>
        <v>0</v>
      </c>
      <c r="AG3646" s="2">
        <v>6.6266999999999996</v>
      </c>
      <c r="AH3646" s="2">
        <v>12</v>
      </c>
      <c r="AJ3646" s="2">
        <f t="shared" si="579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8"/>
        <v>0</v>
      </c>
      <c r="AG3647" s="2">
        <v>6.6266999999999996</v>
      </c>
      <c r="AH3647" s="2">
        <v>12</v>
      </c>
      <c r="AJ3647" s="2">
        <f t="shared" si="579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8"/>
        <v>0</v>
      </c>
      <c r="AG3648" s="2">
        <v>6.6266999999999996</v>
      </c>
      <c r="AH3648" s="2">
        <v>12</v>
      </c>
      <c r="AJ3648" s="2">
        <f t="shared" si="579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3504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3504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3520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5" t="e">
        <f t="shared" si="638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2921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3378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D3905" s="2" t="s">
        <v>2557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X3905" s="5">
        <f t="shared" si="645"/>
        <v>1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1.48</v>
      </c>
      <c r="AL3905" s="5">
        <f t="shared" si="646"/>
        <v>1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1310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D3953" s="2" t="s">
        <v>2567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D3959" s="2" t="s">
        <v>1255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1310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3378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/>
      <c r="D4054" s="2" t="s">
        <v>3100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/>
      <c r="D4055" s="2" t="s">
        <v>3100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3378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3516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3516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3516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/>
      <c r="D4108" s="2" t="s">
        <v>2557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X4108" s="5">
        <f t="shared" si="700"/>
        <v>1</v>
      </c>
      <c r="AI4108" s="2"/>
      <c r="AK4108" s="2">
        <f t="shared" si="701"/>
        <v>140.37</v>
      </c>
      <c r="AL4108" s="5">
        <f t="shared" si="70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3517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3519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3378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3378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3378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3378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3378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3378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1310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3492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3492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3492</v>
      </c>
      <c r="Z4493" s="2" t="s">
        <v>117</v>
      </c>
      <c r="AA4493" s="2" t="s">
        <v>1310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3492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3492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3492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3492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3492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3492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3492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3492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3492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3492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3492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3492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3493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3493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3494</v>
      </c>
      <c r="R4536" s="2" t="s">
        <v>3495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3378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3496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3496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3496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3496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3497</v>
      </c>
      <c r="R4560" s="2" t="s">
        <v>3498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3492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3492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3492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3492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3492</v>
      </c>
      <c r="Z4565" s="2" t="s">
        <v>119</v>
      </c>
      <c r="AA4565" s="2" t="s">
        <v>3378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3499</v>
      </c>
      <c r="E4570" s="2" t="s">
        <v>183</v>
      </c>
      <c r="F4570" s="2" t="s">
        <v>3500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3378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3509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3509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3510</v>
      </c>
      <c r="R4572" s="2" t="s">
        <v>3511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3509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3509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3509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3509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3509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3509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3510</v>
      </c>
      <c r="R4578" s="2" t="s">
        <v>3511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3509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3509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3509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3509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3509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3509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3509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3509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3509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3509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3509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3509</v>
      </c>
      <c r="D4590" s="2" t="s">
        <v>3512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3509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38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3509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3509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3509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3509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3509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3226</v>
      </c>
      <c r="AA4596" s="2" t="s">
        <v>71</v>
      </c>
      <c r="AB4596" s="2" t="s">
        <v>68</v>
      </c>
      <c r="AC4596" s="2" t="s">
        <v>3514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3509</v>
      </c>
      <c r="D4597" s="2" t="s">
        <v>3493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3509</v>
      </c>
      <c r="D4598" s="2" t="s">
        <v>3493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3509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3509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3509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3509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3509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3509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3509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3509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3509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3509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3509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3509</v>
      </c>
      <c r="D4610" s="35" t="s">
        <v>3515</v>
      </c>
      <c r="E4610" s="2" t="s">
        <v>38</v>
      </c>
      <c r="F4610" s="2" t="s">
        <v>39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3509</v>
      </c>
      <c r="D4611" s="35" t="s">
        <v>3515</v>
      </c>
      <c r="E4611" s="2" t="s">
        <v>38</v>
      </c>
      <c r="F4611" s="2" t="s">
        <v>39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3509</v>
      </c>
      <c r="D4612" s="35" t="s">
        <v>3515</v>
      </c>
      <c r="E4612" s="2" t="s">
        <v>38</v>
      </c>
      <c r="F4612" s="2" t="s">
        <v>39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3509</v>
      </c>
      <c r="D4613" s="35" t="s">
        <v>3515</v>
      </c>
      <c r="E4613" s="2" t="s">
        <v>38</v>
      </c>
      <c r="F4613" s="2" t="s">
        <v>39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3509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3509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3509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3509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3509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3509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3509</v>
      </c>
      <c r="D4620" s="35" t="s">
        <v>3515</v>
      </c>
      <c r="E4620" s="2" t="s">
        <v>38</v>
      </c>
      <c r="F4620" s="2" t="s">
        <v>39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38" si="853">T4620-W4620</f>
        <v>5.4901</v>
      </c>
      <c r="AL4620" s="5">
        <f t="shared" ref="AL4620:AL4638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3509</v>
      </c>
      <c r="D4621" s="35" t="s">
        <v>3515</v>
      </c>
      <c r="E4621" s="2" t="s">
        <v>38</v>
      </c>
      <c r="F4621" s="2" t="s">
        <v>39</v>
      </c>
      <c r="L4621" s="2" t="s">
        <v>3268</v>
      </c>
      <c r="M4621" s="2" t="s">
        <v>80</v>
      </c>
      <c r="P4621" s="2" t="s">
        <v>43</v>
      </c>
      <c r="Q4621" s="2" t="s">
        <v>3522</v>
      </c>
      <c r="R4621" s="2" t="s">
        <v>3523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3509</v>
      </c>
      <c r="D4622" s="35" t="s">
        <v>3515</v>
      </c>
      <c r="E4622" s="2" t="s">
        <v>38</v>
      </c>
      <c r="F4622" s="2" t="s">
        <v>39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3509</v>
      </c>
      <c r="D4623" s="35" t="s">
        <v>3515</v>
      </c>
      <c r="E4623" s="2" t="s">
        <v>38</v>
      </c>
      <c r="F4623" s="2" t="s">
        <v>39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3509</v>
      </c>
      <c r="D4624" s="35" t="s">
        <v>3515</v>
      </c>
      <c r="E4624" s="2" t="s">
        <v>38</v>
      </c>
      <c r="F4624" s="2" t="s">
        <v>39</v>
      </c>
      <c r="L4624" s="2" t="s">
        <v>3268</v>
      </c>
      <c r="M4624" s="2" t="s">
        <v>80</v>
      </c>
      <c r="P4624" s="2" t="s">
        <v>166</v>
      </c>
      <c r="Q4624" s="2" t="s">
        <v>3524</v>
      </c>
      <c r="R4624" s="2" t="s">
        <v>3525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3509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3509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3509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3509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3509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3526</v>
      </c>
      <c r="R4629" s="2" t="s">
        <v>3527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X4629" s="18">
        <f t="shared" si="842"/>
        <v>1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918</v>
      </c>
      <c r="AL4629" s="5">
        <f t="shared" si="854"/>
        <v>1</v>
      </c>
    </row>
    <row r="4630" spans="1:38" x14ac:dyDescent="0.2">
      <c r="A4630" s="2">
        <v>2026</v>
      </c>
      <c r="B4630" s="2">
        <v>8</v>
      </c>
      <c r="C4630" s="2" t="s">
        <v>3509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3492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3509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3492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3509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3492</v>
      </c>
      <c r="Z4632" s="2" t="s">
        <v>117</v>
      </c>
      <c r="AA4632" s="2" t="s">
        <v>118</v>
      </c>
      <c r="AB4632" s="2" t="s">
        <v>119</v>
      </c>
      <c r="AC4632" s="2" t="s">
        <v>3529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3509</v>
      </c>
      <c r="D4633" s="2" t="s">
        <v>3528</v>
      </c>
      <c r="E4633" s="2" t="s">
        <v>38</v>
      </c>
      <c r="F4633" s="2" t="s">
        <v>3530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3509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5">
        <f t="shared" si="854"/>
        <v>1.4993082162622393</v>
      </c>
    </row>
    <row r="4635" spans="1:38" x14ac:dyDescent="0.2">
      <c r="A4635" s="2">
        <v>2026</v>
      </c>
      <c r="B4635" s="2">
        <v>8</v>
      </c>
      <c r="C4635" s="2" t="s">
        <v>3509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5">
        <f t="shared" si="854"/>
        <v>1.483262861169838</v>
      </c>
    </row>
    <row r="4636" spans="1:38" x14ac:dyDescent="0.2">
      <c r="A4636" s="2">
        <v>2026</v>
      </c>
      <c r="B4636" s="2">
        <v>8</v>
      </c>
      <c r="C4636" s="2" t="s">
        <v>3509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5">
        <f t="shared" si="854"/>
        <v>1.4</v>
      </c>
    </row>
    <row r="4637" spans="1:38" x14ac:dyDescent="0.2">
      <c r="A4637" s="2">
        <v>2026</v>
      </c>
      <c r="B4637" s="2">
        <v>8</v>
      </c>
      <c r="C4637" s="2" t="s">
        <v>3509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5">
        <f t="shared" si="854"/>
        <v>1.5</v>
      </c>
    </row>
    <row r="4638" spans="1:38" x14ac:dyDescent="0.2">
      <c r="A4638" s="2">
        <v>2026</v>
      </c>
      <c r="B4638" s="2">
        <v>8</v>
      </c>
      <c r="C4638" s="2" t="s">
        <v>3509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3378</v>
      </c>
      <c r="AK4638" s="2">
        <f t="shared" si="853"/>
        <v>-148.75</v>
      </c>
      <c r="AL4638" s="5">
        <f t="shared" si="854"/>
        <v>1.7</v>
      </c>
    </row>
  </sheetData>
  <autoFilter ref="A1:AL4638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2026-08-07T09:07:16Z</dcterms:modified>
</cp:coreProperties>
</file>