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8D38350E-BCD4-464C-8FDD-35E8B7AED4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14" i="1" l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494" i="1"/>
  <c r="X4502" i="1"/>
  <c r="X4503" i="1"/>
  <c r="X4507" i="1"/>
  <c r="AK4488" i="1"/>
  <c r="AL4488" i="1"/>
  <c r="AK4489" i="1"/>
  <c r="AK4491" i="1"/>
  <c r="AL4491" i="1"/>
  <c r="AK4494" i="1"/>
  <c r="AL4494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550" i="1"/>
  <c r="AK550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X539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K2784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153" i="1" l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<sst xmlns="http://schemas.openxmlformats.org/spreadsheetml/2006/main" count="58363" uniqueCount="3487">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</sst>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4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14"/>
  <sheetViews>
    <sheetView tabSelected="1" workbookViewId="0">
      <pane ySplit="1" topLeftCell="A412" activePane="bottomLeft" state="frozen"/>
      <selection pane="bottomLeft" activeCell="E1279" sqref="E127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6"/>
        <v>8</v>
      </c>
      <c r="AL43" s="5">
        <f t="shared" si="7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118</v>
      </c>
      <c r="AA128" s="2" t="s">
        <v>318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120</v>
      </c>
      <c r="AA157" s="2" t="s">
        <v>3384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120</v>
      </c>
      <c r="AA167" s="2" t="s">
        <v>3384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120</v>
      </c>
      <c r="AA172" s="2" t="s">
        <v>3384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118</v>
      </c>
      <c r="AA177" s="2" t="s">
        <v>318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118</v>
      </c>
      <c r="AA181" s="2" t="s">
        <v>318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4" si="25">(T183-W183)/T183</f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5"/>
        <v>1</v>
      </c>
      <c r="Z187" s="2" t="s">
        <v>170</v>
      </c>
      <c r="AA187" s="2" t="s">
        <v>170</v>
      </c>
      <c r="AF187" s="2">
        <f t="shared" si="19"/>
        <v>0</v>
      </c>
      <c r="AJ187" s="2">
        <f t="shared" si="20"/>
        <v>0</v>
      </c>
      <c r="AK187" s="2">
        <f t="shared" si="23"/>
        <v>4.5</v>
      </c>
      <c r="AL187" s="5">
        <f t="shared" si="24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120</v>
      </c>
      <c r="AA212" s="2" t="s">
        <v>3384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si="25"/>
        <v>1</v>
      </c>
      <c r="Z213" s="2" t="s">
        <v>118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5"/>
        <v>1</v>
      </c>
      <c r="Z214" s="2" t="s">
        <v>118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120</v>
      </c>
      <c r="AA221" s="2" t="s">
        <v>493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30"/>
        <v>1</v>
      </c>
      <c r="Z238" s="2" t="s">
        <v>170</v>
      </c>
      <c r="AA238" s="2" t="s">
        <v>170</v>
      </c>
      <c r="AF238" s="2">
        <f t="shared" si="28"/>
        <v>0</v>
      </c>
      <c r="AJ238" s="2">
        <f t="shared" si="29"/>
        <v>0</v>
      </c>
      <c r="AK238" s="2">
        <f t="shared" si="31"/>
        <v>8.5</v>
      </c>
      <c r="AL238" s="5">
        <f t="shared" si="32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118</v>
      </c>
      <c r="AA252" s="2" t="s">
        <v>318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3"/>
        <v>1</v>
      </c>
      <c r="Z261" s="2" t="s">
        <v>118</v>
      </c>
      <c r="AA261" s="2" t="s">
        <v>119</v>
      </c>
      <c r="AB261" s="2" t="s">
        <v>120</v>
      </c>
      <c r="AF261" s="2">
        <f t="shared" si="36"/>
        <v>0</v>
      </c>
      <c r="AJ261" s="2">
        <f t="shared" si="37"/>
        <v>0</v>
      </c>
      <c r="AK261" s="2">
        <f t="shared" si="35"/>
        <v>267.18</v>
      </c>
      <c r="AL261" s="5">
        <f t="shared" si="34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8"/>
        <v>1</v>
      </c>
      <c r="Z266" s="2" t="s">
        <v>170</v>
      </c>
      <c r="AA266" s="2" t="s">
        <v>170</v>
      </c>
      <c r="AF266" s="2">
        <f t="shared" si="36"/>
        <v>0</v>
      </c>
      <c r="AJ266" s="2">
        <f t="shared" si="37"/>
        <v>0</v>
      </c>
      <c r="AK266" s="2">
        <f t="shared" si="35"/>
        <v>5.5</v>
      </c>
      <c r="AL266" s="5">
        <f t="shared" si="39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1103</v>
      </c>
      <c r="J274" s="2" t="s">
        <v>1104</v>
      </c>
      <c r="L274" s="2" t="s">
        <v>178</v>
      </c>
      <c r="M274" s="2" t="s">
        <v>41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8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6"/>
        <v>0</v>
      </c>
      <c r="AJ286" s="2">
        <f t="shared" si="37"/>
        <v>0</v>
      </c>
      <c r="AK286" s="2">
        <f t="shared" si="40"/>
        <v>3.99</v>
      </c>
      <c r="AL286" s="5">
        <f t="shared" si="39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118</v>
      </c>
      <c r="AA295" s="2" t="s">
        <v>318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105</v>
      </c>
      <c r="AA301" s="2" t="s">
        <v>617</v>
      </c>
      <c r="AB301" s="2" t="s">
        <v>3442</v>
      </c>
      <c r="AC301" s="2" t="s">
        <v>115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42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6"/>
        <v>0</v>
      </c>
      <c r="AJ307" s="2">
        <f t="shared" si="37"/>
        <v>0</v>
      </c>
      <c r="AK307" s="2">
        <f t="shared" si="40"/>
        <v>8.6999999999999993</v>
      </c>
      <c r="AL307" s="5">
        <f t="shared" si="41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42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6"/>
        <v>0</v>
      </c>
      <c r="AJ308" s="2">
        <f t="shared" si="37"/>
        <v>0</v>
      </c>
      <c r="AK308" s="2">
        <f t="shared" si="40"/>
        <v>27</v>
      </c>
      <c r="AL308" s="5">
        <f t="shared" si="41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43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6"/>
        <v>0</v>
      </c>
      <c r="AJ321" s="2">
        <f t="shared" si="37"/>
        <v>0</v>
      </c>
      <c r="AK321" s="2">
        <f t="shared" si="44"/>
        <v>62.6</v>
      </c>
      <c r="AL321" s="5">
        <f t="shared" si="45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3460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3460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8"/>
        <v>1</v>
      </c>
      <c r="Z333" s="2" t="s">
        <v>170</v>
      </c>
      <c r="AA333" s="2" t="s">
        <v>170</v>
      </c>
      <c r="AF333" s="2">
        <f t="shared" si="46"/>
        <v>0</v>
      </c>
      <c r="AJ333" s="2">
        <f t="shared" si="47"/>
        <v>0</v>
      </c>
      <c r="AK333" s="2">
        <f t="shared" si="49"/>
        <v>8.5</v>
      </c>
      <c r="AL333" s="5">
        <f t="shared" si="50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8"/>
        <v>1</v>
      </c>
      <c r="Z334" s="2" t="s">
        <v>118</v>
      </c>
      <c r="AF334" s="2">
        <f t="shared" si="46"/>
        <v>0</v>
      </c>
      <c r="AJ334" s="2">
        <f t="shared" si="47"/>
        <v>0</v>
      </c>
      <c r="AK334" s="2">
        <f t="shared" si="49"/>
        <v>14.95</v>
      </c>
      <c r="AL334" s="5">
        <f t="shared" si="50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3406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6"/>
        <v>0</v>
      </c>
      <c r="AJ359" s="2">
        <f t="shared" si="47"/>
        <v>0</v>
      </c>
      <c r="AK359" s="2">
        <f t="shared" si="49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51"/>
        <v>1</v>
      </c>
      <c r="Z363" s="2" t="s">
        <v>105</v>
      </c>
      <c r="AF363" s="2">
        <f t="shared" si="46"/>
        <v>0</v>
      </c>
      <c r="AJ363" s="2">
        <f t="shared" si="47"/>
        <v>0</v>
      </c>
      <c r="AK363" s="2">
        <f t="shared" si="52"/>
        <v>5500</v>
      </c>
      <c r="AL363" s="5">
        <f t="shared" si="53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51"/>
        <v>1</v>
      </c>
      <c r="Z364" s="2" t="s">
        <v>105</v>
      </c>
      <c r="AF364" s="2">
        <f t="shared" si="46"/>
        <v>0</v>
      </c>
      <c r="AJ364" s="2">
        <f t="shared" si="47"/>
        <v>0</v>
      </c>
      <c r="AK364" s="2">
        <f t="shared" si="52"/>
        <v>3400</v>
      </c>
      <c r="AL364" s="5">
        <f t="shared" si="53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51"/>
        <v>1</v>
      </c>
      <c r="Z365" s="2" t="s">
        <v>118</v>
      </c>
      <c r="AF365" s="2">
        <f t="shared" si="46"/>
        <v>0</v>
      </c>
      <c r="AJ365" s="2">
        <f t="shared" si="47"/>
        <v>0</v>
      </c>
      <c r="AK365" s="2">
        <f t="shared" si="52"/>
        <v>257.64999999999998</v>
      </c>
      <c r="AL365" s="5">
        <f t="shared" si="53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51"/>
        <v>1</v>
      </c>
      <c r="Z367" s="2" t="s">
        <v>118</v>
      </c>
      <c r="AF367" s="2">
        <f t="shared" si="46"/>
        <v>0</v>
      </c>
      <c r="AJ367" s="2">
        <f t="shared" si="47"/>
        <v>0</v>
      </c>
      <c r="AK367" s="2">
        <f t="shared" si="52"/>
        <v>309.86</v>
      </c>
      <c r="AL367" s="5">
        <f t="shared" si="53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51"/>
        <v>1</v>
      </c>
      <c r="Z377" s="2" t="s">
        <v>118</v>
      </c>
      <c r="AF377" s="2">
        <f t="shared" si="46"/>
        <v>0</v>
      </c>
      <c r="AJ377" s="2">
        <f t="shared" si="47"/>
        <v>0</v>
      </c>
      <c r="AK377" s="2">
        <f t="shared" si="52"/>
        <v>44.98</v>
      </c>
      <c r="AL377" s="5">
        <f t="shared" si="53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1"/>
        <v>1</v>
      </c>
      <c r="Z392" s="2" t="s">
        <v>170</v>
      </c>
      <c r="AA392" s="2" t="s">
        <v>170</v>
      </c>
      <c r="AF392" s="2">
        <f t="shared" si="54"/>
        <v>0</v>
      </c>
      <c r="AJ392" s="2">
        <f t="shared" si="55"/>
        <v>0</v>
      </c>
      <c r="AK392" s="2">
        <f t="shared" si="52"/>
        <v>5</v>
      </c>
      <c r="AL392" s="5">
        <f t="shared" si="53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118</v>
      </c>
      <c r="AA395" s="2" t="s">
        <v>119</v>
      </c>
      <c r="AB395" s="2" t="s">
        <v>120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120</v>
      </c>
      <c r="AA398" s="2" t="s">
        <v>3384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118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F409" s="2" t="s">
        <v>39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109</v>
      </c>
      <c r="F412" s="2" t="s">
        <v>377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109</v>
      </c>
      <c r="F413" s="2" t="s">
        <v>377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8"/>
        <v>1</v>
      </c>
      <c r="Z416" s="2" t="s">
        <v>118</v>
      </c>
      <c r="AF416" s="2">
        <f t="shared" si="54"/>
        <v>0</v>
      </c>
      <c r="AJ416" s="2">
        <f t="shared" si="55"/>
        <v>0</v>
      </c>
      <c r="AK416" s="2">
        <f t="shared" si="56"/>
        <v>145.07</v>
      </c>
      <c r="AL416" s="5">
        <f t="shared" si="57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8"/>
        <v>1</v>
      </c>
      <c r="Z421" s="2" t="s">
        <v>118</v>
      </c>
      <c r="AF421" s="2">
        <f t="shared" si="54"/>
        <v>0</v>
      </c>
      <c r="AJ421" s="2">
        <f t="shared" si="55"/>
        <v>0</v>
      </c>
      <c r="AK421" s="2">
        <f t="shared" si="56"/>
        <v>322.14</v>
      </c>
      <c r="AL421" s="5">
        <f t="shared" si="57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si="58"/>
        <v>1</v>
      </c>
      <c r="Z422" s="2" t="s">
        <v>118</v>
      </c>
      <c r="AF422" s="2">
        <f t="shared" si="54"/>
        <v>0</v>
      </c>
      <c r="AJ422" s="2">
        <f t="shared" si="55"/>
        <v>0</v>
      </c>
      <c r="AK422" s="2">
        <f t="shared" si="56"/>
        <v>903.76</v>
      </c>
      <c r="AL422" s="5">
        <f t="shared" si="57"/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8"/>
        <v>1</v>
      </c>
      <c r="Z423" s="2" t="s">
        <v>118</v>
      </c>
      <c r="AF423" s="2">
        <f t="shared" si="54"/>
        <v>0</v>
      </c>
      <c r="AJ423" s="2">
        <f t="shared" si="55"/>
        <v>0</v>
      </c>
      <c r="AK423" s="2">
        <f t="shared" si="56"/>
        <v>46.76</v>
      </c>
      <c r="AL423" s="5">
        <f t="shared" si="57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8"/>
        <v>1</v>
      </c>
      <c r="Z427" s="2" t="s">
        <v>118</v>
      </c>
      <c r="AF427" s="2">
        <f t="shared" si="54"/>
        <v>0</v>
      </c>
      <c r="AJ427" s="2">
        <f t="shared" si="55"/>
        <v>0</v>
      </c>
      <c r="AK427" s="2">
        <f t="shared" si="59"/>
        <v>14.29</v>
      </c>
      <c r="AL427" s="5">
        <f t="shared" si="60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8"/>
        <v>1</v>
      </c>
      <c r="Z431" s="2" t="s">
        <v>118</v>
      </c>
      <c r="AF431" s="2">
        <f t="shared" si="54"/>
        <v>0</v>
      </c>
      <c r="AJ431" s="2">
        <f t="shared" si="55"/>
        <v>0</v>
      </c>
      <c r="AK431" s="2">
        <f t="shared" si="59"/>
        <v>49.81</v>
      </c>
      <c r="AL431" s="5">
        <f t="shared" si="60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61"/>
        <v>1</v>
      </c>
      <c r="Z434" s="2" t="s">
        <v>118</v>
      </c>
      <c r="AF434" s="2">
        <f t="shared" si="54"/>
        <v>0</v>
      </c>
      <c r="AJ434" s="2">
        <f t="shared" si="55"/>
        <v>0</v>
      </c>
      <c r="AK434" s="2">
        <f t="shared" si="59"/>
        <v>83.79</v>
      </c>
      <c r="AL434" s="5">
        <f t="shared" si="60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61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4"/>
        <v>0</v>
      </c>
      <c r="AJ445" s="2">
        <f t="shared" si="55"/>
        <v>0</v>
      </c>
      <c r="AK445" s="2">
        <f t="shared" si="59"/>
        <v>16.29</v>
      </c>
      <c r="AL445" s="5">
        <f t="shared" si="60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61"/>
        <v>1</v>
      </c>
      <c r="Z449" s="2" t="s">
        <v>118</v>
      </c>
      <c r="AF449" s="2">
        <f t="shared" si="54"/>
        <v>0</v>
      </c>
      <c r="AJ449" s="2">
        <f t="shared" si="55"/>
        <v>0</v>
      </c>
      <c r="AK449" s="2">
        <f t="shared" si="59"/>
        <v>218.59</v>
      </c>
      <c r="AL449" s="5">
        <f t="shared" si="60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62"/>
        <v>0</v>
      </c>
      <c r="AJ455" s="2">
        <f t="shared" si="63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120</v>
      </c>
      <c r="AA462" s="2" t="s">
        <v>3384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120</v>
      </c>
      <c r="AA470" s="2" t="s">
        <v>3384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120</v>
      </c>
      <c r="AA471" s="2" t="s">
        <v>493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3231</v>
      </c>
      <c r="AA472" s="2" t="s">
        <v>156</v>
      </c>
      <c r="AB472" s="2" t="s">
        <v>3386</v>
      </c>
      <c r="AC472" s="2" t="s">
        <v>78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7"/>
        <v>1</v>
      </c>
      <c r="Z478" s="2" t="s">
        <v>118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 t="e">
        <f t="shared" si="65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62"/>
        <v>0</v>
      </c>
      <c r="AJ489" s="2">
        <f t="shared" si="63"/>
        <v>0</v>
      </c>
      <c r="AK489" s="2">
        <f t="shared" si="66"/>
        <v>4750</v>
      </c>
      <c r="AL489" s="5">
        <f t="shared" si="65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3476</v>
      </c>
      <c r="D512" s="2" t="s">
        <v>899</v>
      </c>
      <c r="E512" s="2" t="s">
        <v>38</v>
      </c>
      <c r="F512" s="2" t="s">
        <v>39</v>
      </c>
      <c r="L512" s="2" t="s">
        <v>100</v>
      </c>
      <c r="M512" s="2" t="s">
        <v>81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3476</v>
      </c>
      <c r="D513" s="2" t="s">
        <v>899</v>
      </c>
      <c r="E513" s="2" t="s">
        <v>38</v>
      </c>
      <c r="F513" s="2" t="s">
        <v>39</v>
      </c>
      <c r="L513" s="2" t="s">
        <v>100</v>
      </c>
      <c r="M513" s="2" t="s">
        <v>81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120</v>
      </c>
      <c r="AA515" s="2" t="s">
        <v>3384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3406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3406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3406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3406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>SIGN(T530)*((ABS(T530)-W530)/ABS(T530))</f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18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4"/>
        <v>1</v>
      </c>
      <c r="Z532" s="2" t="s">
        <v>118</v>
      </c>
      <c r="AF532" s="2">
        <f t="shared" si="72"/>
        <v>0</v>
      </c>
      <c r="AJ532" s="2">
        <f t="shared" si="73"/>
        <v>0</v>
      </c>
      <c r="AK532" s="2">
        <f t="shared" si="75"/>
        <v>374</v>
      </c>
      <c r="AL532" s="5">
        <f t="shared" si="76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4"/>
        <v>1</v>
      </c>
      <c r="Z533" s="2" t="s">
        <v>118</v>
      </c>
      <c r="AF533" s="2">
        <f t="shared" si="72"/>
        <v>0</v>
      </c>
      <c r="AJ533" s="2">
        <f t="shared" si="73"/>
        <v>0</v>
      </c>
      <c r="AK533" s="2">
        <f t="shared" si="75"/>
        <v>773</v>
      </c>
      <c r="AL533" s="5">
        <f t="shared" si="76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7"/>
        <v>3.6</v>
      </c>
      <c r="X539" s="5">
        <f t="shared" si="74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72"/>
        <v>0</v>
      </c>
      <c r="AJ539" s="2">
        <f t="shared" si="73"/>
        <v>0</v>
      </c>
      <c r="AK539" s="2">
        <f t="shared" si="75"/>
        <v>3.6</v>
      </c>
      <c r="AL539" s="5">
        <f t="shared" si="76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4"/>
        <v>1</v>
      </c>
      <c r="AF541" s="2">
        <f t="shared" si="72"/>
        <v>0</v>
      </c>
      <c r="AJ541" s="2">
        <f t="shared" si="73"/>
        <v>0</v>
      </c>
      <c r="AK541" s="2">
        <f t="shared" si="75"/>
        <v>129.94999999999999</v>
      </c>
      <c r="AL541" s="5">
        <f t="shared" si="76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3477</v>
      </c>
      <c r="D544" s="2" t="s">
        <v>941</v>
      </c>
      <c r="E544" s="2" t="s">
        <v>38</v>
      </c>
      <c r="F544" s="2" t="s">
        <v>39</v>
      </c>
      <c r="L544" s="2" t="s">
        <v>100</v>
      </c>
      <c r="M544" s="2" t="s">
        <v>81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8"/>
        <v>1</v>
      </c>
      <c r="Z568" s="2" t="s">
        <v>105</v>
      </c>
      <c r="AF568" s="2">
        <f t="shared" si="72"/>
        <v>0</v>
      </c>
      <c r="AJ568" s="2">
        <f t="shared" si="73"/>
        <v>0</v>
      </c>
      <c r="AK568" s="2">
        <f t="shared" si="79"/>
        <v>5500</v>
      </c>
      <c r="AL568" s="5">
        <f t="shared" si="80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8"/>
        <v>1</v>
      </c>
      <c r="Z570" s="2" t="s">
        <v>105</v>
      </c>
      <c r="AF570" s="2">
        <f t="shared" si="72"/>
        <v>0</v>
      </c>
      <c r="AJ570" s="2">
        <f t="shared" si="73"/>
        <v>0</v>
      </c>
      <c r="AK570" s="2">
        <f t="shared" si="79"/>
        <v>3400</v>
      </c>
      <c r="AL570" s="5">
        <f t="shared" si="80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8"/>
        <v>1</v>
      </c>
      <c r="Z571" s="2" t="s">
        <v>105</v>
      </c>
      <c r="AF571" s="2">
        <f t="shared" si="72"/>
        <v>0</v>
      </c>
      <c r="AJ571" s="2">
        <f t="shared" si="73"/>
        <v>0</v>
      </c>
      <c r="AK571" s="2">
        <f t="shared" si="79"/>
        <v>3600</v>
      </c>
      <c r="AL571" s="5">
        <f t="shared" si="80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E588" s="2" t="s">
        <v>38</v>
      </c>
      <c r="F588" s="2" t="s">
        <v>39</v>
      </c>
      <c r="L588" s="2" t="s">
        <v>419</v>
      </c>
      <c r="M588" s="2" t="s">
        <v>41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E589" s="2" t="s">
        <v>38</v>
      </c>
      <c r="F589" s="2" t="s">
        <v>39</v>
      </c>
      <c r="L589" s="2" t="s">
        <v>419</v>
      </c>
      <c r="M589" s="2" t="s">
        <v>41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si="78"/>
        <v>1</v>
      </c>
      <c r="Z594" s="2" t="s">
        <v>170</v>
      </c>
      <c r="AA594" s="2" t="s">
        <v>170</v>
      </c>
      <c r="AF594" s="2">
        <f t="shared" si="81"/>
        <v>0</v>
      </c>
      <c r="AJ594" s="2">
        <f t="shared" si="82"/>
        <v>0</v>
      </c>
      <c r="AK594" s="2">
        <f t="shared" si="79"/>
        <v>5.5</v>
      </c>
      <c r="AL594" s="5">
        <f t="shared" si="80"/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ref="X596:X627" si="83">(T596-W596)/T596</f>
        <v>1</v>
      </c>
      <c r="Z596" s="2" t="s">
        <v>118</v>
      </c>
      <c r="AF596" s="2">
        <f t="shared" si="81"/>
        <v>0</v>
      </c>
      <c r="AJ596" s="2">
        <f t="shared" si="82"/>
        <v>0</v>
      </c>
      <c r="AK596" s="2">
        <f t="shared" si="79"/>
        <v>363.6</v>
      </c>
      <c r="AL596" s="5">
        <f t="shared" ref="AL596:AL627" si="84">(T596-W596)/T596</f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120</v>
      </c>
      <c r="AA599" s="2" t="s">
        <v>3384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3231</v>
      </c>
      <c r="AA602" s="2" t="s">
        <v>72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118</v>
      </c>
      <c r="AA607" s="2" t="s">
        <v>119</v>
      </c>
      <c r="AB607" s="2" t="s">
        <v>1006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F608" s="2" t="s">
        <v>39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E611" s="2" t="s">
        <v>109</v>
      </c>
      <c r="F611" s="2" t="s">
        <v>39</v>
      </c>
      <c r="L611" s="2" t="s">
        <v>178</v>
      </c>
      <c r="M611" s="2" t="s">
        <v>41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E612" s="2" t="s">
        <v>109</v>
      </c>
      <c r="F612" s="2" t="s">
        <v>39</v>
      </c>
      <c r="L612" s="2" t="s">
        <v>178</v>
      </c>
      <c r="M612" s="2" t="s">
        <v>41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3"/>
        <v>1</v>
      </c>
      <c r="Z618" s="2" t="s">
        <v>170</v>
      </c>
      <c r="AA618" s="2" t="s">
        <v>170</v>
      </c>
      <c r="AF618" s="2">
        <f t="shared" si="81"/>
        <v>0</v>
      </c>
      <c r="AJ618" s="2">
        <f t="shared" si="82"/>
        <v>0</v>
      </c>
      <c r="AK618" s="2">
        <f t="shared" si="79"/>
        <v>8</v>
      </c>
      <c r="AL618" s="5">
        <f t="shared" si="84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120</v>
      </c>
      <c r="AA621" s="2" t="s">
        <v>3384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3"/>
        <v>1</v>
      </c>
      <c r="Z624" s="2" t="s">
        <v>118</v>
      </c>
      <c r="AF624" s="2">
        <f t="shared" si="81"/>
        <v>0</v>
      </c>
      <c r="AJ624" s="2">
        <f t="shared" si="82"/>
        <v>0</v>
      </c>
      <c r="AK624" s="2">
        <f t="shared" si="79"/>
        <v>83.75</v>
      </c>
      <c r="AL624" s="5">
        <f t="shared" si="84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8"/>
        <v>1</v>
      </c>
      <c r="AF638" s="2">
        <f t="shared" si="81"/>
        <v>0</v>
      </c>
      <c r="AJ638" s="2">
        <f t="shared" si="82"/>
        <v>0</v>
      </c>
      <c r="AK638" s="2">
        <f t="shared" si="86"/>
        <v>276.45</v>
      </c>
      <c r="AL638" s="5">
        <f t="shared" si="8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8"/>
        <v>1</v>
      </c>
      <c r="Z645" s="2" t="s">
        <v>118</v>
      </c>
      <c r="AF645" s="2">
        <f t="shared" si="90"/>
        <v>0</v>
      </c>
      <c r="AJ645" s="2">
        <f t="shared" si="91"/>
        <v>0</v>
      </c>
      <c r="AK645" s="2">
        <f t="shared" si="86"/>
        <v>2852.95</v>
      </c>
      <c r="AL645" s="5">
        <f t="shared" si="89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E671" s="2" t="s">
        <v>109</v>
      </c>
      <c r="F671" s="2" t="s">
        <v>39</v>
      </c>
      <c r="L671" s="2" t="s">
        <v>100</v>
      </c>
      <c r="M671" s="2" t="s">
        <v>41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E672" s="2" t="s">
        <v>109</v>
      </c>
      <c r="F672" s="2" t="s">
        <v>39</v>
      </c>
      <c r="L672" s="2" t="s">
        <v>100</v>
      </c>
      <c r="M672" s="2" t="s">
        <v>41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3231</v>
      </c>
      <c r="AA673" s="2" t="s">
        <v>3387</v>
      </c>
      <c r="AB673" s="2" t="s">
        <v>3388</v>
      </c>
      <c r="AC673" s="2" t="s">
        <v>3389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94"/>
        <v>1</v>
      </c>
      <c r="Z693" s="2" t="s">
        <v>105</v>
      </c>
      <c r="AF693" s="2">
        <f t="shared" si="90"/>
        <v>0</v>
      </c>
      <c r="AJ693" s="2">
        <f t="shared" si="91"/>
        <v>0</v>
      </c>
      <c r="AK693" s="2">
        <f t="shared" si="95"/>
        <v>700</v>
      </c>
      <c r="AL693" s="5">
        <f t="shared" si="93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118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118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1103</v>
      </c>
      <c r="J705" s="2" t="s">
        <v>1104</v>
      </c>
      <c r="L705" s="2" t="s">
        <v>178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1103</v>
      </c>
      <c r="J706" s="2" t="s">
        <v>1104</v>
      </c>
      <c r="L706" s="2" t="s">
        <v>178</v>
      </c>
      <c r="M706" s="2" t="s">
        <v>41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1103</v>
      </c>
      <c r="J707" s="2" t="s">
        <v>1104</v>
      </c>
      <c r="L707" s="2" t="s">
        <v>178</v>
      </c>
      <c r="M707" s="2" t="s">
        <v>41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1103</v>
      </c>
      <c r="J708" s="2" t="s">
        <v>1104</v>
      </c>
      <c r="L708" s="2" t="s">
        <v>178</v>
      </c>
      <c r="M708" s="2" t="s">
        <v>41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1103</v>
      </c>
      <c r="J709" s="2" t="s">
        <v>1104</v>
      </c>
      <c r="L709" s="2" t="s">
        <v>178</v>
      </c>
      <c r="M709" s="2" t="s">
        <v>41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120</v>
      </c>
      <c r="AA724" s="2" t="s">
        <v>3384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3458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3458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3461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3461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9"/>
        <v>1</v>
      </c>
      <c r="Z737" s="2" t="s">
        <v>170</v>
      </c>
      <c r="AA737" s="2" t="s">
        <v>170</v>
      </c>
      <c r="AF737" s="2">
        <f t="shared" si="97"/>
        <v>0</v>
      </c>
      <c r="AJ737" s="2">
        <f t="shared" si="98"/>
        <v>0</v>
      </c>
      <c r="AK737" s="2">
        <f t="shared" si="95"/>
        <v>5</v>
      </c>
      <c r="AL737" s="5">
        <f t="shared" si="100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 t="shared" si="101"/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0" si="103">(T759-W759)/T759</f>
        <v>1</v>
      </c>
      <c r="Z759" s="2" t="s">
        <v>105</v>
      </c>
      <c r="AF759" s="2">
        <f t="shared" si="97"/>
        <v>0</v>
      </c>
      <c r="AJ759" s="2">
        <f t="shared" si="98"/>
        <v>0</v>
      </c>
      <c r="AK759" s="2">
        <f t="shared" si="102"/>
        <v>2394</v>
      </c>
      <c r="AL759" s="5">
        <f t="shared" si="100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120</v>
      </c>
      <c r="AA762" s="2" t="s">
        <v>3384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118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103"/>
        <v>1</v>
      </c>
      <c r="Z768" s="2" t="s">
        <v>118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>(T791-W791)/T791</f>
        <v>1</v>
      </c>
      <c r="Z791" s="2" t="s">
        <v>170</v>
      </c>
      <c r="AA791" s="2" t="s">
        <v>170</v>
      </c>
      <c r="AF791" s="2">
        <f t="shared" si="105"/>
        <v>0</v>
      </c>
      <c r="AJ791" s="2">
        <f t="shared" si="106"/>
        <v>0</v>
      </c>
      <c r="AK791" s="2">
        <f t="shared" si="107"/>
        <v>10</v>
      </c>
      <c r="AL791" s="5">
        <f t="shared" si="108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3384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118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13"/>
        <v>1</v>
      </c>
      <c r="Z815" s="2" t="s">
        <v>118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3412</v>
      </c>
      <c r="D838" s="2" t="s">
        <v>3410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3412</v>
      </c>
      <c r="D839" s="2" t="s">
        <v>3410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3412</v>
      </c>
      <c r="D840" s="2" t="s">
        <v>3410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3412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3412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19"/>
        <v>1</v>
      </c>
      <c r="Z847" s="2" t="s">
        <v>170</v>
      </c>
      <c r="AA847" s="2" t="s">
        <v>170</v>
      </c>
      <c r="AF847" s="2">
        <f t="shared" si="117"/>
        <v>0</v>
      </c>
      <c r="AJ847" s="2">
        <f t="shared" si="118"/>
        <v>0</v>
      </c>
      <c r="AK847" s="2">
        <f t="shared" si="120"/>
        <v>5</v>
      </c>
      <c r="AL847" s="5">
        <f t="shared" si="121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3412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3412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120</v>
      </c>
      <c r="AA864" s="2" t="s">
        <v>3384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120</v>
      </c>
      <c r="AA878" s="2" t="s">
        <v>3384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120</v>
      </c>
      <c r="AA881" s="2" t="s">
        <v>493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3412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170</v>
      </c>
      <c r="AA886" s="2" t="s">
        <v>170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120</v>
      </c>
      <c r="AA888" s="2" t="s">
        <v>3384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ref="X905:X912" si="126">(T905-W905)/T905</f>
        <v>1</v>
      </c>
      <c r="Z905" s="2" t="s">
        <v>170</v>
      </c>
      <c r="AA905" s="2" t="s">
        <v>170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105</v>
      </c>
      <c r="AL905" s="5">
        <f t="shared" ref="AL905:AL922" si="128">(T905-W905)/T905</f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3412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3412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3412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3412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3412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120</v>
      </c>
      <c r="AA928" s="2" t="s">
        <v>3384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105</v>
      </c>
      <c r="AA929" s="2" t="s">
        <v>2750</v>
      </c>
      <c r="AB929" s="2" t="s">
        <v>3401</v>
      </c>
      <c r="AC929" s="2" t="s">
        <v>1196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3412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E993" s="2" t="s">
        <v>109</v>
      </c>
      <c r="F993" s="2" t="s">
        <v>39</v>
      </c>
      <c r="L993" s="2" t="s">
        <v>178</v>
      </c>
      <c r="M993" s="2" t="s">
        <v>41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40"/>
        <v>1</v>
      </c>
      <c r="Z998" s="2" t="s">
        <v>170</v>
      </c>
      <c r="AA998" s="2" t="s">
        <v>170</v>
      </c>
      <c r="AF998" s="2">
        <f t="shared" si="135"/>
        <v>0</v>
      </c>
      <c r="AJ998" s="2">
        <f t="shared" si="136"/>
        <v>0</v>
      </c>
      <c r="AK998" s="2">
        <f t="shared" si="139"/>
        <v>5</v>
      </c>
      <c r="AL998" s="5">
        <f t="shared" si="141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118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42"/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 t="shared" si="144"/>
        <v>0</v>
      </c>
      <c r="AJ1037" s="2">
        <f t="shared" si="145"/>
        <v>0</v>
      </c>
      <c r="AK1037" s="2">
        <f t="shared" si="146"/>
        <v>62.6</v>
      </c>
      <c r="AL1037" s="5">
        <f t="shared" si="143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M1043" s="2" t="s">
        <v>41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120</v>
      </c>
      <c r="AA1053" s="2" t="s">
        <v>493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120</v>
      </c>
      <c r="AA1059" s="2" t="s">
        <v>3384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49"/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 t="shared" si="144"/>
        <v>0</v>
      </c>
      <c r="AJ1064" s="2">
        <f t="shared" si="145"/>
        <v>0</v>
      </c>
      <c r="AK1064" s="2">
        <f t="shared" si="146"/>
        <v>62.6</v>
      </c>
      <c r="AL1064" s="5">
        <f t="shared" si="150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118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170</v>
      </c>
      <c r="AA1078" s="2" t="s">
        <v>170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118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118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118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118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1103</v>
      </c>
      <c r="J1101" s="2" t="s">
        <v>1104</v>
      </c>
      <c r="L1101" s="2" t="s">
        <v>178</v>
      </c>
      <c r="M1101" s="2" t="s">
        <v>41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1103</v>
      </c>
      <c r="J1102" s="2" t="s">
        <v>1104</v>
      </c>
      <c r="L1102" s="2" t="s">
        <v>178</v>
      </c>
      <c r="M1102" s="2" t="s">
        <v>41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1103</v>
      </c>
      <c r="J1103" s="2" t="s">
        <v>1104</v>
      </c>
      <c r="L1103" s="2" t="s">
        <v>178</v>
      </c>
      <c r="M1103" s="2" t="s">
        <v>41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118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M1113" s="2" t="s">
        <v>41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M1114" s="2" t="s">
        <v>41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M1115" s="2" t="s">
        <v>41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118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120</v>
      </c>
      <c r="AA1118" s="2" t="s">
        <v>3384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118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3412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105</v>
      </c>
      <c r="AA1121" s="2" t="s">
        <v>579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3412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105</v>
      </c>
      <c r="AA1122" s="2" t="s">
        <v>579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120</v>
      </c>
      <c r="AA1127" s="2" t="s">
        <v>3384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120</v>
      </c>
      <c r="AA1152" s="2" t="s">
        <v>3384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3474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3474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M1166" s="2" t="s">
        <v>81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M1167" s="2" t="s">
        <v>81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M1168" s="2" t="s">
        <v>81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M1169" s="2" t="s">
        <v>81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M1170" s="2" t="s">
        <v>81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170</v>
      </c>
      <c r="AA1171" s="2" t="s">
        <v>170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1466</v>
      </c>
      <c r="J1173" s="2" t="s">
        <v>1467</v>
      </c>
      <c r="K1173" s="2">
        <v>962823313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1466</v>
      </c>
      <c r="J1174" s="2" t="s">
        <v>1467</v>
      </c>
      <c r="K1174" s="2">
        <v>962823313</v>
      </c>
      <c r="L1174" s="2" t="s">
        <v>601</v>
      </c>
      <c r="M1174" s="2" t="s">
        <v>41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1466</v>
      </c>
      <c r="J1175" s="2" t="s">
        <v>1467</v>
      </c>
      <c r="K1175" s="2">
        <v>962823313</v>
      </c>
      <c r="L1175" s="2" t="s">
        <v>601</v>
      </c>
      <c r="M1175" s="2" t="s">
        <v>41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65"/>
        <v>1</v>
      </c>
      <c r="Z1176" s="2" t="s">
        <v>170</v>
      </c>
      <c r="AA1176" s="2" t="s">
        <v>170</v>
      </c>
      <c r="AF1176" s="2">
        <f t="shared" si="163"/>
        <v>0</v>
      </c>
      <c r="AJ1176" s="2">
        <f t="shared" si="164"/>
        <v>0</v>
      </c>
      <c r="AK1176" s="2">
        <f t="shared" si="166"/>
        <v>8</v>
      </c>
      <c r="AL1176" s="5">
        <f t="shared" si="167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118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3404</v>
      </c>
      <c r="D1178" s="2" t="s">
        <v>279</v>
      </c>
      <c r="E1178" s="2" t="s">
        <v>38</v>
      </c>
      <c r="F1178" s="2" t="s">
        <v>39</v>
      </c>
      <c r="L1178" s="2" t="s">
        <v>202</v>
      </c>
      <c r="M1178" s="2" t="s">
        <v>81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3404</v>
      </c>
      <c r="D1179" s="2" t="s">
        <v>279</v>
      </c>
      <c r="E1179" s="2" t="s">
        <v>38</v>
      </c>
      <c r="F1179" s="2" t="s">
        <v>39</v>
      </c>
      <c r="L1179" s="2" t="s">
        <v>202</v>
      </c>
      <c r="M1179" s="2" t="s">
        <v>81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120</v>
      </c>
      <c r="AA1180" s="2" t="s">
        <v>3384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3418</v>
      </c>
      <c r="D1186" s="2" t="s">
        <v>1477</v>
      </c>
      <c r="E1186" s="2" t="s">
        <v>38</v>
      </c>
      <c r="F1186" s="2" t="s">
        <v>39</v>
      </c>
      <c r="L1186" s="2" t="s">
        <v>178</v>
      </c>
      <c r="M1186" s="2" t="s">
        <v>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3418</v>
      </c>
      <c r="D1187" s="2" t="s">
        <v>1477</v>
      </c>
      <c r="E1187" s="2" t="s">
        <v>38</v>
      </c>
      <c r="F1187" s="2" t="s">
        <v>39</v>
      </c>
      <c r="L1187" s="2" t="s">
        <v>178</v>
      </c>
      <c r="M1187" s="2" t="s">
        <v>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63"/>
        <v>0</v>
      </c>
      <c r="AJ1196" s="2">
        <f t="shared" si="164"/>
        <v>0</v>
      </c>
      <c r="AK1196" s="2">
        <f t="shared" ref="AK1196:AK1216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E1206" s="2" t="s">
        <v>38</v>
      </c>
      <c r="F1206" s="2" t="s">
        <v>39</v>
      </c>
      <c r="L1206" s="2" t="s">
        <v>178</v>
      </c>
      <c r="M1206" s="2" t="s">
        <v>41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3418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63"/>
        <v>0</v>
      </c>
      <c r="AJ1217" s="2">
        <f t="shared" si="164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 t="e">
        <f t="shared" si="174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75"/>
        <v>1</v>
      </c>
      <c r="Z1234" s="2" t="s">
        <v>118</v>
      </c>
      <c r="AF1234" s="2">
        <f t="shared" si="171"/>
        <v>0</v>
      </c>
      <c r="AJ1234" s="2">
        <f t="shared" si="172"/>
        <v>0</v>
      </c>
      <c r="AK1234" s="2">
        <f t="shared" si="173"/>
        <v>691.03</v>
      </c>
      <c r="AL1234" s="5">
        <f t="shared" si="174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M1235" s="2" t="s">
        <v>81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M1236" s="2" t="s">
        <v>81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M1237" s="2" t="s">
        <v>81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M1238" s="2" t="s">
        <v>81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M1239" s="2" t="s">
        <v>81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M1240" s="2" t="s">
        <v>81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118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120</v>
      </c>
      <c r="AA1242" s="2" t="s">
        <v>3384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3231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118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3231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3231</v>
      </c>
      <c r="AA1263" s="2" t="s">
        <v>156</v>
      </c>
      <c r="AB1263" s="2" t="s">
        <v>3407</v>
      </c>
      <c r="AC1263" s="2" t="s">
        <v>1329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3231</v>
      </c>
      <c r="AA1264" s="2" t="s">
        <v>156</v>
      </c>
      <c r="AB1264" s="2" t="s">
        <v>3407</v>
      </c>
      <c r="AC1264" s="2" t="s">
        <v>1329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3231</v>
      </c>
      <c r="AA1265" s="2" t="s">
        <v>156</v>
      </c>
      <c r="AB1265" s="2" t="s">
        <v>3407</v>
      </c>
      <c r="AC1265" s="2" t="s">
        <v>1329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3231</v>
      </c>
      <c r="AA1266" s="2" t="s">
        <v>156</v>
      </c>
      <c r="AB1266" s="2" t="s">
        <v>3407</v>
      </c>
      <c r="AC1266" s="2" t="s">
        <v>1329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3428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118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120</v>
      </c>
      <c r="AA1276" s="2" t="s">
        <v>3384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E1277" s="2" t="s">
        <v>109</v>
      </c>
      <c r="F1277" s="2" t="s">
        <v>39</v>
      </c>
      <c r="L1277" s="2" t="s">
        <v>178</v>
      </c>
      <c r="M1277" s="2" t="s">
        <v>41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E1278" s="2" t="s">
        <v>109</v>
      </c>
      <c r="F1278" s="2" t="s">
        <v>39</v>
      </c>
      <c r="L1278" s="2" t="s">
        <v>178</v>
      </c>
      <c r="M1278" s="2" t="s">
        <v>41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109</v>
      </c>
      <c r="F1279" s="2" t="s">
        <v>377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3405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109</v>
      </c>
      <c r="F1280" s="2" t="s">
        <v>377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109</v>
      </c>
      <c r="F1281" s="2" t="s">
        <v>377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109</v>
      </c>
      <c r="F1282" s="2" t="s">
        <v>377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109</v>
      </c>
      <c r="F1283" s="2" t="s">
        <v>377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120</v>
      </c>
      <c r="AA1286" s="2" t="s">
        <v>3384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118</v>
      </c>
      <c r="AA1290" s="2" t="s">
        <v>119</v>
      </c>
      <c r="AB1290" s="2" t="s">
        <v>120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120</v>
      </c>
      <c r="AA1293" s="2" t="s">
        <v>3384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118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118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118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118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118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3403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3403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87"/>
        <v>1</v>
      </c>
      <c r="Z1337" s="2" t="s">
        <v>170</v>
      </c>
      <c r="AA1337" s="2" t="s">
        <v>170</v>
      </c>
      <c r="AF1337" s="2">
        <f t="shared" si="181"/>
        <v>0</v>
      </c>
      <c r="AJ1337" s="2">
        <f t="shared" si="182"/>
        <v>0</v>
      </c>
      <c r="AK1337" s="2">
        <f t="shared" si="185"/>
        <v>5</v>
      </c>
      <c r="AL1337" s="5">
        <f t="shared" si="186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87"/>
        <v>1</v>
      </c>
      <c r="Z1343" s="2" t="s">
        <v>170</v>
      </c>
      <c r="AA1343" s="2" t="s">
        <v>170</v>
      </c>
      <c r="AF1343" s="2">
        <f t="shared" si="181"/>
        <v>0</v>
      </c>
      <c r="AJ1343" s="2">
        <f t="shared" si="182"/>
        <v>0</v>
      </c>
      <c r="AK1343" s="2">
        <f t="shared" si="185"/>
        <v>8.5</v>
      </c>
      <c r="AL1343" s="5">
        <f t="shared" si="18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120</v>
      </c>
      <c r="AA1344" s="2" t="s">
        <v>493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120</v>
      </c>
      <c r="AA1346" s="2" t="s">
        <v>3384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170</v>
      </c>
      <c r="AA1348" s="2" t="s">
        <v>170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118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E1357" s="2" t="s">
        <v>109</v>
      </c>
      <c r="F1357" s="2" t="s">
        <v>39</v>
      </c>
      <c r="L1357" s="2" t="s">
        <v>100</v>
      </c>
      <c r="M1357" s="2" t="s">
        <v>41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E1372" s="2" t="s">
        <v>38</v>
      </c>
      <c r="F1372" s="2" t="s">
        <v>39</v>
      </c>
      <c r="L1372" s="2" t="s">
        <v>3006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E1373" s="2" t="s">
        <v>38</v>
      </c>
      <c r="F1373" s="2" t="s">
        <v>39</v>
      </c>
      <c r="L1373" s="2" t="s">
        <v>3006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118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3405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120</v>
      </c>
      <c r="AA1401" s="2" t="s">
        <v>3384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118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E1410" s="2" t="s">
        <v>38</v>
      </c>
      <c r="F1410" s="2" t="s">
        <v>718</v>
      </c>
      <c r="L1410" s="2" t="s">
        <v>462</v>
      </c>
      <c r="M1410" s="2" t="s">
        <v>41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E1411" s="2" t="s">
        <v>38</v>
      </c>
      <c r="F1411" s="2" t="s">
        <v>718</v>
      </c>
      <c r="L1411" s="2" t="s">
        <v>462</v>
      </c>
      <c r="M1411" s="2" t="s">
        <v>41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118</v>
      </c>
      <c r="AA1420" s="2" t="s">
        <v>318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1103</v>
      </c>
      <c r="J1427" s="2" t="s">
        <v>1104</v>
      </c>
      <c r="L1427" s="2" t="s">
        <v>178</v>
      </c>
      <c r="M1427" s="2" t="s">
        <v>41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118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120</v>
      </c>
      <c r="AA1435" s="2" t="s">
        <v>3384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3404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170</v>
      </c>
      <c r="AA1445" s="2" t="s">
        <v>170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M1447" s="2" t="s">
        <v>41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M1448" s="2" t="s">
        <v>41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M1449" s="2" t="s">
        <v>41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118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204"/>
        <v>1</v>
      </c>
      <c r="Z1459" s="2" t="s">
        <v>170</v>
      </c>
      <c r="AA1459" s="2" t="s">
        <v>170</v>
      </c>
      <c r="AF1459" s="2">
        <f t="shared" si="199"/>
        <v>0</v>
      </c>
      <c r="AJ1459" s="2">
        <f t="shared" si="200"/>
        <v>0</v>
      </c>
      <c r="AK1459" s="2">
        <f t="shared" si="205"/>
        <v>8.5</v>
      </c>
      <c r="AL1459" s="5">
        <f t="shared" si="206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118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120</v>
      </c>
      <c r="AA1462" s="2" t="s">
        <v>3384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3428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3428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3428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3428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3428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3428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170</v>
      </c>
      <c r="AA1482" s="2" t="s">
        <v>170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3397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3397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3397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3397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L1490" s="2" t="s">
        <v>178</v>
      </c>
      <c r="M1490" s="2" t="s">
        <v>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L1491" s="2" t="s">
        <v>178</v>
      </c>
      <c r="M1491" s="2" t="s">
        <v>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L1492" s="2" t="s">
        <v>178</v>
      </c>
      <c r="M1492" s="2" t="s">
        <v>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118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207"/>
        <v>1</v>
      </c>
      <c r="Z1497" s="2" t="s">
        <v>170</v>
      </c>
      <c r="AA1497" s="2" t="s">
        <v>170</v>
      </c>
      <c r="AF1497" s="2">
        <f t="shared" si="210"/>
        <v>0</v>
      </c>
      <c r="AJ1497" s="2">
        <f t="shared" si="211"/>
        <v>0</v>
      </c>
      <c r="AK1497" s="2">
        <f t="shared" si="208"/>
        <v>7</v>
      </c>
      <c r="AL1497" s="5">
        <f t="shared" si="20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120</v>
      </c>
      <c r="AA1499" s="2" t="s">
        <v>3384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3421</v>
      </c>
      <c r="D1502" s="2" t="s">
        <v>3420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3421</v>
      </c>
      <c r="D1503" s="2" t="s">
        <v>3420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3421</v>
      </c>
      <c r="D1504" s="2" t="s">
        <v>3420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3421</v>
      </c>
      <c r="D1505" s="2" t="s">
        <v>3420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3421</v>
      </c>
      <c r="D1506" s="2" t="s">
        <v>3420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118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118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120</v>
      </c>
      <c r="AA1520" s="2" t="s">
        <v>3384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118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3397</v>
      </c>
      <c r="D1539" s="2" t="s">
        <v>3411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3397</v>
      </c>
      <c r="D1540" s="2" t="s">
        <v>3411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3397</v>
      </c>
      <c r="D1541" s="2" t="s">
        <v>3411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3397</v>
      </c>
      <c r="D1542" s="2" t="s">
        <v>3411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3397</v>
      </c>
      <c r="D1543" s="2" t="s">
        <v>3411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3397</v>
      </c>
      <c r="D1544" s="2" t="s">
        <v>3411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118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118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3395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3395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105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120</v>
      </c>
      <c r="AA1581" s="2" t="s">
        <v>493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118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105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118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118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223"/>
        <v>1</v>
      </c>
      <c r="Z1594" s="2" t="s">
        <v>170</v>
      </c>
      <c r="AA1594" s="2" t="s">
        <v>170</v>
      </c>
      <c r="AF1594" s="2">
        <f t="shared" si="215"/>
        <v>0</v>
      </c>
      <c r="AJ1594" s="2">
        <f t="shared" si="216"/>
        <v>0</v>
      </c>
      <c r="AK1594" s="2">
        <f t="shared" si="221"/>
        <v>8</v>
      </c>
      <c r="AL1594" s="5">
        <f t="shared" si="224"/>
        <v>1</v>
      </c>
    </row>
    <row r="1595" spans="1:38" x14ac:dyDescent="0.2">
      <c r="A1595" s="2">
        <v>2025</v>
      </c>
      <c r="B1595" s="2">
        <v>6</v>
      </c>
      <c r="C1595" s="2" t="s">
        <v>3395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3397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120</v>
      </c>
      <c r="AA1606" s="2" t="s">
        <v>3384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E1613" s="2" t="s">
        <v>109</v>
      </c>
      <c r="F1613" s="2" t="s">
        <v>39</v>
      </c>
      <c r="L1613" s="2" t="s">
        <v>113</v>
      </c>
      <c r="M1613" s="2" t="s">
        <v>110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E1614" s="2" t="s">
        <v>109</v>
      </c>
      <c r="F1614" s="2" t="s">
        <v>39</v>
      </c>
      <c r="L1614" s="2" t="s">
        <v>113</v>
      </c>
      <c r="M1614" s="2" t="s">
        <v>110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E1615" s="2" t="s">
        <v>109</v>
      </c>
      <c r="F1615" s="2" t="s">
        <v>39</v>
      </c>
      <c r="L1615" s="2" t="s">
        <v>113</v>
      </c>
      <c r="M1615" s="2" t="s">
        <v>110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1625</v>
      </c>
      <c r="E1616" s="2" t="s">
        <v>109</v>
      </c>
      <c r="F1616" s="2" t="s">
        <v>39</v>
      </c>
      <c r="L1616" s="2" t="s">
        <v>113</v>
      </c>
      <c r="M1616" s="2" t="s">
        <v>110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118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30"/>
        <v>1</v>
      </c>
      <c r="Z1632" s="2" t="s">
        <v>118</v>
      </c>
      <c r="AF1632" s="2">
        <f t="shared" si="225"/>
        <v>0</v>
      </c>
      <c r="AJ1632" s="2">
        <f t="shared" si="226"/>
        <v>0</v>
      </c>
      <c r="AK1632" s="2">
        <f t="shared" si="228"/>
        <v>62.6</v>
      </c>
      <c r="AL1632" s="5">
        <f t="shared" si="231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118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30"/>
        <v>1</v>
      </c>
      <c r="Z1642" s="2" t="s">
        <v>170</v>
      </c>
      <c r="AA1642" s="2" t="s">
        <v>170</v>
      </c>
      <c r="AF1642" s="2">
        <f t="shared" si="225"/>
        <v>0</v>
      </c>
      <c r="AJ1642" s="2">
        <f t="shared" si="226"/>
        <v>0</v>
      </c>
      <c r="AK1642" s="2">
        <f t="shared" si="232"/>
        <v>8.5</v>
      </c>
      <c r="AL1642" s="5">
        <f t="shared" si="231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3392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33"/>
        <v>1</v>
      </c>
      <c r="Z1660" s="2" t="s">
        <v>170</v>
      </c>
      <c r="AA1660" s="2" t="s">
        <v>170</v>
      </c>
      <c r="AF1660" s="2">
        <f t="shared" si="225"/>
        <v>0</v>
      </c>
      <c r="AJ1660" s="2">
        <f t="shared" si="226"/>
        <v>0</v>
      </c>
      <c r="AK1660" s="2">
        <f t="shared" si="232"/>
        <v>8</v>
      </c>
      <c r="AL1660" s="5">
        <f t="shared" si="234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170</v>
      </c>
      <c r="AA1662" s="2" t="s">
        <v>170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105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105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33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35"/>
        <v>0</v>
      </c>
      <c r="AJ1672" s="2">
        <f t="shared" si="236"/>
        <v>0</v>
      </c>
      <c r="AK1672" s="2">
        <f t="shared" si="237"/>
        <v>68.86</v>
      </c>
      <c r="AL1672" s="5">
        <f t="shared" si="234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3231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120</v>
      </c>
      <c r="AA1683" s="2" t="s">
        <v>3384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105</v>
      </c>
      <c r="AC1684" s="2" t="s">
        <v>102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105</v>
      </c>
      <c r="AC1687" s="2" t="s">
        <v>1329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3231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3231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38"/>
        <v>1</v>
      </c>
      <c r="Z1690" s="2" t="s">
        <v>170</v>
      </c>
      <c r="AA1690" s="2" t="s">
        <v>170</v>
      </c>
      <c r="AF1690" s="2">
        <f t="shared" si="235"/>
        <v>0</v>
      </c>
      <c r="AJ1690" s="2">
        <f t="shared" si="236"/>
        <v>0</v>
      </c>
      <c r="AK1690" s="2">
        <f t="shared" si="237"/>
        <v>8.5</v>
      </c>
      <c r="AL1690" s="5">
        <f t="shared" si="239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120</v>
      </c>
      <c r="AA1697" s="2" t="s">
        <v>3384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3414</v>
      </c>
      <c r="D1702" s="2" t="s">
        <v>3413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3231</v>
      </c>
      <c r="AA1705" s="2" t="s">
        <v>156</v>
      </c>
      <c r="AB1705" s="2" t="s">
        <v>3407</v>
      </c>
      <c r="AC1705" s="2" t="s">
        <v>1329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3405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3231</v>
      </c>
      <c r="AA1731" s="2" t="s">
        <v>46</v>
      </c>
      <c r="AB1731" s="2" t="s">
        <v>61</v>
      </c>
      <c r="AC1731" s="2" t="s">
        <v>3409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105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105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105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3231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3231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120</v>
      </c>
      <c r="AA1746" s="2" t="s">
        <v>493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118</v>
      </c>
      <c r="AA1750" s="2" t="s">
        <v>1312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3231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3231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3231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E1759" s="2" t="s">
        <v>109</v>
      </c>
      <c r="F1759" s="2" t="s">
        <v>39</v>
      </c>
      <c r="L1759" s="2" t="s">
        <v>100</v>
      </c>
      <c r="M1759" s="2" t="s">
        <v>41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E1760" s="2" t="s">
        <v>109</v>
      </c>
      <c r="F1760" s="2" t="s">
        <v>39</v>
      </c>
      <c r="L1760" s="2" t="s">
        <v>100</v>
      </c>
      <c r="M1760" s="2" t="s">
        <v>41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3475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M1764" s="2" t="s">
        <v>81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118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3231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E1780" s="2" t="s">
        <v>109</v>
      </c>
      <c r="F1780" s="2" t="s">
        <v>39</v>
      </c>
      <c r="L1780" s="2" t="s">
        <v>113</v>
      </c>
      <c r="M1780" s="2" t="s">
        <v>110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3475</v>
      </c>
      <c r="D1781" s="2" t="s">
        <v>1625</v>
      </c>
      <c r="E1781" s="2" t="s">
        <v>109</v>
      </c>
      <c r="F1781" s="2" t="s">
        <v>39</v>
      </c>
      <c r="L1781" s="2" t="s">
        <v>113</v>
      </c>
      <c r="M1781" s="2" t="s">
        <v>110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M1800" s="2" t="s">
        <v>41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M1801" s="2" t="s">
        <v>41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M1802" s="2" t="s">
        <v>41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56"/>
        <v>1</v>
      </c>
      <c r="Z1810" s="2" t="s">
        <v>170</v>
      </c>
      <c r="AA1810" s="2" t="s">
        <v>170</v>
      </c>
      <c r="AF1810" s="2">
        <f t="shared" si="252"/>
        <v>0</v>
      </c>
      <c r="AJ1810" s="2">
        <f t="shared" si="253"/>
        <v>0</v>
      </c>
      <c r="AK1810" s="2">
        <f t="shared" si="257"/>
        <v>8</v>
      </c>
      <c r="AL1810" s="5">
        <f t="shared" si="258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3231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3231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3231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3231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3231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3417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3415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3415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3415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3415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62"/>
        <v>1</v>
      </c>
      <c r="Z1851" s="2" t="s">
        <v>170</v>
      </c>
      <c r="AA1851" s="2" t="s">
        <v>170</v>
      </c>
      <c r="AF1851" s="2">
        <f t="shared" si="252"/>
        <v>0</v>
      </c>
      <c r="AJ1851" s="2">
        <f t="shared" si="253"/>
        <v>0</v>
      </c>
      <c r="AK1851" s="2">
        <f t="shared" si="260"/>
        <v>8</v>
      </c>
      <c r="AL1851" s="5">
        <f t="shared" si="263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62"/>
        <v>1</v>
      </c>
      <c r="Z1859" s="2" t="s">
        <v>170</v>
      </c>
      <c r="AA1859" s="2" t="s">
        <v>170</v>
      </c>
      <c r="AF1859" s="2">
        <f t="shared" si="264"/>
        <v>0</v>
      </c>
      <c r="AJ1859" s="2">
        <f t="shared" si="265"/>
        <v>0</v>
      </c>
      <c r="AK1859" s="2">
        <f t="shared" si="260"/>
        <v>8</v>
      </c>
      <c r="AL1859" s="5">
        <f t="shared" si="263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120</v>
      </c>
      <c r="AA1861" s="2" t="s">
        <v>3384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64"/>
        <v>0</v>
      </c>
      <c r="AJ1862" s="2">
        <f t="shared" si="265"/>
        <v>0</v>
      </c>
      <c r="AK1862" s="2">
        <f t="shared" si="260"/>
        <v>-6680</v>
      </c>
      <c r="AL1862" s="5">
        <f t="shared" si="263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 t="e">
        <f t="shared" si="263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66"/>
        <v>1</v>
      </c>
      <c r="Z1880" s="2" t="s">
        <v>118</v>
      </c>
      <c r="AF1880" s="2">
        <f t="shared" si="264"/>
        <v>0</v>
      </c>
      <c r="AJ1880" s="2">
        <f t="shared" si="265"/>
        <v>0</v>
      </c>
      <c r="AK1880" s="2">
        <f t="shared" si="267"/>
        <v>438.9</v>
      </c>
      <c r="AL1880" s="5">
        <f t="shared" si="263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66"/>
        <v>1</v>
      </c>
      <c r="Z1881" s="2" t="s">
        <v>118</v>
      </c>
      <c r="AF1881" s="2">
        <f t="shared" si="264"/>
        <v>0</v>
      </c>
      <c r="AJ1881" s="2">
        <f t="shared" si="265"/>
        <v>0</v>
      </c>
      <c r="AK1881" s="2">
        <f t="shared" si="267"/>
        <v>153.34</v>
      </c>
      <c r="AL1881" s="5">
        <f t="shared" si="263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66"/>
        <v>1</v>
      </c>
      <c r="Z1882" s="2" t="s">
        <v>118</v>
      </c>
      <c r="AF1882" s="2">
        <f t="shared" si="264"/>
        <v>0</v>
      </c>
      <c r="AJ1882" s="2">
        <f t="shared" si="265"/>
        <v>0</v>
      </c>
      <c r="AK1882" s="2">
        <f t="shared" si="267"/>
        <v>57.15</v>
      </c>
      <c r="AL1882" s="5">
        <f t="shared" ref="AL1882:AL1898" si="268">(T1882-W1882)/T1882</f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118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3231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3408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105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3408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3408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3408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3417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69"/>
        <v>1</v>
      </c>
      <c r="Z1925" s="2" t="s">
        <v>170</v>
      </c>
      <c r="AA1925" s="2" t="s">
        <v>170</v>
      </c>
      <c r="AF1925" s="2">
        <f t="shared" si="272"/>
        <v>0</v>
      </c>
      <c r="AJ1925" s="2">
        <f t="shared" si="273"/>
        <v>0</v>
      </c>
      <c r="AK1925" s="2">
        <f t="shared" si="270"/>
        <v>120</v>
      </c>
      <c r="AL1925" s="5">
        <f t="shared" si="271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105</v>
      </c>
      <c r="AC1930" s="2" t="s">
        <v>3235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3408</v>
      </c>
      <c r="D1934" s="2" t="s">
        <v>3466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3408</v>
      </c>
      <c r="D1935" s="2" t="s">
        <v>3466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3408</v>
      </c>
      <c r="D1936" s="2" t="s">
        <v>3466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105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75"/>
        <v>1</v>
      </c>
      <c r="Z1941" s="2" t="s">
        <v>170</v>
      </c>
      <c r="AA1941" s="2" t="s">
        <v>170</v>
      </c>
      <c r="AF1941" s="2">
        <f t="shared" si="272"/>
        <v>0</v>
      </c>
      <c r="AJ1941" s="2">
        <f t="shared" si="273"/>
        <v>0</v>
      </c>
      <c r="AK1941" s="2">
        <f t="shared" si="274"/>
        <v>8</v>
      </c>
      <c r="AL1941" s="5">
        <f t="shared" si="276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105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3231</v>
      </c>
      <c r="AC1946" s="2" t="s">
        <v>3235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120</v>
      </c>
      <c r="AA1947" s="2" t="s">
        <v>493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170</v>
      </c>
      <c r="AA1950" s="2" t="s">
        <v>170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E1952" s="2" t="s">
        <v>109</v>
      </c>
      <c r="F1952" s="2" t="s">
        <v>39</v>
      </c>
      <c r="L1952" s="2" t="s">
        <v>100</v>
      </c>
      <c r="M1952" s="2" t="s">
        <v>41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118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170</v>
      </c>
      <c r="AA1964" s="2" t="s">
        <v>170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78"/>
        <v>1</v>
      </c>
      <c r="Z1975" s="2" t="s">
        <v>170</v>
      </c>
      <c r="AA1975" s="2" t="s">
        <v>170</v>
      </c>
      <c r="AF1975" s="2">
        <f t="shared" si="272"/>
        <v>0</v>
      </c>
      <c r="AJ1975" s="2">
        <f t="shared" si="273"/>
        <v>0</v>
      </c>
      <c r="AK1975" s="2">
        <f t="shared" si="279"/>
        <v>115</v>
      </c>
      <c r="AL1975" s="5">
        <f t="shared" si="280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118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3417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78"/>
        <v>1</v>
      </c>
      <c r="Z1981" s="2" t="s">
        <v>170</v>
      </c>
      <c r="AA1981" s="2" t="s">
        <v>170</v>
      </c>
      <c r="AF1981" s="2">
        <f t="shared" si="272"/>
        <v>0</v>
      </c>
      <c r="AJ1981" s="2">
        <f t="shared" si="273"/>
        <v>0</v>
      </c>
      <c r="AK1981" s="2">
        <f t="shared" si="279"/>
        <v>8.5</v>
      </c>
      <c r="AL1981" s="5">
        <f t="shared" si="280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1103</v>
      </c>
      <c r="J1990" s="2" t="s">
        <v>1104</v>
      </c>
      <c r="L1990" s="2" t="s">
        <v>178</v>
      </c>
      <c r="M1990" s="2" t="s">
        <v>41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1103</v>
      </c>
      <c r="J1991" s="2" t="s">
        <v>1104</v>
      </c>
      <c r="L1991" s="2" t="s">
        <v>178</v>
      </c>
      <c r="M1991" s="2" t="s">
        <v>41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1103</v>
      </c>
      <c r="J1992" s="2" t="s">
        <v>1104</v>
      </c>
      <c r="L1992" s="2" t="s">
        <v>178</v>
      </c>
      <c r="M1992" s="2" t="s">
        <v>41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1103</v>
      </c>
      <c r="J1993" s="2" t="s">
        <v>1104</v>
      </c>
      <c r="L1993" s="2" t="s">
        <v>178</v>
      </c>
      <c r="M1993" s="2" t="s">
        <v>41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170</v>
      </c>
      <c r="AA2005" s="2" t="s">
        <v>170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M2008" s="2" t="s">
        <v>41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118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3415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86"/>
        <v>1</v>
      </c>
      <c r="Z2021" s="2" t="s">
        <v>118</v>
      </c>
      <c r="AF2021" s="2">
        <f t="shared" si="281"/>
        <v>0</v>
      </c>
      <c r="AJ2021" s="2">
        <f t="shared" si="282"/>
        <v>0</v>
      </c>
      <c r="AK2021" s="2">
        <f t="shared" si="284"/>
        <v>62.6</v>
      </c>
      <c r="AL2021" s="5">
        <f t="shared" si="287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118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118</v>
      </c>
      <c r="AA2030" s="2" t="s">
        <v>1312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118</v>
      </c>
      <c r="AA2041" s="2" t="s">
        <v>1312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120</v>
      </c>
      <c r="AA2043" s="2" t="s">
        <v>3384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3457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3457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3457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118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118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170</v>
      </c>
      <c r="AA2059" s="2" t="s">
        <v>170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120</v>
      </c>
      <c r="AA2061" s="2" t="s">
        <v>3384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120</v>
      </c>
      <c r="AA2067" s="2" t="s">
        <v>3384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118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90"/>
        <v>1</v>
      </c>
      <c r="Z2079" s="2" t="s">
        <v>105</v>
      </c>
      <c r="AF2079" s="2">
        <f t="shared" si="288"/>
        <v>0</v>
      </c>
      <c r="AJ2079" s="2">
        <f t="shared" si="289"/>
        <v>0</v>
      </c>
      <c r="AK2079" s="2">
        <f t="shared" si="292"/>
        <v>6680</v>
      </c>
      <c r="AL2079" s="5">
        <f t="shared" si="291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90"/>
        <v>1</v>
      </c>
      <c r="Z2080" s="2" t="s">
        <v>105</v>
      </c>
      <c r="AF2080" s="2">
        <f t="shared" si="288"/>
        <v>0</v>
      </c>
      <c r="AJ2080" s="2">
        <f t="shared" si="289"/>
        <v>0</v>
      </c>
      <c r="AK2080" s="2">
        <f t="shared" si="292"/>
        <v>8200</v>
      </c>
      <c r="AL2080" s="5">
        <f t="shared" si="291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3231</v>
      </c>
      <c r="AA2082" s="2" t="s">
        <v>3387</v>
      </c>
      <c r="AB2082" s="2" t="s">
        <v>1990</v>
      </c>
      <c r="AC2082" s="2" t="s">
        <v>1040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120</v>
      </c>
      <c r="AA2089" s="2" t="s">
        <v>3384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118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3444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3444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E2107" s="2" t="s">
        <v>109</v>
      </c>
      <c r="F2107" s="2" t="s">
        <v>39</v>
      </c>
      <c r="L2107" s="2" t="s">
        <v>178</v>
      </c>
      <c r="M2107" s="2" t="s">
        <v>41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E2108" s="2" t="s">
        <v>109</v>
      </c>
      <c r="F2108" s="2" t="s">
        <v>39</v>
      </c>
      <c r="L2108" s="2" t="s">
        <v>178</v>
      </c>
      <c r="M2108" s="2" t="s">
        <v>41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3446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3446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3446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3231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118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105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105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118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99"/>
        <v>1</v>
      </c>
      <c r="Z2134" s="2" t="s">
        <v>170</v>
      </c>
      <c r="AA2134" s="2" t="s">
        <v>170</v>
      </c>
      <c r="AF2134" s="2">
        <f t="shared" si="295"/>
        <v>0</v>
      </c>
      <c r="AJ2134" s="2">
        <f t="shared" si="296"/>
        <v>0</v>
      </c>
      <c r="AK2134" s="2">
        <f t="shared" si="300"/>
        <v>5</v>
      </c>
      <c r="AL2134" s="5">
        <f t="shared" si="298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118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118</v>
      </c>
      <c r="AA2143" s="2" t="s">
        <v>318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118</v>
      </c>
      <c r="AA2146" s="2" t="s">
        <v>318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118</v>
      </c>
      <c r="AA2161" s="2" t="s">
        <v>1312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120</v>
      </c>
      <c r="AA2166" s="2" t="s">
        <v>3384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118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3398</v>
      </c>
      <c r="D2176" s="15" t="s">
        <v>3419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3398</v>
      </c>
      <c r="D2177" s="15" t="s">
        <v>3419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120</v>
      </c>
      <c r="AA2201" s="2" t="s">
        <v>493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3231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3231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3398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3398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7" si="311">(T2219-W2219)/T2219</f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105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170</v>
      </c>
      <c r="AA2222" s="2" t="s">
        <v>170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E2232" s="2" t="s">
        <v>109</v>
      </c>
      <c r="F2232" s="2" t="s">
        <v>39</v>
      </c>
      <c r="L2232" s="2" t="s">
        <v>113</v>
      </c>
      <c r="M2232" s="2" t="s">
        <v>110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1625</v>
      </c>
      <c r="E2233" s="2" t="s">
        <v>109</v>
      </c>
      <c r="F2233" s="2" t="s">
        <v>39</v>
      </c>
      <c r="L2233" s="2" t="s">
        <v>113</v>
      </c>
      <c r="M2233" s="2" t="s">
        <v>110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1625</v>
      </c>
      <c r="E2234" s="2" t="s">
        <v>109</v>
      </c>
      <c r="F2234" s="2" t="s">
        <v>39</v>
      </c>
      <c r="L2234" s="2" t="s">
        <v>113</v>
      </c>
      <c r="M2234" s="2" t="s">
        <v>110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E2235" s="2" t="s">
        <v>109</v>
      </c>
      <c r="F2235" s="2" t="s">
        <v>39</v>
      </c>
      <c r="L2235" s="2" t="s">
        <v>113</v>
      </c>
      <c r="M2235" s="2" t="s">
        <v>110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1625</v>
      </c>
      <c r="E2236" s="2" t="s">
        <v>109</v>
      </c>
      <c r="F2236" s="2" t="s">
        <v>39</v>
      </c>
      <c r="L2236" s="2" t="s">
        <v>113</v>
      </c>
      <c r="M2236" s="2" t="s">
        <v>110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105</v>
      </c>
      <c r="AC2243" s="2" t="s">
        <v>3235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118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1103</v>
      </c>
      <c r="J2247" s="2" t="s">
        <v>1104</v>
      </c>
      <c r="L2247" s="2" t="s">
        <v>178</v>
      </c>
      <c r="M2247" s="2" t="s">
        <v>41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1103</v>
      </c>
      <c r="J2248" s="2" t="s">
        <v>1104</v>
      </c>
      <c r="L2248" s="2" t="s">
        <v>178</v>
      </c>
      <c r="M2248" s="2" t="s">
        <v>41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105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105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118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105</v>
      </c>
      <c r="AC2268" s="2" t="s">
        <v>3235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3231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3390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3231</v>
      </c>
      <c r="AA2303" s="2" t="s">
        <v>2171</v>
      </c>
      <c r="AB2303" s="2" t="s">
        <v>2251</v>
      </c>
      <c r="AC2303" s="2" t="s">
        <v>3390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3391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3231</v>
      </c>
      <c r="AA2304" s="2" t="s">
        <v>1043</v>
      </c>
      <c r="AB2304" s="2" t="s">
        <v>1272</v>
      </c>
      <c r="AC2304" s="2" t="s">
        <v>3391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3391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3231</v>
      </c>
      <c r="AA2305" s="2" t="s">
        <v>1043</v>
      </c>
      <c r="AB2305" s="2" t="s">
        <v>1272</v>
      </c>
      <c r="AC2305" s="2" t="s">
        <v>3391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3391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3231</v>
      </c>
      <c r="AA2306" s="2" t="s">
        <v>1043</v>
      </c>
      <c r="AB2306" s="2" t="s">
        <v>1272</v>
      </c>
      <c r="AC2306" s="2" t="s">
        <v>3391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3390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3231</v>
      </c>
      <c r="AA2307" s="2" t="s">
        <v>2171</v>
      </c>
      <c r="AB2307" s="2" t="s">
        <v>2251</v>
      </c>
      <c r="AC2307" s="2" t="s">
        <v>3390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170</v>
      </c>
      <c r="AA2308" s="2" t="s">
        <v>170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105</v>
      </c>
      <c r="AA2311" s="2" t="s">
        <v>617</v>
      </c>
      <c r="AC2311" s="2" t="s">
        <v>115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120</v>
      </c>
      <c r="AA2322" s="2" t="s">
        <v>3384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118</v>
      </c>
      <c r="AA2327" s="2" t="s">
        <v>119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118</v>
      </c>
      <c r="AA2344" s="2" t="s">
        <v>1312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120</v>
      </c>
      <c r="AA2350" s="2" t="s">
        <v>3384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3384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105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105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120</v>
      </c>
      <c r="AA2358" s="2" t="s">
        <v>3384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3231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3231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M2371" s="2" t="s">
        <v>81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M2372" s="2" t="s">
        <v>81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M2373" s="2" t="s">
        <v>81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M2374" s="2" t="s">
        <v>81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M2375" s="2" t="s">
        <v>81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M2376" s="2" t="s">
        <v>81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120</v>
      </c>
      <c r="AA2385" s="2" t="s">
        <v>3384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120</v>
      </c>
      <c r="AA2392" s="2" t="s">
        <v>3384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118</v>
      </c>
      <c r="AA2393" s="2" t="s">
        <v>318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3447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170</v>
      </c>
      <c r="AA2414" s="2" t="s">
        <v>170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120</v>
      </c>
      <c r="AA2420" s="2" t="s">
        <v>3384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341"/>
        <v>1</v>
      </c>
      <c r="Z2424" s="2" t="s">
        <v>170</v>
      </c>
      <c r="AA2424" s="2" t="s">
        <v>170</v>
      </c>
      <c r="AF2424" s="2">
        <f t="shared" si="336"/>
        <v>0</v>
      </c>
      <c r="AJ2424" s="2">
        <f t="shared" si="337"/>
        <v>0</v>
      </c>
      <c r="AK2424" s="2">
        <f t="shared" si="343"/>
        <v>13.5</v>
      </c>
      <c r="AL2424" s="5">
        <f t="shared" si="342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118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120</v>
      </c>
      <c r="AA2445" s="2" t="s">
        <v>3384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M2446" s="2" t="s">
        <v>41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3465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3464</v>
      </c>
      <c r="D2450" s="15" t="s">
        <v>3419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3464</v>
      </c>
      <c r="D2451" s="15" t="s">
        <v>3419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3464</v>
      </c>
      <c r="D2452" s="15" t="s">
        <v>3419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3464</v>
      </c>
      <c r="D2453" s="15" t="s">
        <v>3419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170</v>
      </c>
      <c r="AA2455" s="2" t="s">
        <v>170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120</v>
      </c>
      <c r="AA2457" s="2" t="s">
        <v>493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105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E2477" s="2" t="s">
        <v>109</v>
      </c>
      <c r="F2477" s="2" t="s">
        <v>39</v>
      </c>
      <c r="L2477" s="2" t="s">
        <v>100</v>
      </c>
      <c r="M2477" s="2" t="s">
        <v>41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118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118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3390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3231</v>
      </c>
      <c r="AA2503" s="2" t="s">
        <v>2171</v>
      </c>
      <c r="AB2503" s="2" t="s">
        <v>2172</v>
      </c>
      <c r="AC2503" s="2" t="s">
        <v>3390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3400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3400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3400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3400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352"/>
        <v>1</v>
      </c>
      <c r="Z2506" s="2" t="s">
        <v>170</v>
      </c>
      <c r="AA2506" s="2" t="s">
        <v>170</v>
      </c>
      <c r="AF2506" s="2">
        <f t="shared" si="355"/>
        <v>0</v>
      </c>
      <c r="AJ2506" s="2">
        <f t="shared" si="356"/>
        <v>0</v>
      </c>
      <c r="AK2506" s="2">
        <f t="shared" si="353"/>
        <v>115</v>
      </c>
      <c r="AL2506" s="5">
        <f t="shared" si="35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118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120</v>
      </c>
      <c r="AA2510" s="2" t="s">
        <v>3384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118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M2529" s="2" t="s">
        <v>41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M2530" s="2" t="s">
        <v>41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359"/>
        <v>1</v>
      </c>
      <c r="Z2531" s="2" t="s">
        <v>170</v>
      </c>
      <c r="AA2531" s="2" t="s">
        <v>170</v>
      </c>
      <c r="AF2531" s="2">
        <f t="shared" si="355"/>
        <v>0</v>
      </c>
      <c r="AJ2531" s="2">
        <f t="shared" si="356"/>
        <v>0</v>
      </c>
      <c r="AK2531" s="2">
        <f t="shared" si="357"/>
        <v>5</v>
      </c>
      <c r="AL2531" s="5">
        <f t="shared" si="358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3231</v>
      </c>
      <c r="AA2532" s="2" t="s">
        <v>156</v>
      </c>
      <c r="AB2532" s="2" t="s">
        <v>3407</v>
      </c>
      <c r="AC2532" s="2" t="s">
        <v>1329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3231</v>
      </c>
      <c r="AA2533" s="2" t="s">
        <v>156</v>
      </c>
      <c r="AB2533" s="2" t="s">
        <v>3407</v>
      </c>
      <c r="AC2533" s="2" t="s">
        <v>1329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170</v>
      </c>
      <c r="AA2536" s="2" t="s">
        <v>170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M2538" s="2" t="s">
        <v>41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M2539" s="2" t="s">
        <v>41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M2540" s="2" t="s">
        <v>41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M2541" s="2" t="s">
        <v>41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3447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120</v>
      </c>
      <c r="AA2548" s="2" t="s">
        <v>3471</v>
      </c>
      <c r="AB2548" s="2" t="s">
        <v>3472</v>
      </c>
      <c r="AC2548" s="2" t="s">
        <v>699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105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360"/>
        <v>1</v>
      </c>
      <c r="Z2554" s="2" t="s">
        <v>170</v>
      </c>
      <c r="AA2554" s="2" t="s">
        <v>170</v>
      </c>
      <c r="AF2554" s="2">
        <f t="shared" si="355"/>
        <v>0</v>
      </c>
      <c r="AJ2554" s="2">
        <f t="shared" si="356"/>
        <v>0</v>
      </c>
      <c r="AK2554" s="2">
        <f t="shared" si="357"/>
        <v>8</v>
      </c>
      <c r="AL2554" s="5">
        <f t="shared" si="358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170</v>
      </c>
      <c r="AA2566" s="2" t="s">
        <v>170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360"/>
        <v>1</v>
      </c>
      <c r="Z2582" s="2" t="s">
        <v>170</v>
      </c>
      <c r="AA2582" s="2" t="s">
        <v>170</v>
      </c>
      <c r="AF2582" s="2">
        <f t="shared" si="361"/>
        <v>0</v>
      </c>
      <c r="AJ2582" s="2">
        <f t="shared" si="362"/>
        <v>0</v>
      </c>
      <c r="AK2582" s="2">
        <f t="shared" si="363"/>
        <v>8</v>
      </c>
      <c r="AL2582" s="5">
        <f t="shared" si="358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364"/>
        <v>1</v>
      </c>
      <c r="Z2585" s="2" t="s">
        <v>120</v>
      </c>
      <c r="AA2585" s="2" t="s">
        <v>3384</v>
      </c>
      <c r="AF2585" s="2">
        <f t="shared" si="361"/>
        <v>0</v>
      </c>
      <c r="AJ2585" s="2">
        <f t="shared" si="362"/>
        <v>0</v>
      </c>
      <c r="AK2585" s="2">
        <f t="shared" si="363"/>
        <v>255</v>
      </c>
      <c r="AL2585" s="5">
        <f t="shared" si="358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118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120</v>
      </c>
      <c r="AA2591" s="2" t="s">
        <v>3384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364"/>
        <v>1</v>
      </c>
      <c r="Z2594" s="2" t="s">
        <v>120</v>
      </c>
      <c r="AA2594" s="2" t="s">
        <v>3384</v>
      </c>
      <c r="AF2594" s="2">
        <f t="shared" si="361"/>
        <v>0</v>
      </c>
      <c r="AJ2594" s="2">
        <f t="shared" si="362"/>
        <v>0</v>
      </c>
      <c r="AK2594" s="2">
        <f t="shared" si="363"/>
        <v>66.97</v>
      </c>
      <c r="AL2594" s="5">
        <f t="shared" si="365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364"/>
        <v>1</v>
      </c>
      <c r="Z2600" s="2" t="s">
        <v>170</v>
      </c>
      <c r="AA2600" s="2" t="s">
        <v>170</v>
      </c>
      <c r="AF2600" s="2">
        <f t="shared" si="361"/>
        <v>0</v>
      </c>
      <c r="AJ2600" s="2">
        <f t="shared" si="362"/>
        <v>0</v>
      </c>
      <c r="AK2600" s="2">
        <f t="shared" si="363"/>
        <v>8</v>
      </c>
      <c r="AL2600" s="5">
        <f t="shared" si="365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120</v>
      </c>
      <c r="AA2603" s="2" t="s">
        <v>3384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118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364"/>
        <v>1</v>
      </c>
      <c r="Z2607" s="2" t="s">
        <v>118</v>
      </c>
      <c r="AF2607" s="2">
        <f t="shared" si="361"/>
        <v>0</v>
      </c>
      <c r="AJ2607" s="2">
        <f t="shared" si="362"/>
        <v>0</v>
      </c>
      <c r="AK2607" s="2">
        <f t="shared" si="363"/>
        <v>6680</v>
      </c>
      <c r="AL2607" s="5">
        <f t="shared" si="365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364"/>
        <v>#DIV/0!</v>
      </c>
      <c r="Z2608" s="2" t="s">
        <v>118</v>
      </c>
      <c r="AA2608" s="2" t="s">
        <v>1312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 t="e">
        <f t="shared" si="365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120</v>
      </c>
      <c r="AA2609" s="2" t="s">
        <v>3384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E2629" s="2" t="s">
        <v>38</v>
      </c>
      <c r="F2629" s="2" t="s">
        <v>39</v>
      </c>
      <c r="L2629" s="2" t="s">
        <v>419</v>
      </c>
      <c r="M2629" s="2" t="s">
        <v>41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982</v>
      </c>
      <c r="E2630" s="2" t="s">
        <v>38</v>
      </c>
      <c r="F2630" s="2" t="s">
        <v>39</v>
      </c>
      <c r="L2630" s="2" t="s">
        <v>419</v>
      </c>
      <c r="M2630" s="2" t="s">
        <v>41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E2631" s="2" t="s">
        <v>38</v>
      </c>
      <c r="F2631" s="2" t="s">
        <v>39</v>
      </c>
      <c r="L2631" s="2" t="s">
        <v>419</v>
      </c>
      <c r="M2631" s="2" t="s">
        <v>41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E2632" s="2" t="s">
        <v>38</v>
      </c>
      <c r="F2632" s="2" t="s">
        <v>39</v>
      </c>
      <c r="L2632" s="2" t="s">
        <v>419</v>
      </c>
      <c r="M2632" s="2" t="s">
        <v>41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120</v>
      </c>
      <c r="AA2640" s="2" t="s">
        <v>3384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120</v>
      </c>
      <c r="AA2645" s="2" t="s">
        <v>3384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105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118</v>
      </c>
      <c r="AA2649" s="2" t="s">
        <v>318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118</v>
      </c>
      <c r="AA2650" s="2" t="s">
        <v>318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105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3445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118</v>
      </c>
      <c r="AA2659" s="2" t="s">
        <v>318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118</v>
      </c>
      <c r="AA2660" s="2" t="s">
        <v>318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71"/>
        <v>1</v>
      </c>
      <c r="Z2662" s="2" t="s">
        <v>170</v>
      </c>
      <c r="AA2662" s="2" t="s">
        <v>170</v>
      </c>
      <c r="AF2662" s="2">
        <f t="shared" si="367"/>
        <v>0</v>
      </c>
      <c r="AJ2662" s="2">
        <f t="shared" si="368"/>
        <v>0</v>
      </c>
      <c r="AK2662" s="2">
        <f t="shared" si="369"/>
        <v>8</v>
      </c>
      <c r="AL2662" s="5">
        <f t="shared" si="372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118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M2679" s="2" t="s">
        <v>40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120</v>
      </c>
      <c r="AA2679" s="2" t="s">
        <v>3384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120</v>
      </c>
      <c r="AA2681" s="2" t="s">
        <v>3384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120</v>
      </c>
      <c r="AA2686" s="2" t="s">
        <v>3384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M2689" s="2" t="s">
        <v>41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M2690" s="2" t="s">
        <v>41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M2691" s="2" t="s">
        <v>41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M2692" s="2" t="s">
        <v>41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M2693" s="2" t="s">
        <v>41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3445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3415</v>
      </c>
      <c r="D2696" s="2" t="s">
        <v>3463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170</v>
      </c>
      <c r="AA2701" s="2" t="s">
        <v>170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120</v>
      </c>
      <c r="AA2705" s="2" t="s">
        <v>493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118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120</v>
      </c>
      <c r="AA2710" s="2" t="s">
        <v>3384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73"/>
        <v>1</v>
      </c>
      <c r="Z2712" s="2" t="s">
        <v>170</v>
      </c>
      <c r="AA2712" s="2" t="s">
        <v>170</v>
      </c>
      <c r="AF2712" s="2">
        <f t="shared" si="374"/>
        <v>0</v>
      </c>
      <c r="AJ2712" s="2">
        <f t="shared" si="375"/>
        <v>0</v>
      </c>
      <c r="AK2712" s="2">
        <f t="shared" si="376"/>
        <v>8.5</v>
      </c>
      <c r="AL2712" s="5">
        <f t="shared" si="372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3231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3231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2264</v>
      </c>
      <c r="J2726" s="2" t="s">
        <v>2265</v>
      </c>
      <c r="L2726" s="2" t="s">
        <v>419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2264</v>
      </c>
      <c r="J2727" s="2" t="s">
        <v>2265</v>
      </c>
      <c r="L2727" s="2" t="s">
        <v>419</v>
      </c>
      <c r="M2727" s="2" t="s">
        <v>41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2264</v>
      </c>
      <c r="J2728" s="2" t="s">
        <v>2265</v>
      </c>
      <c r="L2728" s="2" t="s">
        <v>419</v>
      </c>
      <c r="M2728" s="2" t="s">
        <v>41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2264</v>
      </c>
      <c r="J2729" s="2" t="s">
        <v>2265</v>
      </c>
      <c r="L2729" s="2" t="s">
        <v>419</v>
      </c>
      <c r="M2729" s="2" t="s">
        <v>41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3231</v>
      </c>
      <c r="AA2730" s="2" t="s">
        <v>156</v>
      </c>
      <c r="AB2730" s="2" t="s">
        <v>3407</v>
      </c>
      <c r="AC2730" s="2" t="s">
        <v>1329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3231</v>
      </c>
      <c r="AA2731" s="2" t="s">
        <v>156</v>
      </c>
      <c r="AB2731" s="2" t="s">
        <v>3407</v>
      </c>
      <c r="AC2731" s="2" t="s">
        <v>1329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3231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3231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120</v>
      </c>
      <c r="AA2736" s="2" t="s">
        <v>3384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120</v>
      </c>
      <c r="AA2750" s="2" t="s">
        <v>3384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82"/>
        <v>1</v>
      </c>
      <c r="Z2758" s="2" t="s">
        <v>170</v>
      </c>
      <c r="AA2758" s="2" t="s">
        <v>170</v>
      </c>
      <c r="AF2758" s="2">
        <f t="shared" si="380"/>
        <v>0</v>
      </c>
      <c r="AJ2758" s="2">
        <f t="shared" si="381"/>
        <v>0</v>
      </c>
      <c r="AK2758" s="2">
        <f t="shared" si="376"/>
        <v>8</v>
      </c>
      <c r="AL2758" s="5">
        <f t="shared" si="378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1103</v>
      </c>
      <c r="J2762" s="2" t="s">
        <v>1104</v>
      </c>
      <c r="L2762" s="2" t="s">
        <v>178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1103</v>
      </c>
      <c r="J2763" s="2" t="s">
        <v>1104</v>
      </c>
      <c r="L2763" s="2" t="s">
        <v>178</v>
      </c>
      <c r="M2763" s="2" t="s">
        <v>41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1103</v>
      </c>
      <c r="J2764" s="2" t="s">
        <v>1104</v>
      </c>
      <c r="L2764" s="2" t="s">
        <v>178</v>
      </c>
      <c r="M2764" s="2" t="s">
        <v>41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M2788" s="2" t="s">
        <v>41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M2789" s="2" t="s">
        <v>41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M2790" s="2" t="s">
        <v>41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M2791" s="2" t="s">
        <v>41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M2792" s="2" t="s">
        <v>41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M2793" s="2" t="s">
        <v>41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M2794" s="2" t="s">
        <v>41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M2795" s="2" t="s">
        <v>41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M2796" s="2" t="s">
        <v>41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M2797" s="2" t="s">
        <v>41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M2798" s="2" t="s">
        <v>41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86"/>
        <v>1</v>
      </c>
      <c r="Z2801" s="2" t="s">
        <v>170</v>
      </c>
      <c r="AA2801" s="2" t="s">
        <v>170</v>
      </c>
      <c r="AF2801" s="2">
        <f t="shared" si="380"/>
        <v>0</v>
      </c>
      <c r="AJ2801" s="2">
        <f t="shared" si="381"/>
        <v>0</v>
      </c>
      <c r="AK2801" s="2">
        <f t="shared" si="383"/>
        <v>5</v>
      </c>
      <c r="AL2801" s="5">
        <f t="shared" si="387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91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33.24</v>
      </c>
      <c r="AL2839" s="5">
        <f t="shared" si="392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118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118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118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3478</v>
      </c>
      <c r="D2895" s="2" t="s">
        <v>941</v>
      </c>
      <c r="E2895" s="2" t="s">
        <v>38</v>
      </c>
      <c r="F2895" s="2" t="s">
        <v>39</v>
      </c>
      <c r="L2895" s="2" t="s">
        <v>100</v>
      </c>
      <c r="M2895" s="2" t="s">
        <v>81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1103</v>
      </c>
      <c r="J2911" s="2" t="s">
        <v>1104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1103</v>
      </c>
      <c r="J2914" s="2" t="s">
        <v>1104</v>
      </c>
      <c r="L2914" s="2" t="s">
        <v>178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1103</v>
      </c>
      <c r="J2922" s="2" t="s">
        <v>1104</v>
      </c>
      <c r="L2922" s="2" t="s">
        <v>178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178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120</v>
      </c>
      <c r="AA2991" s="2" t="s">
        <v>493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118</v>
      </c>
      <c r="AA2992" s="2" t="s">
        <v>318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118</v>
      </c>
      <c r="AA2993" s="2" t="s">
        <v>318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3456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118</v>
      </c>
      <c r="AA2994" s="2" t="s">
        <v>318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3448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3448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422"/>
        <v>1</v>
      </c>
      <c r="Z3029" s="2" t="s">
        <v>170</v>
      </c>
      <c r="AA3029" s="2" t="s">
        <v>170</v>
      </c>
      <c r="AF3029" s="2">
        <f t="shared" si="420"/>
        <v>0</v>
      </c>
      <c r="AJ3029" s="2">
        <f t="shared" si="421"/>
        <v>0</v>
      </c>
      <c r="AK3029" s="2">
        <f t="shared" si="417"/>
        <v>8</v>
      </c>
      <c r="AL3029" s="5">
        <f t="shared" si="418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422"/>
        <v>1</v>
      </c>
      <c r="Z3030" s="2" t="s">
        <v>170</v>
      </c>
      <c r="AA3030" s="2" t="s">
        <v>170</v>
      </c>
      <c r="AF3030" s="2">
        <f t="shared" si="420"/>
        <v>0</v>
      </c>
      <c r="AJ3030" s="2">
        <f t="shared" si="421"/>
        <v>0</v>
      </c>
      <c r="AK3030" s="2">
        <f t="shared" si="417"/>
        <v>10</v>
      </c>
      <c r="AL3030" s="5">
        <f t="shared" si="418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422"/>
        <v>1</v>
      </c>
      <c r="Z3031" s="2" t="s">
        <v>170</v>
      </c>
      <c r="AA3031" s="2" t="s">
        <v>170</v>
      </c>
      <c r="AF3031" s="2">
        <f t="shared" si="420"/>
        <v>0</v>
      </c>
      <c r="AJ3031" s="2">
        <f t="shared" si="421"/>
        <v>0</v>
      </c>
      <c r="AK3031" s="2">
        <f t="shared" si="417"/>
        <v>5</v>
      </c>
      <c r="AL3031" s="5">
        <f t="shared" si="418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422"/>
        <v>1</v>
      </c>
      <c r="Z3032" s="2" t="s">
        <v>170</v>
      </c>
      <c r="AA3032" s="2" t="s">
        <v>170</v>
      </c>
      <c r="AF3032" s="2">
        <f t="shared" si="420"/>
        <v>0</v>
      </c>
      <c r="AJ3032" s="2">
        <f t="shared" si="421"/>
        <v>0</v>
      </c>
      <c r="AK3032" s="2">
        <f t="shared" si="417"/>
        <v>5</v>
      </c>
      <c r="AL3032" s="5">
        <f t="shared" si="418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422"/>
        <v>1</v>
      </c>
      <c r="Z3033" s="2" t="s">
        <v>170</v>
      </c>
      <c r="AA3033" s="2" t="s">
        <v>170</v>
      </c>
      <c r="AF3033" s="2">
        <f t="shared" si="420"/>
        <v>0</v>
      </c>
      <c r="AJ3033" s="2">
        <f t="shared" si="421"/>
        <v>0</v>
      </c>
      <c r="AK3033" s="2">
        <f t="shared" si="417"/>
        <v>4.5</v>
      </c>
      <c r="AL3033" s="5">
        <f t="shared" si="418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422"/>
        <v>1</v>
      </c>
      <c r="Z3034" s="2" t="s">
        <v>170</v>
      </c>
      <c r="AA3034" s="2" t="s">
        <v>170</v>
      </c>
      <c r="AF3034" s="2">
        <f t="shared" si="420"/>
        <v>0</v>
      </c>
      <c r="AJ3034" s="2">
        <f t="shared" si="421"/>
        <v>0</v>
      </c>
      <c r="AK3034" s="2">
        <f t="shared" si="417"/>
        <v>100</v>
      </c>
      <c r="AL3034" s="5">
        <f t="shared" si="418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422"/>
        <v>1</v>
      </c>
      <c r="Z3035" s="2" t="s">
        <v>170</v>
      </c>
      <c r="AA3035" s="2" t="s">
        <v>170</v>
      </c>
      <c r="AF3035" s="2">
        <f t="shared" si="420"/>
        <v>0</v>
      </c>
      <c r="AJ3035" s="2">
        <f t="shared" si="421"/>
        <v>0</v>
      </c>
      <c r="AK3035" s="2">
        <f t="shared" si="417"/>
        <v>8</v>
      </c>
      <c r="AL3035" s="5">
        <f t="shared" si="418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118</v>
      </c>
      <c r="AA3037" s="2" t="s">
        <v>1312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118</v>
      </c>
      <c r="AA3038" s="2" t="s">
        <v>1312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118</v>
      </c>
      <c r="AA3039" s="2" t="s">
        <v>1312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118</v>
      </c>
      <c r="AA3040" s="2" t="s">
        <v>1312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178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3456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120</v>
      </c>
      <c r="AA3076" s="2" t="s">
        <v>3384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118</v>
      </c>
      <c r="AA3077" s="2" t="s">
        <v>119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3231</v>
      </c>
      <c r="AA3078" s="2" t="s">
        <v>120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3459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3459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118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118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118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118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3416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3416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1103</v>
      </c>
      <c r="J3135" s="2" t="s">
        <v>1104</v>
      </c>
      <c r="L3135" s="2" t="s">
        <v>178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178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3399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3399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3399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3399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120</v>
      </c>
      <c r="AA3234" s="2" t="s">
        <v>493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118</v>
      </c>
      <c r="AA3235" s="2" t="s">
        <v>318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3455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3455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170</v>
      </c>
      <c r="AA3268" s="2" t="s">
        <v>170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170</v>
      </c>
      <c r="AA3269" s="2" t="s">
        <v>170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462"/>
        <v>1</v>
      </c>
      <c r="Z3270" s="2" t="s">
        <v>170</v>
      </c>
      <c r="AA3270" s="2" t="s">
        <v>170</v>
      </c>
      <c r="AF3270" s="2">
        <f t="shared" si="463"/>
        <v>0</v>
      </c>
      <c r="AJ3270" s="2">
        <f t="shared" si="464"/>
        <v>0</v>
      </c>
      <c r="AK3270" s="2">
        <f t="shared" si="465"/>
        <v>100</v>
      </c>
      <c r="AL3270" s="5">
        <f t="shared" si="466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462"/>
        <v>1</v>
      </c>
      <c r="Z3271" s="2" t="s">
        <v>170</v>
      </c>
      <c r="AA3271" s="2" t="s">
        <v>170</v>
      </c>
      <c r="AF3271" s="2">
        <f t="shared" si="463"/>
        <v>0</v>
      </c>
      <c r="AJ3271" s="2">
        <f t="shared" si="464"/>
        <v>0</v>
      </c>
      <c r="AK3271" s="2">
        <f t="shared" si="465"/>
        <v>8</v>
      </c>
      <c r="AL3271" s="5">
        <f t="shared" si="466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462"/>
        <v>1</v>
      </c>
      <c r="Z3272" s="2" t="s">
        <v>170</v>
      </c>
      <c r="AA3272" s="2" t="s">
        <v>170</v>
      </c>
      <c r="AF3272" s="2">
        <f t="shared" si="463"/>
        <v>0</v>
      </c>
      <c r="AJ3272" s="2">
        <f t="shared" si="464"/>
        <v>0</v>
      </c>
      <c r="AK3272" s="2">
        <f t="shared" si="465"/>
        <v>8</v>
      </c>
      <c r="AL3272" s="5">
        <f t="shared" si="466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462"/>
        <v>1</v>
      </c>
      <c r="Z3273" s="2" t="s">
        <v>170</v>
      </c>
      <c r="AA3273" s="2" t="s">
        <v>170</v>
      </c>
      <c r="AF3273" s="2">
        <f t="shared" si="463"/>
        <v>0</v>
      </c>
      <c r="AJ3273" s="2">
        <f t="shared" si="464"/>
        <v>0</v>
      </c>
      <c r="AK3273" s="2">
        <f t="shared" si="465"/>
        <v>8</v>
      </c>
      <c r="AL3273" s="5">
        <f t="shared" si="466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462"/>
        <v>1</v>
      </c>
      <c r="Z3274" s="2" t="s">
        <v>170</v>
      </c>
      <c r="AA3274" s="2" t="s">
        <v>170</v>
      </c>
      <c r="AF3274" s="2">
        <f t="shared" si="463"/>
        <v>0</v>
      </c>
      <c r="AJ3274" s="2">
        <f t="shared" si="464"/>
        <v>0</v>
      </c>
      <c r="AK3274" s="2">
        <f t="shared" si="465"/>
        <v>5</v>
      </c>
      <c r="AL3274" s="5">
        <f t="shared" si="466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462"/>
        <v>1</v>
      </c>
      <c r="Z3275" s="2" t="s">
        <v>170</v>
      </c>
      <c r="AA3275" s="2" t="s">
        <v>170</v>
      </c>
      <c r="AF3275" s="2">
        <f t="shared" si="463"/>
        <v>0</v>
      </c>
      <c r="AJ3275" s="2">
        <f t="shared" si="464"/>
        <v>0</v>
      </c>
      <c r="AK3275" s="2">
        <f t="shared" si="465"/>
        <v>5</v>
      </c>
      <c r="AL3275" s="5">
        <f t="shared" si="466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118</v>
      </c>
      <c r="AA3277" s="2" t="s">
        <v>1312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178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118</v>
      </c>
      <c r="AA3298" s="2" t="s">
        <v>318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120</v>
      </c>
      <c r="AA3299" s="2" t="s">
        <v>3384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118</v>
      </c>
      <c r="AA3300" s="2" t="s">
        <v>119</v>
      </c>
      <c r="AB3300" s="2" t="s">
        <v>120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118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118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118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118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118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118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3425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3425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3425</v>
      </c>
      <c r="D3328" s="2" t="s">
        <v>3422</v>
      </c>
      <c r="E3328" s="2" t="s">
        <v>3423</v>
      </c>
      <c r="F3328" s="2" t="s">
        <v>3424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3425</v>
      </c>
      <c r="D3329" s="2" t="s">
        <v>3422</v>
      </c>
      <c r="E3329" s="2" t="s">
        <v>3423</v>
      </c>
      <c r="F3329" s="2" t="s">
        <v>3424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3385</v>
      </c>
      <c r="AC3329" s="2" t="s">
        <v>1329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3425</v>
      </c>
      <c r="D3330" s="2" t="s">
        <v>3422</v>
      </c>
      <c r="E3330" s="2" t="s">
        <v>3423</v>
      </c>
      <c r="F3330" s="2" t="s">
        <v>3424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3425</v>
      </c>
      <c r="D3337" s="2" t="s">
        <v>3422</v>
      </c>
      <c r="E3337" s="2" t="s">
        <v>3423</v>
      </c>
      <c r="F3337" s="2" t="s">
        <v>3424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E3351" s="2" t="s">
        <v>109</v>
      </c>
      <c r="F3351" s="2" t="s">
        <v>39</v>
      </c>
      <c r="L3351" s="2" t="s">
        <v>178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178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E3355" s="2" t="s">
        <v>109</v>
      </c>
      <c r="F3355" s="2" t="s">
        <v>39</v>
      </c>
      <c r="L3355" s="2" t="s">
        <v>178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178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E3377" s="2" t="s">
        <v>38</v>
      </c>
      <c r="F3377" s="2" t="s">
        <v>39</v>
      </c>
      <c r="L3377" s="2" t="s">
        <v>419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E3378" s="2" t="s">
        <v>38</v>
      </c>
      <c r="F3378" s="2" t="s">
        <v>39</v>
      </c>
      <c r="L3378" s="2" t="s">
        <v>419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1103</v>
      </c>
      <c r="J3425" s="2" t="s">
        <v>1104</v>
      </c>
      <c r="L3425" s="2" t="s">
        <v>178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E3430" s="2" t="s">
        <v>38</v>
      </c>
      <c r="F3430" s="2" t="s">
        <v>39</v>
      </c>
      <c r="L3430" s="2" t="s">
        <v>419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3448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3231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3231</v>
      </c>
      <c r="AC3449" s="2" t="s">
        <v>3235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3231</v>
      </c>
      <c r="AC3450" s="2" t="s">
        <v>3235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3231</v>
      </c>
      <c r="AC3451" s="2" t="s">
        <v>3235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3425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178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506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501"/>
        <v>0</v>
      </c>
      <c r="AJ3497" s="2">
        <f t="shared" si="502"/>
        <v>0</v>
      </c>
      <c r="AK3497" s="2">
        <f t="shared" si="507"/>
        <v>8.4</v>
      </c>
      <c r="AL3497" s="5">
        <f t="shared" si="508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3448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3448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3448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3448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120</v>
      </c>
      <c r="AA3508" s="2" t="s">
        <v>493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513"/>
        <v>1</v>
      </c>
      <c r="Z3533" s="2" t="s">
        <v>170</v>
      </c>
      <c r="AA3533" s="2" t="s">
        <v>170</v>
      </c>
      <c r="AF3533" s="2">
        <f t="shared" si="511"/>
        <v>0</v>
      </c>
      <c r="AJ3533" s="2">
        <f t="shared" si="512"/>
        <v>0</v>
      </c>
      <c r="AK3533" s="2">
        <f t="shared" si="514"/>
        <v>39.39</v>
      </c>
      <c r="AL3533" s="5">
        <f t="shared" si="515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170</v>
      </c>
      <c r="AA3534" s="2" t="s">
        <v>170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513"/>
        <v>1</v>
      </c>
      <c r="Z3535" s="2" t="s">
        <v>170</v>
      </c>
      <c r="AA3535" s="2" t="s">
        <v>170</v>
      </c>
      <c r="AF3535" s="2">
        <f t="shared" si="511"/>
        <v>0</v>
      </c>
      <c r="AJ3535" s="2">
        <f t="shared" si="512"/>
        <v>0</v>
      </c>
      <c r="AK3535" s="2">
        <f t="shared" si="514"/>
        <v>15</v>
      </c>
      <c r="AL3535" s="5">
        <f t="shared" si="515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513"/>
        <v>1</v>
      </c>
      <c r="Z3536" s="2" t="s">
        <v>170</v>
      </c>
      <c r="AA3536" s="2" t="s">
        <v>170</v>
      </c>
      <c r="AF3536" s="2">
        <f t="shared" si="511"/>
        <v>0</v>
      </c>
      <c r="AJ3536" s="2">
        <f t="shared" si="512"/>
        <v>0</v>
      </c>
      <c r="AK3536" s="2">
        <f t="shared" si="514"/>
        <v>5</v>
      </c>
      <c r="AL3536" s="5">
        <f t="shared" si="515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513"/>
        <v>1</v>
      </c>
      <c r="Z3538" s="2" t="s">
        <v>170</v>
      </c>
      <c r="AA3538" s="2" t="s">
        <v>170</v>
      </c>
      <c r="AF3538" s="2">
        <f t="shared" si="511"/>
        <v>0</v>
      </c>
      <c r="AJ3538" s="2">
        <f t="shared" si="512"/>
        <v>0</v>
      </c>
      <c r="AK3538" s="2">
        <f t="shared" si="514"/>
        <v>5</v>
      </c>
      <c r="AL3538" s="5">
        <f t="shared" si="515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118</v>
      </c>
      <c r="AA3541" s="2" t="s">
        <v>1312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178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3425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120</v>
      </c>
      <c r="AA3573" s="2" t="s">
        <v>3384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120</v>
      </c>
      <c r="AA3574" s="2" t="s">
        <v>3384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3425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105</v>
      </c>
      <c r="AA3575" s="2" t="s">
        <v>3426</v>
      </c>
      <c r="AB3575" s="2" t="s">
        <v>3427</v>
      </c>
      <c r="AC3575" s="2" t="s">
        <v>115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120</v>
      </c>
      <c r="AA3576" s="2" t="s">
        <v>3384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120</v>
      </c>
      <c r="AA3577" s="2" t="s">
        <v>3384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3455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522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33.24</v>
      </c>
      <c r="AL3592" s="5">
        <f t="shared" si="524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3448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118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118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M3615" s="2" t="s">
        <v>40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118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3455</v>
      </c>
      <c r="D3619" s="2" t="s">
        <v>3462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3231</v>
      </c>
      <c r="AA3625" s="2" t="s">
        <v>156</v>
      </c>
      <c r="AB3625" s="2" t="s">
        <v>3407</v>
      </c>
      <c r="AC3625" s="2" t="s">
        <v>1329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105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105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178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E3644" s="2" t="s">
        <v>38</v>
      </c>
      <c r="F3644" s="2" t="s">
        <v>39</v>
      </c>
      <c r="L3644" s="2" t="s">
        <v>419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E3656" s="2" t="s">
        <v>38</v>
      </c>
      <c r="F3656" s="2" t="s">
        <v>39</v>
      </c>
      <c r="L3656" s="2" t="s">
        <v>419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3448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E3684" s="2" t="s">
        <v>38</v>
      </c>
      <c r="F3684" s="2" t="s">
        <v>39</v>
      </c>
      <c r="L3684" s="2" t="s">
        <v>419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3448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582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1103</v>
      </c>
      <c r="J3705" s="2" t="s">
        <v>1104</v>
      </c>
      <c r="L3705" s="2" t="s">
        <v>178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3448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E3710" s="2" t="s">
        <v>109</v>
      </c>
      <c r="F3710" s="2" t="s">
        <v>39</v>
      </c>
      <c r="L3710" s="2" t="s">
        <v>100</v>
      </c>
      <c r="M3710" s="2" t="s">
        <v>41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3448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109</v>
      </c>
      <c r="F3742" s="2" t="s">
        <v>377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178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554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14</v>
      </c>
      <c r="AL3744" s="5">
        <f t="shared" ref="AL3744:AL3766" si="556">(T3744-W3744)/T3744</f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554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549"/>
        <v>0</v>
      </c>
      <c r="AJ3750" s="2">
        <f t="shared" si="550"/>
        <v>0</v>
      </c>
      <c r="AK3750" s="2">
        <f t="shared" si="555"/>
        <v>8.4</v>
      </c>
      <c r="AL3750" s="5">
        <f t="shared" si="556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118</v>
      </c>
      <c r="AA3755" s="2" t="s">
        <v>318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3450</v>
      </c>
      <c r="D3766" s="2" t="s">
        <v>2908</v>
      </c>
      <c r="F3766" s="2" t="s">
        <v>3449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>(T3784-W3784)/T3784</f>
        <v>1</v>
      </c>
      <c r="Z3784" s="2" t="s">
        <v>170</v>
      </c>
      <c r="AA3784" s="2" t="s">
        <v>170</v>
      </c>
      <c r="AF3784" s="2">
        <f t="shared" si="561"/>
        <v>0</v>
      </c>
      <c r="AJ3784" s="2">
        <f t="shared" si="562"/>
        <v>0</v>
      </c>
      <c r="AK3784" s="2">
        <f t="shared" si="560"/>
        <v>8</v>
      </c>
      <c r="AL3784" s="5">
        <f t="shared" ref="AL3784:AL3792" si="563">(T3784-W3784)/T3784</f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566"/>
        <v>1</v>
      </c>
      <c r="Z3810" s="2" t="s">
        <v>170</v>
      </c>
      <c r="AA3810" s="2" t="s">
        <v>170</v>
      </c>
      <c r="AF3810" s="2">
        <f t="shared" si="561"/>
        <v>0</v>
      </c>
      <c r="AJ3810" s="2">
        <f t="shared" si="562"/>
        <v>0</v>
      </c>
      <c r="AK3810" s="2">
        <f t="shared" si="568"/>
        <v>120</v>
      </c>
      <c r="AL3810" s="5">
        <f t="shared" si="567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566"/>
        <v>1</v>
      </c>
      <c r="Z3811" s="2" t="s">
        <v>170</v>
      </c>
      <c r="AA3811" s="2" t="s">
        <v>170</v>
      </c>
      <c r="AF3811" s="2">
        <f t="shared" si="561"/>
        <v>0</v>
      </c>
      <c r="AJ3811" s="2">
        <f t="shared" si="562"/>
        <v>0</v>
      </c>
      <c r="AK3811" s="2">
        <f t="shared" si="568"/>
        <v>5</v>
      </c>
      <c r="AL3811" s="5">
        <f t="shared" si="567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566"/>
        <v>1</v>
      </c>
      <c r="Z3812" s="2" t="s">
        <v>170</v>
      </c>
      <c r="AA3812" s="2" t="s">
        <v>170</v>
      </c>
      <c r="AF3812" s="2">
        <f t="shared" si="561"/>
        <v>0</v>
      </c>
      <c r="AJ3812" s="2">
        <f t="shared" si="562"/>
        <v>0</v>
      </c>
      <c r="AK3812" s="2">
        <f t="shared" si="568"/>
        <v>5</v>
      </c>
      <c r="AL3812" s="5">
        <f t="shared" si="567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170</v>
      </c>
      <c r="AA3813" s="2" t="s">
        <v>170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566"/>
        <v>1</v>
      </c>
      <c r="Z3814" s="2" t="s">
        <v>170</v>
      </c>
      <c r="AA3814" s="2" t="s">
        <v>170</v>
      </c>
      <c r="AF3814" s="2">
        <f t="shared" si="561"/>
        <v>0</v>
      </c>
      <c r="AJ3814" s="2">
        <f t="shared" si="562"/>
        <v>0</v>
      </c>
      <c r="AK3814" s="2">
        <f t="shared" si="568"/>
        <v>8</v>
      </c>
      <c r="AL3814" s="5">
        <f t="shared" si="567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566"/>
        <v>1</v>
      </c>
      <c r="Z3815" s="2" t="s">
        <v>170</v>
      </c>
      <c r="AA3815" s="2" t="s">
        <v>170</v>
      </c>
      <c r="AF3815" s="2">
        <f t="shared" si="561"/>
        <v>0</v>
      </c>
      <c r="AJ3815" s="2">
        <f t="shared" si="562"/>
        <v>0</v>
      </c>
      <c r="AK3815" s="2">
        <f t="shared" si="568"/>
        <v>15</v>
      </c>
      <c r="AL3815" s="5">
        <f t="shared" si="567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170</v>
      </c>
      <c r="AA3816" s="2" t="s">
        <v>170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3473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109</v>
      </c>
      <c r="F3825" s="2" t="s">
        <v>377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178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3384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3384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120</v>
      </c>
      <c r="AA3856" s="2" t="s">
        <v>2925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3374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3376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578"/>
        <v>1</v>
      </c>
      <c r="Z3889" s="2" t="s">
        <v>170</v>
      </c>
      <c r="AA3889" s="2" t="s">
        <v>170</v>
      </c>
      <c r="AF3889" s="2">
        <f t="shared" si="573"/>
        <v>0</v>
      </c>
      <c r="AJ3889" s="2">
        <f t="shared" si="574"/>
        <v>0</v>
      </c>
      <c r="AK3889" s="2">
        <f t="shared" si="577"/>
        <v>5</v>
      </c>
      <c r="AL3889" s="5">
        <f t="shared" si="579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578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120</v>
      </c>
      <c r="AA3893" s="2" t="s">
        <v>3384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E3900" s="2" t="s">
        <v>38</v>
      </c>
      <c r="F3900" s="2" t="s">
        <v>39</v>
      </c>
      <c r="L3900" s="2" t="s">
        <v>419</v>
      </c>
      <c r="M3900" s="2" t="s">
        <v>41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118</v>
      </c>
      <c r="AA3910" s="2" t="s">
        <v>1312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83"/>
        <v>1</v>
      </c>
      <c r="Z3913" s="2" t="s">
        <v>170</v>
      </c>
      <c r="AA3913" s="2" t="s">
        <v>170</v>
      </c>
      <c r="AF3913" s="2">
        <f t="shared" si="581"/>
        <v>0</v>
      </c>
      <c r="AJ3913" s="2">
        <f t="shared" si="582"/>
        <v>0</v>
      </c>
      <c r="AK3913" s="2">
        <f t="shared" si="580"/>
        <v>5</v>
      </c>
      <c r="AL3913" s="5">
        <f t="shared" si="579"/>
        <v>1</v>
      </c>
    </row>
    <row r="3914" spans="1:38" x14ac:dyDescent="0.2">
      <c r="A3914" s="2">
        <v>2026</v>
      </c>
      <c r="B3914" s="2">
        <v>5</v>
      </c>
      <c r="C3914" s="2" t="s">
        <v>3439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3439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3454</v>
      </c>
      <c r="D3952" s="2" t="s">
        <v>3452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3374</v>
      </c>
      <c r="D3953" s="2" t="s">
        <v>3453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3374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3374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120</v>
      </c>
      <c r="AA3963" s="2" t="s">
        <v>493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118</v>
      </c>
      <c r="AA3968" s="2" t="s">
        <v>1312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170</v>
      </c>
      <c r="AA3989" s="2" t="s">
        <v>170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96"/>
        <v>1</v>
      </c>
      <c r="Z3996" s="2" t="s">
        <v>170</v>
      </c>
      <c r="AA3996" s="2" t="s">
        <v>170</v>
      </c>
      <c r="AF3996" s="2">
        <f t="shared" si="593"/>
        <v>0</v>
      </c>
      <c r="AJ3996" s="2">
        <f t="shared" si="594"/>
        <v>0</v>
      </c>
      <c r="AK3996" s="2">
        <f t="shared" si="597"/>
        <v>5</v>
      </c>
      <c r="AL3996" s="5">
        <f t="shared" si="598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118</v>
      </c>
      <c r="AA3997" s="2" t="s">
        <v>182</v>
      </c>
      <c r="AB3997" s="2" t="s">
        <v>3385</v>
      </c>
      <c r="AC3997" s="2" t="s">
        <v>1329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105</v>
      </c>
      <c r="AA4006" s="2" t="s">
        <v>617</v>
      </c>
      <c r="AB4006" s="2" t="s">
        <v>3441</v>
      </c>
      <c r="AC4006" s="2" t="s">
        <v>115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96"/>
        <v>1</v>
      </c>
      <c r="Z4011" s="2" t="s">
        <v>170</v>
      </c>
      <c r="AA4011" s="2" t="s">
        <v>170</v>
      </c>
      <c r="AF4011" s="2">
        <f t="shared" si="593"/>
        <v>0</v>
      </c>
      <c r="AJ4011" s="2">
        <f t="shared" si="594"/>
        <v>0</v>
      </c>
      <c r="AK4011" s="2">
        <f t="shared" si="597"/>
        <v>5</v>
      </c>
      <c r="AL4011" s="5">
        <f t="shared" si="598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1103</v>
      </c>
      <c r="J4012" s="2" t="s">
        <v>1104</v>
      </c>
      <c r="L4012" s="2" t="s">
        <v>178</v>
      </c>
      <c r="M4012" s="2" t="s">
        <v>41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1103</v>
      </c>
      <c r="J4013" s="2" t="s">
        <v>1104</v>
      </c>
      <c r="L4013" s="2" t="s">
        <v>178</v>
      </c>
      <c r="M4013" s="2" t="s">
        <v>41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120</v>
      </c>
      <c r="AA4017" s="2" t="s">
        <v>3384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3454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3376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3424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120</v>
      </c>
      <c r="AA4073" s="2" t="s">
        <v>3384</v>
      </c>
      <c r="AI4073" s="2"/>
      <c r="AK4073" s="2">
        <f t="shared" si="617"/>
        <v>100</v>
      </c>
      <c r="AL4073" s="5">
        <f t="shared" si="618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105</v>
      </c>
      <c r="AA4078" s="2" t="s">
        <v>415</v>
      </c>
      <c r="AB4078" s="2" t="s">
        <v>152</v>
      </c>
      <c r="AC4078" s="2" t="s">
        <v>115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x14ac:dyDescent="0.2">
      <c r="A4079" s="8">
        <v>2026</v>
      </c>
      <c r="B4079" s="8">
        <v>6</v>
      </c>
      <c r="C4079" s="8" t="s">
        <v>3382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x14ac:dyDescent="0.2">
      <c r="A4080" s="8">
        <v>2026</v>
      </c>
      <c r="B4080" s="8">
        <v>6</v>
      </c>
      <c r="C4080" s="8" t="s">
        <v>3382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x14ac:dyDescent="0.2">
      <c r="A4081" s="8">
        <v>2026</v>
      </c>
      <c r="B4081" s="8">
        <v>6</v>
      </c>
      <c r="C4081" s="8" t="s">
        <v>3382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x14ac:dyDescent="0.2">
      <c r="A4082" s="8">
        <v>2026</v>
      </c>
      <c r="B4082" s="8">
        <v>6</v>
      </c>
      <c r="C4082" s="8" t="s">
        <v>3382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x14ac:dyDescent="0.2">
      <c r="A4083" s="8">
        <v>2026</v>
      </c>
      <c r="B4083" s="8">
        <v>6</v>
      </c>
      <c r="C4083" s="8" t="s">
        <v>3382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x14ac:dyDescent="0.2">
      <c r="A4084" s="8">
        <v>2026</v>
      </c>
      <c r="B4084" s="8">
        <v>6</v>
      </c>
      <c r="C4084" s="8" t="s">
        <v>3382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x14ac:dyDescent="0.2">
      <c r="A4085" s="8">
        <v>2026</v>
      </c>
      <c r="B4085" s="8">
        <v>6</v>
      </c>
      <c r="C4085" s="8" t="s">
        <v>3382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x14ac:dyDescent="0.2">
      <c r="A4086" s="8">
        <v>2026</v>
      </c>
      <c r="B4086" s="8">
        <v>6</v>
      </c>
      <c r="C4086" s="8" t="s">
        <v>3382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x14ac:dyDescent="0.2">
      <c r="A4087" s="8">
        <v>2026</v>
      </c>
      <c r="B4087" s="8">
        <v>6</v>
      </c>
      <c r="C4087" s="8" t="s">
        <v>3382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x14ac:dyDescent="0.2">
      <c r="A4088" s="8">
        <v>2026</v>
      </c>
      <c r="B4088" s="8">
        <v>6</v>
      </c>
      <c r="C4088" s="8" t="s">
        <v>3382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x14ac:dyDescent="0.2">
      <c r="A4089" s="8">
        <v>2026</v>
      </c>
      <c r="B4089" s="8">
        <v>6</v>
      </c>
      <c r="C4089" s="8" t="s">
        <v>3382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x14ac:dyDescent="0.2">
      <c r="A4090" s="8">
        <v>2026</v>
      </c>
      <c r="B4090" s="8">
        <v>6</v>
      </c>
      <c r="C4090" s="8" t="s">
        <v>3382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x14ac:dyDescent="0.2">
      <c r="A4091" s="8">
        <v>2026</v>
      </c>
      <c r="B4091" s="8">
        <v>6</v>
      </c>
      <c r="C4091" s="8" t="s">
        <v>3382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x14ac:dyDescent="0.2">
      <c r="A4092" s="8">
        <v>2026</v>
      </c>
      <c r="B4092" s="8">
        <v>6</v>
      </c>
      <c r="C4092" s="8" t="s">
        <v>3382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x14ac:dyDescent="0.2">
      <c r="A4093" s="8">
        <v>2026</v>
      </c>
      <c r="B4093" s="8">
        <v>6</v>
      </c>
      <c r="C4093" s="8" t="s">
        <v>3382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  <c r="AK4093" s="2">
        <f t="shared" ref="AK4093" si="624">T4093-W4093</f>
        <v>-10.6</v>
      </c>
    </row>
    <row r="4094" spans="1:38" x14ac:dyDescent="0.2">
      <c r="A4094" s="8">
        <v>2026</v>
      </c>
      <c r="B4094" s="8">
        <v>6</v>
      </c>
      <c r="C4094" s="8" t="s">
        <v>3382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3382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3382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3382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3231</v>
      </c>
      <c r="AA4097" s="2" t="s">
        <v>46</v>
      </c>
      <c r="AB4097" s="2" t="s">
        <v>91</v>
      </c>
      <c r="AC4097" s="2" t="s">
        <v>58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3382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3382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3231</v>
      </c>
      <c r="AA4099" s="2" t="s">
        <v>46</v>
      </c>
      <c r="AB4099" s="2" t="s">
        <v>91</v>
      </c>
      <c r="AC4099" s="2" t="s">
        <v>58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x14ac:dyDescent="0.2">
      <c r="A4100" s="8">
        <v>2026</v>
      </c>
      <c r="B4100" s="8">
        <v>6</v>
      </c>
      <c r="C4100" s="8" t="s">
        <v>3382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3231</v>
      </c>
      <c r="AA4100" s="2" t="s">
        <v>46</v>
      </c>
      <c r="AB4100" s="2" t="s">
        <v>47</v>
      </c>
      <c r="AC4100" s="2" t="s">
        <v>48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x14ac:dyDescent="0.2">
      <c r="A4101" s="8">
        <v>2026</v>
      </c>
      <c r="B4101" s="8">
        <v>6</v>
      </c>
      <c r="C4101" s="8" t="s">
        <v>3382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x14ac:dyDescent="0.2">
      <c r="A4102" s="8">
        <v>2026</v>
      </c>
      <c r="B4102" s="8">
        <v>6</v>
      </c>
      <c r="C4102" s="8" t="s">
        <v>3382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x14ac:dyDescent="0.2">
      <c r="A4103" s="8">
        <v>2026</v>
      </c>
      <c r="B4103" s="8">
        <v>6</v>
      </c>
      <c r="C4103" s="8" t="s">
        <v>3382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x14ac:dyDescent="0.2">
      <c r="A4104" s="8">
        <v>2026</v>
      </c>
      <c r="B4104" s="8">
        <v>6</v>
      </c>
      <c r="C4104" s="8" t="s">
        <v>3382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x14ac:dyDescent="0.2">
      <c r="A4105" s="8">
        <v>2026</v>
      </c>
      <c r="B4105" s="8">
        <v>6</v>
      </c>
      <c r="C4105" s="8" t="s">
        <v>3382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3231</v>
      </c>
      <c r="AA4105" s="2" t="s">
        <v>46</v>
      </c>
      <c r="AB4105" s="2" t="s">
        <v>91</v>
      </c>
      <c r="AC4105" s="2" t="s">
        <v>58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x14ac:dyDescent="0.2">
      <c r="A4106" s="8">
        <v>2026</v>
      </c>
      <c r="B4106" s="8">
        <v>6</v>
      </c>
      <c r="C4106" s="8" t="s">
        <v>3382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3231</v>
      </c>
      <c r="AA4106" s="2" t="s">
        <v>3383</v>
      </c>
      <c r="AI4106" s="2"/>
      <c r="AK4106" s="2">
        <f t="shared" si="626"/>
        <v>12</v>
      </c>
      <c r="AL4106" s="5">
        <f t="shared" si="627"/>
        <v>1</v>
      </c>
    </row>
    <row r="4107" spans="1:38" x14ac:dyDescent="0.2">
      <c r="A4107" s="8">
        <v>2026</v>
      </c>
      <c r="B4107" s="8">
        <v>6</v>
      </c>
      <c r="C4107" s="8" t="s">
        <v>3382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3231</v>
      </c>
      <c r="AA4107" s="2" t="s">
        <v>3383</v>
      </c>
      <c r="AB4107" s="2" t="s">
        <v>91</v>
      </c>
      <c r="AC4107" s="2" t="s">
        <v>85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x14ac:dyDescent="0.2">
      <c r="A4108" s="8">
        <v>2026</v>
      </c>
      <c r="B4108" s="8">
        <v>6</v>
      </c>
      <c r="C4108" s="8" t="s">
        <v>3382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3231</v>
      </c>
      <c r="AA4108" s="2" t="s">
        <v>3383</v>
      </c>
      <c r="AI4108" s="2"/>
      <c r="AK4108" s="2">
        <f t="shared" si="626"/>
        <v>3</v>
      </c>
      <c r="AL4108" s="5">
        <f t="shared" si="627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X4119" s="5">
        <f t="shared" si="625"/>
        <v>1</v>
      </c>
      <c r="Z4119" s="2" t="s">
        <v>170</v>
      </c>
      <c r="AA4119" s="2" t="s">
        <v>170</v>
      </c>
      <c r="AI4119" s="2"/>
      <c r="AK4119" s="2">
        <f t="shared" si="626"/>
        <v>8</v>
      </c>
      <c r="AL4119" s="5">
        <f t="shared" si="627"/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3231</v>
      </c>
      <c r="AA4121" s="2" t="s">
        <v>156</v>
      </c>
      <c r="AB4121" s="2" t="s">
        <v>3407</v>
      </c>
      <c r="AC4121" s="2" t="s">
        <v>1329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120</v>
      </c>
      <c r="AA4124" s="2" t="s">
        <v>3384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3396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3396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E4129" s="2" t="s">
        <v>38</v>
      </c>
      <c r="F4129" s="2" t="s">
        <v>39</v>
      </c>
      <c r="G4129" s="2">
        <v>212196260</v>
      </c>
      <c r="H4129" s="2" t="s">
        <v>110</v>
      </c>
      <c r="I4129" s="2" t="s">
        <v>384</v>
      </c>
      <c r="J4129" s="2" t="s">
        <v>385</v>
      </c>
      <c r="K4129" s="2">
        <v>926769894</v>
      </c>
      <c r="L4129" s="2" t="s">
        <v>113</v>
      </c>
      <c r="P4129" s="2" t="s">
        <v>3486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3231</v>
      </c>
      <c r="AA4129" s="2" t="s">
        <v>88</v>
      </c>
      <c r="AB4129" s="2" t="s">
        <v>91</v>
      </c>
      <c r="AC4129" s="2" t="s">
        <v>3486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E4130" s="2" t="s">
        <v>38</v>
      </c>
      <c r="F4130" s="2" t="s">
        <v>39</v>
      </c>
      <c r="G4130" s="2">
        <v>212196260</v>
      </c>
      <c r="H4130" s="2" t="s">
        <v>110</v>
      </c>
      <c r="I4130" s="2" t="s">
        <v>384</v>
      </c>
      <c r="J4130" s="2" t="s">
        <v>385</v>
      </c>
      <c r="K4130" s="2">
        <v>926769894</v>
      </c>
      <c r="L4130" s="2" t="s">
        <v>113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E4131" s="2" t="s">
        <v>38</v>
      </c>
      <c r="F4131" s="2" t="s">
        <v>39</v>
      </c>
      <c r="G4131" s="2">
        <v>212196260</v>
      </c>
      <c r="H4131" s="2" t="s">
        <v>110</v>
      </c>
      <c r="I4131" s="2" t="s">
        <v>384</v>
      </c>
      <c r="J4131" s="2" t="s">
        <v>385</v>
      </c>
      <c r="K4131" s="2">
        <v>926769894</v>
      </c>
      <c r="L4131" s="2" t="s">
        <v>113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E4132" s="2" t="s">
        <v>38</v>
      </c>
      <c r="F4132" s="2" t="s">
        <v>39</v>
      </c>
      <c r="G4132" s="2">
        <v>212196260</v>
      </c>
      <c r="H4132" s="2" t="s">
        <v>110</v>
      </c>
      <c r="I4132" s="2" t="s">
        <v>384</v>
      </c>
      <c r="J4132" s="2" t="s">
        <v>385</v>
      </c>
      <c r="K4132" s="2">
        <v>926769894</v>
      </c>
      <c r="L4132" s="2" t="s">
        <v>113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X4132" s="5">
        <f t="shared" si="632"/>
        <v>1</v>
      </c>
      <c r="Z4132" s="2" t="s">
        <v>170</v>
      </c>
      <c r="AA4132" s="2" t="s">
        <v>170</v>
      </c>
      <c r="AI4132" s="2"/>
      <c r="AK4132" s="2">
        <f t="shared" si="630"/>
        <v>5</v>
      </c>
      <c r="AL4132" s="5">
        <f t="shared" si="631"/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E4133" s="2" t="s">
        <v>38</v>
      </c>
      <c r="F4133" s="2" t="s">
        <v>39</v>
      </c>
      <c r="G4133" s="2">
        <v>212196260</v>
      </c>
      <c r="H4133" s="2" t="s">
        <v>110</v>
      </c>
      <c r="I4133" s="2" t="s">
        <v>384</v>
      </c>
      <c r="J4133" s="2" t="s">
        <v>385</v>
      </c>
      <c r="K4133" s="2">
        <v>926769894</v>
      </c>
      <c r="L4133" s="2" t="s">
        <v>113</v>
      </c>
      <c r="M4133" s="2" t="s">
        <v>40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118</v>
      </c>
      <c r="AA4133" s="2" t="s">
        <v>1312</v>
      </c>
      <c r="AI4133" s="2"/>
      <c r="AK4133" s="2">
        <f t="shared" si="630"/>
        <v>50.85</v>
      </c>
      <c r="AL4133" s="5">
        <f t="shared" si="63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783</v>
      </c>
      <c r="J4139" s="2" t="s">
        <v>784</v>
      </c>
      <c r="K4139" s="2">
        <v>917341136</v>
      </c>
      <c r="L4139" s="2" t="s">
        <v>100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5">T4141-W4141</f>
        <v>108.02</v>
      </c>
      <c r="AL4141" s="5">
        <f t="shared" ref="AL4141:AL4150" si="63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X4154" s="5">
        <f t="shared" si="637"/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E4158" s="2" t="s">
        <v>109</v>
      </c>
      <c r="F4158" s="2" t="s">
        <v>718</v>
      </c>
      <c r="G4158" s="2">
        <v>500975914</v>
      </c>
      <c r="H4158" s="2" t="s">
        <v>41</v>
      </c>
      <c r="I4158" s="2" t="s">
        <v>1558</v>
      </c>
      <c r="J4158" s="2" t="s">
        <v>1559</v>
      </c>
      <c r="L4158" s="2" t="s">
        <v>178</v>
      </c>
      <c r="M4158" s="2" t="s">
        <v>41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E4159" s="2" t="s">
        <v>109</v>
      </c>
      <c r="F4159" s="2" t="s">
        <v>718</v>
      </c>
      <c r="G4159" s="2">
        <v>500975914</v>
      </c>
      <c r="H4159" s="2" t="s">
        <v>41</v>
      </c>
      <c r="I4159" s="2" t="s">
        <v>1558</v>
      </c>
      <c r="J4159" s="2" t="s">
        <v>1559</v>
      </c>
      <c r="L4159" s="2" t="s">
        <v>178</v>
      </c>
      <c r="M4159" s="2" t="s">
        <v>41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E4166" s="2" t="s">
        <v>109</v>
      </c>
      <c r="F4166" s="2" t="s">
        <v>39</v>
      </c>
      <c r="G4166" s="2">
        <v>506085686</v>
      </c>
      <c r="H4166" s="2" t="s">
        <v>40</v>
      </c>
      <c r="I4166" s="2" t="s">
        <v>453</v>
      </c>
      <c r="J4166" s="2" t="s">
        <v>454</v>
      </c>
      <c r="K4166" s="2">
        <v>917241919</v>
      </c>
      <c r="L4166" s="2" t="s">
        <v>399</v>
      </c>
      <c r="M4166" s="2" t="s">
        <v>40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E4167" s="2" t="s">
        <v>109</v>
      </c>
      <c r="F4167" s="2" t="s">
        <v>39</v>
      </c>
      <c r="G4167" s="2">
        <v>506085686</v>
      </c>
      <c r="H4167" s="2" t="s">
        <v>40</v>
      </c>
      <c r="I4167" s="2" t="s">
        <v>453</v>
      </c>
      <c r="J4167" s="2" t="s">
        <v>454</v>
      </c>
      <c r="K4167" s="2">
        <v>917241919</v>
      </c>
      <c r="L4167" s="2" t="s">
        <v>399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E4168" s="2" t="s">
        <v>109</v>
      </c>
      <c r="F4168" s="2" t="s">
        <v>39</v>
      </c>
      <c r="G4168" s="2">
        <v>506085686</v>
      </c>
      <c r="H4168" s="2" t="s">
        <v>40</v>
      </c>
      <c r="I4168" s="2" t="s">
        <v>453</v>
      </c>
      <c r="J4168" s="2" t="s">
        <v>454</v>
      </c>
      <c r="K4168" s="2">
        <v>917241919</v>
      </c>
      <c r="L4168" s="2" t="s">
        <v>399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E4169" s="2" t="s">
        <v>109</v>
      </c>
      <c r="F4169" s="2" t="s">
        <v>39</v>
      </c>
      <c r="G4169" s="2">
        <v>506085686</v>
      </c>
      <c r="H4169" s="2" t="s">
        <v>40</v>
      </c>
      <c r="I4169" s="2" t="s">
        <v>453</v>
      </c>
      <c r="J4169" s="2" t="s">
        <v>454</v>
      </c>
      <c r="K4169" s="2">
        <v>917241919</v>
      </c>
      <c r="L4169" s="2" t="s">
        <v>399</v>
      </c>
      <c r="M4169" s="2" t="s">
        <v>40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120</v>
      </c>
      <c r="AA4169" s="2" t="s">
        <v>3384</v>
      </c>
      <c r="AI4169" s="2"/>
      <c r="AK4169" s="2">
        <f t="shared" si="640"/>
        <v>27</v>
      </c>
      <c r="AL4169" s="5">
        <f t="shared" si="64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109</v>
      </c>
      <c r="F4171" s="2" t="s">
        <v>39</v>
      </c>
      <c r="G4171" s="2">
        <v>507016173</v>
      </c>
      <c r="H4171" s="2" t="s">
        <v>110</v>
      </c>
      <c r="I4171" s="2" t="s">
        <v>460</v>
      </c>
      <c r="J4171" s="2" t="s">
        <v>461</v>
      </c>
      <c r="L4171" s="2" t="s">
        <v>462</v>
      </c>
      <c r="M4171" s="2" t="s">
        <v>41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3402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105</v>
      </c>
      <c r="AA4175" s="2" t="s">
        <v>2750</v>
      </c>
      <c r="AB4175" s="2" t="s">
        <v>3401</v>
      </c>
      <c r="AC4175" s="2" t="s">
        <v>1196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120</v>
      </c>
      <c r="AA4183" s="2" t="s">
        <v>493</v>
      </c>
      <c r="AI4183" s="2"/>
      <c r="AK4183" s="2">
        <f t="shared" si="645"/>
        <v>678.91</v>
      </c>
      <c r="AL4183" s="5">
        <f t="shared" si="64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X4187" s="5">
        <f t="shared" si="637"/>
        <v>1</v>
      </c>
      <c r="Z4187" s="2" t="s">
        <v>170</v>
      </c>
      <c r="AA4187" s="2" t="s">
        <v>170</v>
      </c>
      <c r="AI4187" s="2"/>
      <c r="AK4187" s="2">
        <f t="shared" si="645"/>
        <v>8</v>
      </c>
      <c r="AL4187" s="5">
        <f t="shared" si="646"/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X4189" s="5">
        <f t="shared" si="637"/>
        <v>1</v>
      </c>
      <c r="Z4189" s="2" t="s">
        <v>170</v>
      </c>
      <c r="AA4189" s="2" t="s">
        <v>170</v>
      </c>
      <c r="AI4189" s="2"/>
      <c r="AK4189" s="2">
        <f t="shared" si="645"/>
        <v>8</v>
      </c>
      <c r="AL4189" s="5">
        <f t="shared" si="646"/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120</v>
      </c>
      <c r="AA4199" s="2" t="s">
        <v>3384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120</v>
      </c>
      <c r="AA4200" s="2" t="s">
        <v>3296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x14ac:dyDescent="0.2">
      <c r="A4209" s="8">
        <v>2026</v>
      </c>
      <c r="B4209" s="8">
        <v>6</v>
      </c>
      <c r="C4209" s="8" t="s">
        <v>3396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x14ac:dyDescent="0.2">
      <c r="A4210" s="8">
        <v>2026</v>
      </c>
      <c r="B4210" s="8">
        <v>6</v>
      </c>
      <c r="C4210" s="8" t="s">
        <v>3396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x14ac:dyDescent="0.2">
      <c r="A4211" s="8">
        <v>2026</v>
      </c>
      <c r="B4211" s="8">
        <v>6</v>
      </c>
      <c r="C4211" s="8" t="s">
        <v>3396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x14ac:dyDescent="0.2">
      <c r="A4212" s="8">
        <v>2026</v>
      </c>
      <c r="B4212" s="8">
        <v>6</v>
      </c>
      <c r="C4212" s="8" t="s">
        <v>3396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x14ac:dyDescent="0.2">
      <c r="A4213" s="8">
        <v>2026</v>
      </c>
      <c r="B4213" s="8">
        <v>6</v>
      </c>
      <c r="C4213" s="8" t="s">
        <v>3396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x14ac:dyDescent="0.2">
      <c r="A4214" s="8">
        <v>2026</v>
      </c>
      <c r="B4214" s="8">
        <v>6</v>
      </c>
      <c r="C4214" s="8" t="s">
        <v>3396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50"/>
        <v>4.75</v>
      </c>
      <c r="AL4214" s="5">
        <f t="shared" si="653"/>
        <v>0.25</v>
      </c>
    </row>
    <row r="4215" spans="1:38" x14ac:dyDescent="0.2">
      <c r="A4215" s="8">
        <v>2026</v>
      </c>
      <c r="B4215" s="8">
        <v>6</v>
      </c>
      <c r="C4215" s="8" t="s">
        <v>3396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x14ac:dyDescent="0.2">
      <c r="A4216" s="8">
        <v>2026</v>
      </c>
      <c r="B4216" s="8">
        <v>6</v>
      </c>
      <c r="C4216" s="8" t="s">
        <v>3396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3440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si="650"/>
        <v>49.5</v>
      </c>
      <c r="AL4218" s="5">
        <f t="shared" si="653"/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si="650"/>
        <v>750</v>
      </c>
      <c r="AL4219" s="5">
        <f t="shared" si="65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170</v>
      </c>
      <c r="AA4221" s="2" t="s">
        <v>170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x14ac:dyDescent="0.2">
      <c r="A4226" s="8">
        <v>2026</v>
      </c>
      <c r="B4226" s="8">
        <v>6</v>
      </c>
      <c r="C4226" s="8" t="s">
        <v>3451</v>
      </c>
      <c r="D4226" s="2" t="s">
        <v>2908</v>
      </c>
      <c r="F4226" s="2" t="s">
        <v>3449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X4241" s="5">
        <f t="shared" si="660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X4242" s="5">
        <f t="shared" si="660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X4244" s="5">
        <f t="shared" si="660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X4245" s="5">
        <f t="shared" si="660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X4248" s="5">
        <f t="shared" si="660"/>
        <v>1</v>
      </c>
      <c r="Z4248" s="2" t="s">
        <v>120</v>
      </c>
      <c r="AA4248" s="2" t="s">
        <v>3384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x14ac:dyDescent="0.2">
      <c r="A4259" s="8">
        <v>2026</v>
      </c>
      <c r="B4259" s="8">
        <v>6</v>
      </c>
      <c r="C4259" s="8" t="s">
        <v>3396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x14ac:dyDescent="0.2">
      <c r="A4260" s="8">
        <v>2026</v>
      </c>
      <c r="B4260" s="8">
        <v>6</v>
      </c>
      <c r="C4260" s="8" t="s">
        <v>3382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3231</v>
      </c>
      <c r="AA4275" s="2" t="s">
        <v>3387</v>
      </c>
      <c r="AB4275" s="2" t="s">
        <v>3393</v>
      </c>
      <c r="AC4275" s="2" t="s">
        <v>3394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3231</v>
      </c>
      <c r="AA4276" s="2" t="s">
        <v>3387</v>
      </c>
      <c r="AB4276" s="2" t="s">
        <v>3393</v>
      </c>
      <c r="AC4276" s="2" t="s">
        <v>3394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3402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3402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6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3299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3299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67"/>
        <v>11.7</v>
      </c>
      <c r="AL4280" s="5">
        <f t="shared" si="671"/>
        <v>0.55714285714285716</v>
      </c>
    </row>
    <row r="4281" spans="1:38" x14ac:dyDescent="0.2">
      <c r="A4281" s="2">
        <v>2026</v>
      </c>
      <c r="B4281" s="2">
        <v>7</v>
      </c>
      <c r="C4281" s="2" t="s">
        <v>3299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67"/>
        <v>6.3733000000000004</v>
      </c>
      <c r="AL4281" s="5">
        <f t="shared" si="671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67"/>
        <v>3.5999999999999996</v>
      </c>
      <c r="AL4282" s="5">
        <f t="shared" si="671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67"/>
        <v>8.8000000000000007</v>
      </c>
      <c r="AL4283" s="5">
        <f t="shared" si="671"/>
        <v>0.29333333333333333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67"/>
        <v>8</v>
      </c>
      <c r="AL4284" s="5">
        <f t="shared" si="671"/>
        <v>0.33333333333333331</v>
      </c>
    </row>
    <row r="4285" spans="1:38" x14ac:dyDescent="0.2">
      <c r="A4285" s="2">
        <v>2026</v>
      </c>
      <c r="B4285" s="2">
        <v>7</v>
      </c>
      <c r="C4285" s="2" t="s">
        <v>3299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67"/>
        <v>45.84</v>
      </c>
      <c r="AL4285" s="5">
        <f t="shared" si="671"/>
        <v>0.24513368983957221</v>
      </c>
    </row>
    <row r="4286" spans="1:38" x14ac:dyDescent="0.2">
      <c r="A4286" s="2">
        <v>2026</v>
      </c>
      <c r="B4286" s="2">
        <v>7</v>
      </c>
      <c r="C4286" s="2" t="s">
        <v>3299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67"/>
        <v>0</v>
      </c>
      <c r="AL4286" s="5">
        <f t="shared" si="671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67"/>
        <v>106.6</v>
      </c>
      <c r="AL4287" s="5">
        <f t="shared" si="671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67"/>
        <v>0</v>
      </c>
      <c r="AL4288" s="5">
        <f t="shared" si="671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118</v>
      </c>
      <c r="AA4289" s="2" t="s">
        <v>182</v>
      </c>
      <c r="AB4289" s="2" t="s">
        <v>3385</v>
      </c>
      <c r="AC4289" s="2" t="s">
        <v>1329</v>
      </c>
      <c r="AK4289" s="2">
        <f t="shared" si="667"/>
        <v>416.5</v>
      </c>
      <c r="AL4289" s="5">
        <f t="shared" si="671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67"/>
        <v>108.24999999999999</v>
      </c>
      <c r="AL4290" s="5">
        <f t="shared" si="671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67"/>
        <v>0</v>
      </c>
      <c r="AL4291" s="5">
        <f t="shared" si="671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67"/>
        <v>354.09659999999997</v>
      </c>
      <c r="AL4292" s="5">
        <f t="shared" si="671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x14ac:dyDescent="0.2">
      <c r="A4301" s="2">
        <v>2026</v>
      </c>
      <c r="B4301" s="2">
        <v>7</v>
      </c>
      <c r="C4301" s="2" t="s">
        <v>3443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si="667"/>
        <v>354.09659999999997</v>
      </c>
      <c r="AL4302" s="5">
        <f t="shared" si="671"/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667"/>
        <v>94.844999999999999</v>
      </c>
      <c r="AL4307" s="5">
        <f t="shared" si="671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667"/>
        <v>0</v>
      </c>
      <c r="AL4308" s="5">
        <f t="shared" si="671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667"/>
        <v>54.269999999999996</v>
      </c>
      <c r="AL4313" s="5">
        <f t="shared" si="675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667"/>
        <v>118.86000000000001</v>
      </c>
      <c r="AL4314" s="5">
        <f t="shared" si="675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667"/>
        <v>0</v>
      </c>
      <c r="AL4315" s="5">
        <f t="shared" si="675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118</v>
      </c>
      <c r="AA4316" s="2" t="s">
        <v>182</v>
      </c>
      <c r="AB4316" s="2" t="s">
        <v>3385</v>
      </c>
      <c r="AC4316" s="2" t="s">
        <v>1329</v>
      </c>
      <c r="AK4316" s="2">
        <f t="shared" si="667"/>
        <v>416.5</v>
      </c>
      <c r="AL4316" s="5">
        <f t="shared" si="675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667"/>
        <v>54.483999999999995</v>
      </c>
      <c r="AL4317" s="5">
        <f t="shared" si="675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667"/>
        <v>0</v>
      </c>
      <c r="AL4318" s="5">
        <f t="shared" si="675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L4319" s="2" t="s">
        <v>399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667"/>
        <v>94.32</v>
      </c>
      <c r="AL4319" s="5">
        <f t="shared" si="675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L4320" s="2" t="s">
        <v>399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X4320" s="5">
        <f t="shared" si="674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667"/>
        <v>1.48</v>
      </c>
      <c r="AL4320" s="5">
        <f t="shared" si="675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667"/>
        <v>15.89</v>
      </c>
      <c r="AL4321" s="5">
        <f t="shared" si="675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X4324" s="5">
        <f t="shared" si="674"/>
        <v>1</v>
      </c>
      <c r="Z4324" s="2" t="s">
        <v>170</v>
      </c>
      <c r="AA4324" s="2" t="s">
        <v>170</v>
      </c>
      <c r="AK4324" s="2">
        <f t="shared" si="667"/>
        <v>8</v>
      </c>
      <c r="AL4324" s="5">
        <f t="shared" si="675"/>
        <v>1</v>
      </c>
    </row>
    <row r="4325" spans="1:38" x14ac:dyDescent="0.2">
      <c r="A4325" s="2">
        <v>2026</v>
      </c>
      <c r="B4325" s="2">
        <v>7</v>
      </c>
      <c r="C4325" s="2" t="s">
        <v>3299</v>
      </c>
      <c r="D4325" s="15" t="s">
        <v>1998</v>
      </c>
      <c r="E4325" s="2" t="s">
        <v>38</v>
      </c>
      <c r="F4325" s="2" t="s">
        <v>39</v>
      </c>
      <c r="L4325" s="2" t="s">
        <v>572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667"/>
        <v>120.05</v>
      </c>
      <c r="AL4325" s="5">
        <f t="shared" si="675"/>
        <v>0.50020833333333337</v>
      </c>
    </row>
    <row r="4326" spans="1:38" x14ac:dyDescent="0.2">
      <c r="A4326" s="2">
        <v>2026</v>
      </c>
      <c r="B4326" s="2">
        <v>7</v>
      </c>
      <c r="C4326" s="2" t="s">
        <v>3299</v>
      </c>
      <c r="D4326" s="15" t="s">
        <v>1998</v>
      </c>
      <c r="E4326" s="2" t="s">
        <v>38</v>
      </c>
      <c r="F4326" s="2" t="s">
        <v>39</v>
      </c>
      <c r="L4326" s="2" t="s">
        <v>572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667"/>
        <v>0</v>
      </c>
      <c r="AL4326" s="5">
        <f t="shared" si="675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E4327" s="2" t="s">
        <v>109</v>
      </c>
      <c r="F4327" s="2" t="s">
        <v>39</v>
      </c>
      <c r="L4327" s="2" t="s">
        <v>361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667"/>
        <v>75.400000000000006</v>
      </c>
      <c r="AL4327" s="5">
        <f t="shared" si="675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E4328" s="2" t="s">
        <v>109</v>
      </c>
      <c r="F4328" s="2" t="s">
        <v>39</v>
      </c>
      <c r="L4328" s="2" t="s">
        <v>361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X4328" s="5">
        <f t="shared" si="674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667"/>
        <v>1.48</v>
      </c>
      <c r="AL4328" s="5">
        <f t="shared" si="675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3381</v>
      </c>
      <c r="F4329" s="2" t="s">
        <v>39</v>
      </c>
      <c r="H4329" s="2" t="s">
        <v>41</v>
      </c>
      <c r="L4329" s="2" t="s">
        <v>178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667"/>
        <v>850</v>
      </c>
      <c r="AL4329" s="5">
        <f t="shared" si="675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3381</v>
      </c>
      <c r="F4330" s="2" t="s">
        <v>39</v>
      </c>
      <c r="H4330" s="2" t="s">
        <v>41</v>
      </c>
      <c r="L4330" s="2" t="s">
        <v>178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66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3381</v>
      </c>
      <c r="F4331" s="2" t="s">
        <v>39</v>
      </c>
      <c r="H4331" s="2" t="s">
        <v>41</v>
      </c>
      <c r="L4331" s="2" t="s">
        <v>178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66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667"/>
        <v>0</v>
      </c>
      <c r="AL4333" s="5">
        <f t="shared" si="677"/>
        <v>0</v>
      </c>
    </row>
    <row r="4334" spans="1:38" x14ac:dyDescent="0.2">
      <c r="A4334" s="2">
        <v>2026</v>
      </c>
      <c r="B4334" s="2">
        <v>7</v>
      </c>
      <c r="C4334" s="2" t="s">
        <v>3299</v>
      </c>
      <c r="D4334" s="15" t="s">
        <v>1230</v>
      </c>
      <c r="E4334" s="2" t="s">
        <v>38</v>
      </c>
      <c r="F4334" s="2" t="s">
        <v>39</v>
      </c>
      <c r="L4334" s="2" t="s">
        <v>202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x14ac:dyDescent="0.2">
      <c r="A4335" s="2">
        <v>2026</v>
      </c>
      <c r="B4335" s="2">
        <v>7</v>
      </c>
      <c r="C4335" s="2" t="s">
        <v>3299</v>
      </c>
      <c r="D4335" s="15" t="s">
        <v>1230</v>
      </c>
      <c r="E4335" s="2" t="s">
        <v>38</v>
      </c>
      <c r="F4335" s="2" t="s">
        <v>39</v>
      </c>
      <c r="L4335" s="2" t="s">
        <v>202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x14ac:dyDescent="0.2">
      <c r="A4336" s="2">
        <v>2026</v>
      </c>
      <c r="B4336" s="2">
        <v>7</v>
      </c>
      <c r="C4336" s="2" t="s">
        <v>3299</v>
      </c>
      <c r="D4336" s="15" t="s">
        <v>1557</v>
      </c>
      <c r="E4336" s="2" t="s">
        <v>109</v>
      </c>
      <c r="F4336" s="2" t="s">
        <v>718</v>
      </c>
      <c r="L4336" s="2" t="s">
        <v>178</v>
      </c>
      <c r="M4336" s="2" t="s">
        <v>41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667"/>
        <v>89.860000000000014</v>
      </c>
      <c r="AL4336" s="5">
        <f t="shared" si="677"/>
        <v>0.40845454545454551</v>
      </c>
    </row>
    <row r="4337" spans="1:38" x14ac:dyDescent="0.2">
      <c r="A4337" s="2">
        <v>2026</v>
      </c>
      <c r="B4337" s="2">
        <v>7</v>
      </c>
      <c r="C4337" s="2" t="s">
        <v>3299</v>
      </c>
      <c r="D4337" s="15" t="s">
        <v>1557</v>
      </c>
      <c r="E4337" s="2" t="s">
        <v>109</v>
      </c>
      <c r="F4337" s="2" t="s">
        <v>718</v>
      </c>
      <c r="L4337" s="2" t="s">
        <v>178</v>
      </c>
      <c r="M4337" s="2" t="s">
        <v>41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667"/>
        <v>0</v>
      </c>
      <c r="AL4337" s="5">
        <f t="shared" si="677"/>
        <v>0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667"/>
        <v>30.92</v>
      </c>
      <c r="AL4338" s="5">
        <f t="shared" si="677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x14ac:dyDescent="0.2">
      <c r="A4340" s="2">
        <v>2026</v>
      </c>
      <c r="B4340" s="2">
        <v>7</v>
      </c>
      <c r="C4340" s="2" t="s">
        <v>3443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x14ac:dyDescent="0.2">
      <c r="A4341" s="2">
        <v>2026</v>
      </c>
      <c r="B4341" s="2">
        <v>7</v>
      </c>
      <c r="C4341" s="2" t="s">
        <v>3443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x14ac:dyDescent="0.2">
      <c r="A4342" s="2">
        <v>2026</v>
      </c>
      <c r="B4342" s="2">
        <v>7</v>
      </c>
      <c r="C4342" s="2" t="s">
        <v>3443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678"/>
        <v>0</v>
      </c>
      <c r="AL4342" s="5">
        <f t="shared" si="677"/>
        <v>0</v>
      </c>
    </row>
    <row r="4343" spans="1:38" x14ac:dyDescent="0.2">
      <c r="A4343" s="2">
        <v>2026</v>
      </c>
      <c r="B4343" s="2">
        <v>7</v>
      </c>
      <c r="C4343" s="2" t="s">
        <v>3443</v>
      </c>
      <c r="D4343" s="15" t="s">
        <v>437</v>
      </c>
      <c r="E4343" s="2" t="s">
        <v>109</v>
      </c>
      <c r="F4343" s="2" t="s">
        <v>377</v>
      </c>
      <c r="L4343" s="2" t="s">
        <v>340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678"/>
        <v>94.483999999999995</v>
      </c>
      <c r="AL4343" s="5">
        <f t="shared" si="677"/>
        <v>0.42947272727272723</v>
      </c>
    </row>
    <row r="4344" spans="1:38" x14ac:dyDescent="0.2">
      <c r="A4344" s="2">
        <v>2026</v>
      </c>
      <c r="B4344" s="2">
        <v>7</v>
      </c>
      <c r="C4344" s="2" t="s">
        <v>3443</v>
      </c>
      <c r="D4344" s="15" t="s">
        <v>437</v>
      </c>
      <c r="E4344" s="2" t="s">
        <v>109</v>
      </c>
      <c r="F4344" s="2" t="s">
        <v>377</v>
      </c>
      <c r="L4344" s="2" t="s">
        <v>340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678"/>
        <v>0</v>
      </c>
      <c r="AL4344" s="5">
        <f t="shared" si="677"/>
        <v>0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678"/>
        <v>330.3417</v>
      </c>
      <c r="AL4345" s="5">
        <f t="shared" si="677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678"/>
        <v>60.05</v>
      </c>
      <c r="AL4346" s="5">
        <f t="shared" si="677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x14ac:dyDescent="0.2">
      <c r="A4349" s="2">
        <v>2026</v>
      </c>
      <c r="B4349" s="2">
        <v>7</v>
      </c>
      <c r="C4349" s="2" t="s">
        <v>3443</v>
      </c>
      <c r="D4349" s="15" t="s">
        <v>2021</v>
      </c>
      <c r="E4349" s="2" t="s">
        <v>109</v>
      </c>
      <c r="F4349" s="2" t="s">
        <v>39</v>
      </c>
      <c r="L4349" s="2" t="s">
        <v>178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x14ac:dyDescent="0.2">
      <c r="A4350" s="2">
        <v>2026</v>
      </c>
      <c r="B4350" s="2">
        <v>7</v>
      </c>
      <c r="C4350" s="2" t="s">
        <v>3443</v>
      </c>
      <c r="D4350" s="15" t="s">
        <v>2021</v>
      </c>
      <c r="E4350" s="2" t="s">
        <v>109</v>
      </c>
      <c r="F4350" s="2" t="s">
        <v>39</v>
      </c>
      <c r="L4350" s="2" t="s">
        <v>178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x14ac:dyDescent="0.2">
      <c r="A4351" s="2">
        <v>2026</v>
      </c>
      <c r="B4351" s="2">
        <v>7</v>
      </c>
      <c r="C4351" s="2" t="s">
        <v>3443</v>
      </c>
      <c r="D4351" s="15" t="s">
        <v>2021</v>
      </c>
      <c r="E4351" s="2" t="s">
        <v>109</v>
      </c>
      <c r="F4351" s="2" t="s">
        <v>39</v>
      </c>
      <c r="L4351" s="2" t="s">
        <v>178</v>
      </c>
      <c r="M4351" s="2" t="s">
        <v>40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X4351" s="5">
        <f t="shared" si="676"/>
        <v>1</v>
      </c>
      <c r="Z4351" s="2" t="s">
        <v>120</v>
      </c>
      <c r="AA4351" s="2" t="s">
        <v>3384</v>
      </c>
      <c r="AK4351" s="2">
        <f t="shared" si="678"/>
        <v>297.5</v>
      </c>
      <c r="AL4351" s="5">
        <f t="shared" si="677"/>
        <v>1</v>
      </c>
    </row>
    <row r="4352" spans="1:38" x14ac:dyDescent="0.2">
      <c r="A4352" s="2">
        <v>2026</v>
      </c>
      <c r="B4352" s="2">
        <v>7</v>
      </c>
      <c r="C4352" s="2" t="s">
        <v>3300</v>
      </c>
      <c r="D4352" s="15" t="s">
        <v>3340</v>
      </c>
      <c r="E4352" s="2" t="s">
        <v>109</v>
      </c>
      <c r="F4352" s="2" t="s">
        <v>39</v>
      </c>
      <c r="L4352" s="2" t="s">
        <v>399</v>
      </c>
      <c r="M4352" s="2" t="s">
        <v>110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X4352" s="5">
        <f t="shared" si="676"/>
        <v>1</v>
      </c>
      <c r="Z4352" s="2" t="s">
        <v>105</v>
      </c>
      <c r="AA4352" s="2" t="s">
        <v>415</v>
      </c>
      <c r="AB4352" s="2" t="s">
        <v>476</v>
      </c>
      <c r="AC4352" s="2" t="s">
        <v>476</v>
      </c>
      <c r="AK4352" s="2">
        <f t="shared" si="678"/>
        <v>500</v>
      </c>
      <c r="AL4352" s="5">
        <f t="shared" si="677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678"/>
        <v>28.9802</v>
      </c>
      <c r="AL4353" s="5">
        <f t="shared" si="677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678"/>
        <v>37.9604</v>
      </c>
      <c r="AL4354" s="5">
        <f t="shared" si="677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678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678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678"/>
        <v>64.483999999999995</v>
      </c>
      <c r="AL4360" s="5">
        <f t="shared" si="682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678"/>
        <v>0</v>
      </c>
      <c r="AL4361" s="5">
        <f t="shared" si="682"/>
        <v>0</v>
      </c>
    </row>
    <row r="4362" spans="1:38" x14ac:dyDescent="0.2">
      <c r="A4362" s="2">
        <v>2026</v>
      </c>
      <c r="B4362" s="2">
        <v>7</v>
      </c>
      <c r="C4362" s="2" t="s">
        <v>3299</v>
      </c>
      <c r="D4362" s="15" t="s">
        <v>463</v>
      </c>
      <c r="E4362" s="2" t="s">
        <v>109</v>
      </c>
      <c r="F4362" s="2" t="s">
        <v>39</v>
      </c>
      <c r="L4362" s="2" t="s">
        <v>113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678"/>
        <v>42.364200000000004</v>
      </c>
      <c r="AL4362" s="5">
        <f t="shared" si="682"/>
        <v>0.53905331467107775</v>
      </c>
    </row>
    <row r="4363" spans="1:38" x14ac:dyDescent="0.2">
      <c r="A4363" s="2">
        <v>2026</v>
      </c>
      <c r="B4363" s="2">
        <v>7</v>
      </c>
      <c r="C4363" s="2" t="s">
        <v>3299</v>
      </c>
      <c r="D4363" s="15" t="s">
        <v>463</v>
      </c>
      <c r="E4363" s="2" t="s">
        <v>109</v>
      </c>
      <c r="F4363" s="2" t="s">
        <v>39</v>
      </c>
      <c r="L4363" s="2" t="s">
        <v>113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X4363" s="5">
        <f t="shared" si="681"/>
        <v>1</v>
      </c>
      <c r="Z4363" s="2" t="s">
        <v>170</v>
      </c>
      <c r="AA4363" s="2" t="s">
        <v>170</v>
      </c>
      <c r="AK4363" s="2">
        <f t="shared" si="678"/>
        <v>7</v>
      </c>
      <c r="AL4363" s="5">
        <f t="shared" si="682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3419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678"/>
        <v>355.75549999999998</v>
      </c>
      <c r="AL4364" s="5">
        <f t="shared" si="682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3419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si="678"/>
        <v>1057.3699999999999</v>
      </c>
      <c r="AL4365" s="5">
        <f t="shared" si="682"/>
        <v>0.2403113636363636</v>
      </c>
    </row>
    <row r="4366" spans="1:38" x14ac:dyDescent="0.2">
      <c r="A4366" s="2">
        <v>2026</v>
      </c>
      <c r="B4366" s="2">
        <v>7</v>
      </c>
      <c r="C4366" s="2" t="s">
        <v>3300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678"/>
        <v>30.880000000000003</v>
      </c>
      <c r="AL4366" s="5">
        <f t="shared" si="682"/>
        <v>0.52570650323459311</v>
      </c>
    </row>
    <row r="4367" spans="1:38" x14ac:dyDescent="0.2">
      <c r="A4367" s="2">
        <v>2026</v>
      </c>
      <c r="B4367" s="2">
        <v>7</v>
      </c>
      <c r="C4367" s="2" t="s">
        <v>3300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x14ac:dyDescent="0.2">
      <c r="A4368" s="2">
        <v>2026</v>
      </c>
      <c r="B4368" s="2">
        <v>7</v>
      </c>
      <c r="C4368" s="2" t="s">
        <v>3300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x14ac:dyDescent="0.2">
      <c r="A4369" s="2">
        <v>2026</v>
      </c>
      <c r="B4369" s="2">
        <v>7</v>
      </c>
      <c r="C4369" s="2" t="s">
        <v>3300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X4369" s="5">
        <f t="shared" si="681"/>
        <v>1</v>
      </c>
      <c r="Z4369" s="2" t="s">
        <v>120</v>
      </c>
      <c r="AA4369" s="2" t="s">
        <v>3384</v>
      </c>
      <c r="AK4369" s="2">
        <f t="shared" si="678"/>
        <v>9.34</v>
      </c>
      <c r="AL4369" s="5">
        <f t="shared" si="682"/>
        <v>1</v>
      </c>
    </row>
    <row r="4370" spans="1:38" x14ac:dyDescent="0.2">
      <c r="A4370" s="2">
        <v>2026</v>
      </c>
      <c r="B4370" s="2">
        <v>7</v>
      </c>
      <c r="C4370" s="2" t="s">
        <v>3300</v>
      </c>
      <c r="D4370" s="15" t="s">
        <v>3342</v>
      </c>
      <c r="E4370" s="2" t="s">
        <v>38</v>
      </c>
      <c r="F4370" s="2" t="s">
        <v>39</v>
      </c>
      <c r="L4370" s="2" t="s">
        <v>134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678"/>
        <v>355.91419999999994</v>
      </c>
      <c r="AL4370" s="5">
        <f t="shared" si="682"/>
        <v>0.50895781495781489</v>
      </c>
    </row>
    <row r="4371" spans="1:38" x14ac:dyDescent="0.2">
      <c r="A4371" s="2">
        <v>2026</v>
      </c>
      <c r="B4371" s="2">
        <v>7</v>
      </c>
      <c r="C4371" s="2" t="s">
        <v>3300</v>
      </c>
      <c r="D4371" s="15" t="s">
        <v>3342</v>
      </c>
      <c r="E4371" s="2" t="s">
        <v>38</v>
      </c>
      <c r="F4371" s="2" t="s">
        <v>39</v>
      </c>
      <c r="L4371" s="2" t="s">
        <v>134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x14ac:dyDescent="0.2">
      <c r="A4372" s="2">
        <v>2026</v>
      </c>
      <c r="B4372" s="2">
        <v>7</v>
      </c>
      <c r="C4372" s="2" t="s">
        <v>3300</v>
      </c>
      <c r="D4372" s="15" t="s">
        <v>3342</v>
      </c>
      <c r="E4372" s="2" t="s">
        <v>38</v>
      </c>
      <c r="F4372" s="2" t="s">
        <v>39</v>
      </c>
      <c r="L4372" s="2" t="s">
        <v>134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x14ac:dyDescent="0.2">
      <c r="A4373" s="2">
        <v>2026</v>
      </c>
      <c r="B4373" s="2">
        <v>7</v>
      </c>
      <c r="C4373" s="8" t="s">
        <v>3299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678"/>
        <v>6.3733000000000004</v>
      </c>
      <c r="AL4373" s="5">
        <f t="shared" si="682"/>
        <v>0.49025384615384621</v>
      </c>
    </row>
    <row r="4374" spans="1:38" x14ac:dyDescent="0.2">
      <c r="A4374" s="2">
        <v>2026</v>
      </c>
      <c r="B4374" s="2">
        <v>7</v>
      </c>
      <c r="C4374" s="8" t="s">
        <v>3299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678"/>
        <v>14.8</v>
      </c>
      <c r="AL4374" s="5">
        <f t="shared" si="682"/>
        <v>0.41111111111111115</v>
      </c>
    </row>
    <row r="4375" spans="1:38" x14ac:dyDescent="0.2">
      <c r="A4375" s="2">
        <v>2026</v>
      </c>
      <c r="B4375" s="2">
        <v>7</v>
      </c>
      <c r="C4375" s="8" t="s">
        <v>3299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678"/>
        <v>3.8600000000000012</v>
      </c>
      <c r="AL4375" s="5">
        <f t="shared" si="682"/>
        <v>0.29692307692307701</v>
      </c>
    </row>
    <row r="4376" spans="1:38" x14ac:dyDescent="0.2">
      <c r="A4376" s="2">
        <v>2026</v>
      </c>
      <c r="B4376" s="2">
        <v>7</v>
      </c>
      <c r="C4376" s="8" t="s">
        <v>3299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X4376" s="5">
        <f t="shared" si="681"/>
        <v>1</v>
      </c>
      <c r="Z4376" s="2" t="s">
        <v>170</v>
      </c>
      <c r="AA4376" s="2" t="s">
        <v>170</v>
      </c>
      <c r="AK4376" s="2">
        <f t="shared" si="678"/>
        <v>8</v>
      </c>
      <c r="AL4376" s="5">
        <f t="shared" si="682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678"/>
        <v>13.2</v>
      </c>
      <c r="AL4377" s="5">
        <f t="shared" si="682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678"/>
        <v>32</v>
      </c>
      <c r="AL4378" s="5">
        <f t="shared" si="682"/>
        <v>0.37647058823529411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678"/>
        <v>13.199999999999996</v>
      </c>
      <c r="AL4379" s="5">
        <f t="shared" si="682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120</v>
      </c>
      <c r="AA4380" s="2" t="s">
        <v>493</v>
      </c>
      <c r="AK4380" s="2">
        <f t="shared" si="678"/>
        <v>678.91</v>
      </c>
      <c r="AL4380" s="5">
        <f t="shared" si="682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678"/>
        <v>355.91419999999994</v>
      </c>
      <c r="AL4381" s="5">
        <f t="shared" si="682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x14ac:dyDescent="0.2">
      <c r="A4384" s="2">
        <v>2026</v>
      </c>
      <c r="B4384" s="2">
        <v>7</v>
      </c>
      <c r="C4384" s="8" t="s">
        <v>3299</v>
      </c>
      <c r="D4384" s="15" t="s">
        <v>2157</v>
      </c>
      <c r="E4384" s="2" t="s">
        <v>38</v>
      </c>
      <c r="F4384" s="2" t="s">
        <v>39</v>
      </c>
      <c r="L4384" s="2" t="s">
        <v>345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x14ac:dyDescent="0.2">
      <c r="A4385" s="2">
        <v>2026</v>
      </c>
      <c r="B4385" s="2">
        <v>7</v>
      </c>
      <c r="C4385" s="8" t="s">
        <v>3299</v>
      </c>
      <c r="D4385" s="15" t="s">
        <v>2157</v>
      </c>
      <c r="E4385" s="2" t="s">
        <v>38</v>
      </c>
      <c r="F4385" s="2" t="s">
        <v>39</v>
      </c>
      <c r="L4385" s="2" t="s">
        <v>345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678"/>
        <v>17.529999999999998</v>
      </c>
      <c r="AL4386" s="5">
        <f t="shared" si="682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E4387" s="2" t="s">
        <v>38</v>
      </c>
      <c r="F4387" s="2" t="s">
        <v>3449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678"/>
        <v>14.4901</v>
      </c>
      <c r="AL4387" s="5">
        <f t="shared" si="682"/>
        <v>0.49965862068965516</v>
      </c>
    </row>
    <row r="4388" spans="1:38" x14ac:dyDescent="0.2">
      <c r="A4388" s="2">
        <v>2026</v>
      </c>
      <c r="B4388" s="2">
        <v>7</v>
      </c>
      <c r="C4388" s="8" t="s">
        <v>3299</v>
      </c>
      <c r="D4388" s="15" t="s">
        <v>1075</v>
      </c>
      <c r="E4388" s="2" t="s">
        <v>109</v>
      </c>
      <c r="F4388" s="2" t="s">
        <v>39</v>
      </c>
      <c r="L4388" s="2" t="s">
        <v>462</v>
      </c>
      <c r="M4388" s="2" t="s">
        <v>41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678"/>
        <v>94.85</v>
      </c>
      <c r="AL4388" s="5">
        <f t="shared" si="682"/>
        <v>0.4311363636363636</v>
      </c>
    </row>
    <row r="4389" spans="1:38" x14ac:dyDescent="0.2">
      <c r="A4389" s="2">
        <v>2026</v>
      </c>
      <c r="B4389" s="2">
        <v>7</v>
      </c>
      <c r="C4389" s="8" t="s">
        <v>3299</v>
      </c>
      <c r="D4389" s="15" t="s">
        <v>1075</v>
      </c>
      <c r="E4389" s="2" t="s">
        <v>109</v>
      </c>
      <c r="F4389" s="2" t="s">
        <v>39</v>
      </c>
      <c r="L4389" s="2" t="s">
        <v>462</v>
      </c>
      <c r="M4389" s="2" t="s">
        <v>41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X4389" s="5">
        <f t="shared" si="681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678"/>
        <v>1.48</v>
      </c>
      <c r="AL4389" s="5">
        <f t="shared" si="682"/>
        <v>1</v>
      </c>
    </row>
    <row r="4390" spans="1:38" x14ac:dyDescent="0.2">
      <c r="A4390" s="2">
        <v>2026</v>
      </c>
      <c r="B4390" s="2">
        <v>7</v>
      </c>
      <c r="C4390" s="8" t="s">
        <v>3299</v>
      </c>
      <c r="D4390" s="15" t="s">
        <v>3345</v>
      </c>
      <c r="E4390" s="2" t="s">
        <v>38</v>
      </c>
      <c r="F4390" s="2" t="s">
        <v>39</v>
      </c>
      <c r="L4390" s="2" t="s">
        <v>361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x14ac:dyDescent="0.2">
      <c r="A4391" s="2">
        <v>2026</v>
      </c>
      <c r="B4391" s="2">
        <v>7</v>
      </c>
      <c r="C4391" s="8" t="s">
        <v>3299</v>
      </c>
      <c r="D4391" s="15" t="s">
        <v>3345</v>
      </c>
      <c r="E4391" s="2" t="s">
        <v>38</v>
      </c>
      <c r="F4391" s="2" t="s">
        <v>39</v>
      </c>
      <c r="L4391" s="2" t="s">
        <v>361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678"/>
        <v>99.483999999999995</v>
      </c>
      <c r="AL4392" s="5">
        <f t="shared" si="686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678"/>
        <v>0</v>
      </c>
      <c r="AL4393" s="5">
        <f t="shared" si="686"/>
        <v>0</v>
      </c>
    </row>
    <row r="4394" spans="1:38" x14ac:dyDescent="0.2">
      <c r="A4394" s="2">
        <v>2026</v>
      </c>
      <c r="B4394" s="2">
        <v>7</v>
      </c>
      <c r="C4394" s="8" t="s">
        <v>3299</v>
      </c>
      <c r="D4394" s="15" t="s">
        <v>3346</v>
      </c>
      <c r="E4394" s="2" t="s">
        <v>38</v>
      </c>
      <c r="F4394" s="2" t="s">
        <v>39</v>
      </c>
      <c r="L4394" s="2" t="s">
        <v>100</v>
      </c>
      <c r="M4394" s="2" t="s">
        <v>81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678"/>
        <v>147.86000000000001</v>
      </c>
      <c r="AL4394" s="5">
        <f t="shared" si="686"/>
        <v>0.39429333333333338</v>
      </c>
    </row>
    <row r="4395" spans="1:38" x14ac:dyDescent="0.2">
      <c r="A4395" s="2">
        <v>2026</v>
      </c>
      <c r="B4395" s="2">
        <v>7</v>
      </c>
      <c r="C4395" s="8" t="s">
        <v>3299</v>
      </c>
      <c r="D4395" s="15" t="s">
        <v>3346</v>
      </c>
      <c r="E4395" s="2" t="s">
        <v>38</v>
      </c>
      <c r="F4395" s="2" t="s">
        <v>39</v>
      </c>
      <c r="L4395" s="2" t="s">
        <v>100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678"/>
        <v>0</v>
      </c>
      <c r="AL4395" s="5">
        <f t="shared" si="686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E4396" s="2" t="s">
        <v>109</v>
      </c>
      <c r="F4396" s="2" t="s">
        <v>39</v>
      </c>
      <c r="L4396" s="2" t="s">
        <v>100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678"/>
        <v>92.64500000000001</v>
      </c>
      <c r="AL4396" s="5">
        <f t="shared" si="686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E4397" s="2" t="s">
        <v>109</v>
      </c>
      <c r="F4397" s="2" t="s">
        <v>39</v>
      </c>
      <c r="L4397" s="2" t="s">
        <v>100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678"/>
        <v>0</v>
      </c>
      <c r="AL4397" s="5">
        <f t="shared" si="686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678"/>
        <v>18.878</v>
      </c>
      <c r="AL4398" s="5">
        <f t="shared" si="686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678"/>
        <v>31.771999999999998</v>
      </c>
      <c r="AL4399" s="5">
        <f t="shared" si="686"/>
        <v>0.5295333333333333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E4400" s="2" t="s">
        <v>38</v>
      </c>
      <c r="F4400" s="2" t="s">
        <v>39</v>
      </c>
      <c r="L4400" s="2" t="s">
        <v>462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678"/>
        <v>137.95999999999998</v>
      </c>
      <c r="AL4400" s="5">
        <f t="shared" si="686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E4401" s="2" t="s">
        <v>38</v>
      </c>
      <c r="F4401" s="2" t="s">
        <v>39</v>
      </c>
      <c r="L4401" s="2" t="s">
        <v>462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678"/>
        <v>281.86999999999995</v>
      </c>
      <c r="AL4401" s="5">
        <f t="shared" si="686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E4402" s="2" t="s">
        <v>38</v>
      </c>
      <c r="F4402" s="2" t="s">
        <v>39</v>
      </c>
      <c r="L4402" s="2" t="s">
        <v>462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E4403" s="2" t="s">
        <v>38</v>
      </c>
      <c r="F4403" s="2" t="s">
        <v>39</v>
      </c>
      <c r="L4403" s="2" t="s">
        <v>462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F4404" s="2" t="s">
        <v>39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678"/>
        <v>76.8</v>
      </c>
      <c r="AL4404" s="5">
        <f t="shared" si="686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687"/>
        <v>19.119900000000001</v>
      </c>
      <c r="AL4406" s="5">
        <f t="shared" si="686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687"/>
        <v>44</v>
      </c>
      <c r="AL4407" s="5">
        <f t="shared" si="686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687"/>
        <v>4.8600000000000012</v>
      </c>
      <c r="AL4408" s="5">
        <f t="shared" si="686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687"/>
        <v>21.904</v>
      </c>
      <c r="AL4411" s="5">
        <f t="shared" si="686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X4412" s="5">
        <f t="shared" si="685"/>
        <v>1</v>
      </c>
      <c r="Z4412" s="2" t="s">
        <v>170</v>
      </c>
      <c r="AA4412" s="2" t="s">
        <v>170</v>
      </c>
      <c r="AK4412" s="2">
        <f t="shared" si="687"/>
        <v>8</v>
      </c>
      <c r="AL4412" s="5">
        <f t="shared" si="686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687"/>
        <v>35.739999999999995</v>
      </c>
      <c r="AL4413" s="5">
        <f t="shared" si="686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X4414" s="5">
        <f t="shared" si="685"/>
        <v>1</v>
      </c>
      <c r="Z4414" s="2" t="s">
        <v>170</v>
      </c>
      <c r="AA4414" s="2" t="s">
        <v>170</v>
      </c>
      <c r="AK4414" s="2">
        <f t="shared" si="687"/>
        <v>8</v>
      </c>
      <c r="AL4414" s="5">
        <f t="shared" si="686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687"/>
        <v>233.02659999999997</v>
      </c>
      <c r="AL4415" s="5">
        <f t="shared" si="686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687"/>
        <v>3014.8500000000004</v>
      </c>
      <c r="AL4416" s="5">
        <f t="shared" si="686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687"/>
        <v>84.844999999999999</v>
      </c>
      <c r="AL4417" s="5">
        <f t="shared" si="68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687"/>
        <v>0</v>
      </c>
      <c r="AL4418" s="5">
        <f t="shared" si="686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687"/>
        <v>45.019999999999996</v>
      </c>
      <c r="AL4419" s="5">
        <f t="shared" si="686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687"/>
        <v>533.5</v>
      </c>
      <c r="AL4420" s="5">
        <f t="shared" si="686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3380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687"/>
        <v>355.91419999999994</v>
      </c>
      <c r="AL4421" s="5">
        <f t="shared" si="686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3380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3380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3379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687"/>
        <v>104.48399999999999</v>
      </c>
      <c r="AL4424" s="5">
        <f t="shared" si="693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3379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687"/>
        <v>0</v>
      </c>
      <c r="AL4425" s="5">
        <f t="shared" si="693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3378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687"/>
        <v>11.7</v>
      </c>
      <c r="AL4426" s="5">
        <f t="shared" si="693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3378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687"/>
        <v>14.8</v>
      </c>
      <c r="AL4427" s="5">
        <f t="shared" si="693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3378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687"/>
        <v>4.8600000000000012</v>
      </c>
      <c r="AL4428" s="5">
        <f t="shared" si="693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3377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 t="shared" si="687"/>
        <v>82.63</v>
      </c>
      <c r="AL4429" s="5">
        <f t="shared" si="693"/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3377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 t="shared" si="687"/>
        <v>431.62</v>
      </c>
      <c r="AL4430" s="5">
        <f t="shared" si="693"/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3377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 t="shared" si="687"/>
        <v>34.099999999999994</v>
      </c>
      <c r="AL4431" s="5">
        <f t="shared" si="693"/>
        <v>0.28996598639455778</v>
      </c>
    </row>
    <row r="4432" spans="1:38" x14ac:dyDescent="0.2">
      <c r="A4432" s="2">
        <v>2026</v>
      </c>
      <c r="B4432" s="2">
        <v>7</v>
      </c>
      <c r="C4432" s="2" t="s">
        <v>3429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si="687"/>
        <v>16.200000000000003</v>
      </c>
      <c r="AL4432" s="5">
        <f t="shared" si="693"/>
        <v>0.33750000000000008</v>
      </c>
    </row>
    <row r="4433" spans="1:38" x14ac:dyDescent="0.2">
      <c r="A4433" s="2">
        <v>2026</v>
      </c>
      <c r="B4433" s="2">
        <v>7</v>
      </c>
      <c r="C4433" s="2" t="s">
        <v>3429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687"/>
        <v>12.599999999999994</v>
      </c>
      <c r="AL4433" s="5">
        <f t="shared" si="693"/>
        <v>0.17999999999999991</v>
      </c>
    </row>
    <row r="4434" spans="1:38" x14ac:dyDescent="0.2">
      <c r="A4434" s="2">
        <v>2026</v>
      </c>
      <c r="B4434" s="2">
        <v>7</v>
      </c>
      <c r="C4434" s="2" t="s">
        <v>3429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687"/>
        <v>8.9375</v>
      </c>
      <c r="AL4434" s="5">
        <f t="shared" si="693"/>
        <v>0.62543736878936318</v>
      </c>
    </row>
    <row r="4435" spans="1:38" x14ac:dyDescent="0.2">
      <c r="A4435" s="2">
        <v>2026</v>
      </c>
      <c r="B4435" s="2">
        <v>7</v>
      </c>
      <c r="C4435" s="2" t="s">
        <v>3429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687"/>
        <v>181.14340000000001</v>
      </c>
      <c r="AL4435" s="5">
        <f t="shared" si="693"/>
        <v>0.43233346857920241</v>
      </c>
    </row>
    <row r="4436" spans="1:38" x14ac:dyDescent="0.2">
      <c r="A4436" s="2">
        <v>2026</v>
      </c>
      <c r="B4436" s="2">
        <v>7</v>
      </c>
      <c r="C4436" s="2" t="s">
        <v>3429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x14ac:dyDescent="0.2">
      <c r="A4437" s="2">
        <v>2026</v>
      </c>
      <c r="B4437" s="2">
        <v>7</v>
      </c>
      <c r="C4437" s="2" t="s">
        <v>3429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x14ac:dyDescent="0.2">
      <c r="A4438" s="2">
        <v>2026</v>
      </c>
      <c r="B4438" s="2">
        <v>7</v>
      </c>
      <c r="C4438" s="2" t="s">
        <v>3429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687"/>
        <v>357</v>
      </c>
      <c r="AL4438" s="5">
        <f t="shared" si="693"/>
        <v>0.31578947368421051</v>
      </c>
    </row>
    <row r="4439" spans="1:38" x14ac:dyDescent="0.2">
      <c r="A4439" s="2">
        <v>2026</v>
      </c>
      <c r="B4439" s="2">
        <v>7</v>
      </c>
      <c r="C4439" s="2" t="s">
        <v>3429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x14ac:dyDescent="0.2">
      <c r="A4440" s="2">
        <v>2026</v>
      </c>
      <c r="B4440" s="2">
        <v>7</v>
      </c>
      <c r="C4440" s="2" t="s">
        <v>3429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x14ac:dyDescent="0.2">
      <c r="A4441" s="2">
        <v>2026</v>
      </c>
      <c r="B4441" s="2">
        <v>7</v>
      </c>
      <c r="C4441" s="2" t="s">
        <v>3429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687"/>
        <v>95.43</v>
      </c>
      <c r="AL4441" s="5">
        <f t="shared" si="693"/>
        <v>0.41491304347826091</v>
      </c>
    </row>
    <row r="4442" spans="1:38" x14ac:dyDescent="0.2">
      <c r="A4442" s="2">
        <v>2026</v>
      </c>
      <c r="B4442" s="2">
        <v>7</v>
      </c>
      <c r="C4442" s="2" t="s">
        <v>3429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687"/>
        <v>0</v>
      </c>
      <c r="AL4442" s="5">
        <f t="shared" si="693"/>
        <v>0</v>
      </c>
    </row>
    <row r="4443" spans="1:38" x14ac:dyDescent="0.2">
      <c r="A4443" s="2">
        <v>2026</v>
      </c>
      <c r="B4443" s="2">
        <v>7</v>
      </c>
      <c r="C4443" s="2" t="s">
        <v>3429</v>
      </c>
      <c r="D4443" s="2" t="s">
        <v>3430</v>
      </c>
      <c r="E4443" s="2" t="s">
        <v>38</v>
      </c>
      <c r="F4443" s="2" t="s">
        <v>39</v>
      </c>
      <c r="L4443" s="2" t="s">
        <v>340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si="687"/>
        <v>96.538600000000002</v>
      </c>
      <c r="AL4443" s="5">
        <f t="shared" si="693"/>
        <v>0.4197330434782609</v>
      </c>
    </row>
    <row r="4444" spans="1:38" x14ac:dyDescent="0.2">
      <c r="A4444" s="2">
        <v>2026</v>
      </c>
      <c r="B4444" s="2">
        <v>7</v>
      </c>
      <c r="C4444" s="2" t="s">
        <v>3429</v>
      </c>
      <c r="D4444" s="2" t="s">
        <v>3430</v>
      </c>
      <c r="E4444" s="2" t="s">
        <v>38</v>
      </c>
      <c r="F4444" s="2" t="s">
        <v>39</v>
      </c>
      <c r="L4444" s="2" t="s">
        <v>340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687"/>
        <v>0</v>
      </c>
      <c r="AL4444" s="5">
        <f t="shared" si="693"/>
        <v>0</v>
      </c>
    </row>
    <row r="4445" spans="1:38" x14ac:dyDescent="0.2">
      <c r="A4445" s="2">
        <v>2026</v>
      </c>
      <c r="B4445" s="2">
        <v>7</v>
      </c>
      <c r="C4445" s="2" t="s">
        <v>3429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687"/>
        <v>81.94</v>
      </c>
      <c r="AL4445" s="5">
        <f t="shared" si="693"/>
        <v>0.36727924697445091</v>
      </c>
    </row>
    <row r="4446" spans="1:38" x14ac:dyDescent="0.2">
      <c r="A4446" s="2">
        <v>2026</v>
      </c>
      <c r="B4446" s="2">
        <v>7</v>
      </c>
      <c r="C4446" s="2" t="s">
        <v>3429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687"/>
        <v>0</v>
      </c>
      <c r="AL4446" s="5">
        <f t="shared" si="693"/>
        <v>0</v>
      </c>
    </row>
    <row r="4447" spans="1:38" x14ac:dyDescent="0.2">
      <c r="A4447" s="2">
        <v>2026</v>
      </c>
      <c r="B4447" s="2">
        <v>7</v>
      </c>
      <c r="C4447" s="2" t="s">
        <v>3429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687"/>
        <v>6.6</v>
      </c>
      <c r="AL4447" s="5">
        <f t="shared" si="693"/>
        <v>0.31428571428571428</v>
      </c>
    </row>
    <row r="4448" spans="1:38" x14ac:dyDescent="0.2">
      <c r="A4448" s="2">
        <v>2026</v>
      </c>
      <c r="B4448" s="2">
        <v>7</v>
      </c>
      <c r="C4448" s="2" t="s">
        <v>3429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687"/>
        <v>14.8</v>
      </c>
      <c r="AL4448" s="5">
        <f t="shared" si="693"/>
        <v>0.41111111111111115</v>
      </c>
    </row>
    <row r="4449" spans="1:38" x14ac:dyDescent="0.2">
      <c r="A4449" s="2">
        <v>2026</v>
      </c>
      <c r="B4449" s="2">
        <v>7</v>
      </c>
      <c r="C4449" s="2" t="s">
        <v>3429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X4449" s="5">
        <f t="shared" si="692"/>
        <v>1</v>
      </c>
      <c r="Z4449" s="2" t="s">
        <v>170</v>
      </c>
      <c r="AA4449" s="2" t="s">
        <v>170</v>
      </c>
      <c r="AK4449" s="2">
        <f t="shared" si="687"/>
        <v>8</v>
      </c>
      <c r="AL4449" s="5">
        <f t="shared" si="693"/>
        <v>1</v>
      </c>
    </row>
    <row r="4450" spans="1:38" x14ac:dyDescent="0.2">
      <c r="A4450" s="2">
        <v>2026</v>
      </c>
      <c r="B4450" s="2">
        <v>7</v>
      </c>
      <c r="C4450" s="2" t="s">
        <v>3429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687"/>
        <v>109.80200000000002</v>
      </c>
      <c r="AL4450" s="5">
        <f t="shared" si="693"/>
        <v>0.27450500000000005</v>
      </c>
    </row>
    <row r="4451" spans="1:38" x14ac:dyDescent="0.2">
      <c r="A4451" s="2">
        <v>2026</v>
      </c>
      <c r="B4451" s="2">
        <v>7</v>
      </c>
      <c r="C4451" s="2" t="s">
        <v>3429</v>
      </c>
      <c r="D4451" s="2" t="s">
        <v>440</v>
      </c>
      <c r="E4451" s="2" t="s">
        <v>38</v>
      </c>
      <c r="F4451" s="2" t="s">
        <v>39</v>
      </c>
      <c r="L4451" s="2" t="s">
        <v>178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687"/>
        <v>25.493200000000002</v>
      </c>
      <c r="AL4451" s="5">
        <f t="shared" si="693"/>
        <v>0.49025384615384621</v>
      </c>
    </row>
    <row r="4452" spans="1:38" x14ac:dyDescent="0.2">
      <c r="A4452" s="2">
        <v>2026</v>
      </c>
      <c r="B4452" s="2">
        <v>7</v>
      </c>
      <c r="C4452" s="2" t="s">
        <v>3429</v>
      </c>
      <c r="D4452" s="2" t="s">
        <v>440</v>
      </c>
      <c r="E4452" s="2" t="s">
        <v>38</v>
      </c>
      <c r="F4452" s="2" t="s">
        <v>39</v>
      </c>
      <c r="L4452" s="2" t="s">
        <v>178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687"/>
        <v>6.6</v>
      </c>
      <c r="AL4452" s="5">
        <f t="shared" si="693"/>
        <v>0.31428571428571428</v>
      </c>
    </row>
    <row r="4453" spans="1:38" x14ac:dyDescent="0.2">
      <c r="A4453" s="2">
        <v>2026</v>
      </c>
      <c r="B4453" s="2">
        <v>7</v>
      </c>
      <c r="C4453" s="2" t="s">
        <v>3429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3431</v>
      </c>
      <c r="R4453" s="2" t="s">
        <v>3432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687"/>
        <v>129.15</v>
      </c>
      <c r="AL4453" s="5">
        <f t="shared" si="693"/>
        <v>0.45</v>
      </c>
    </row>
    <row r="4454" spans="1:38" x14ac:dyDescent="0.2">
      <c r="A4454" s="2">
        <v>2026</v>
      </c>
      <c r="B4454" s="2">
        <v>7</v>
      </c>
      <c r="C4454" s="2" t="s">
        <v>3429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687"/>
        <v>0</v>
      </c>
      <c r="AL4454" s="5">
        <f t="shared" si="693"/>
        <v>0</v>
      </c>
    </row>
    <row r="4455" spans="1:38" x14ac:dyDescent="0.2">
      <c r="A4455" s="2">
        <v>2026</v>
      </c>
      <c r="B4455" s="2">
        <v>7</v>
      </c>
      <c r="C4455" s="2" t="s">
        <v>3429</v>
      </c>
      <c r="D4455" s="2" t="s">
        <v>2147</v>
      </c>
      <c r="E4455" s="2" t="s">
        <v>109</v>
      </c>
      <c r="F4455" s="2" t="s">
        <v>39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3433</v>
      </c>
      <c r="R4455" s="2" t="s">
        <v>3434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1" si="696">(T4455-W4455)/T4455</f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3429</v>
      </c>
      <c r="D4456" s="2" t="s">
        <v>2147</v>
      </c>
      <c r="E4456" s="2" t="s">
        <v>109</v>
      </c>
      <c r="F4456" s="2" t="s">
        <v>39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170</v>
      </c>
      <c r="AA4456" s="2" t="s">
        <v>170</v>
      </c>
      <c r="AK4456" s="2">
        <f t="shared" si="687"/>
        <v>-13</v>
      </c>
      <c r="AL4456" s="5">
        <f t="shared" si="697"/>
        <v>-0.8666666666666667</v>
      </c>
    </row>
    <row r="4457" spans="1:38" x14ac:dyDescent="0.2">
      <c r="A4457" s="2">
        <v>2026</v>
      </c>
      <c r="B4457" s="2">
        <v>7</v>
      </c>
      <c r="C4457" s="2" t="s">
        <v>3429</v>
      </c>
      <c r="D4457" s="2" t="s">
        <v>2147</v>
      </c>
      <c r="E4457" s="2" t="s">
        <v>109</v>
      </c>
      <c r="F4457" s="2" t="s">
        <v>39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687"/>
        <v>0</v>
      </c>
      <c r="AL4457" s="5">
        <f t="shared" si="697"/>
        <v>0</v>
      </c>
    </row>
    <row r="4458" spans="1:38" x14ac:dyDescent="0.2">
      <c r="A4458" s="2">
        <v>2026</v>
      </c>
      <c r="B4458" s="2">
        <v>7</v>
      </c>
      <c r="C4458" s="2" t="s">
        <v>3429</v>
      </c>
      <c r="D4458" s="2" t="s">
        <v>2563</v>
      </c>
      <c r="E4458" s="2" t="s">
        <v>109</v>
      </c>
      <c r="F4458" s="2" t="s">
        <v>39</v>
      </c>
      <c r="L4458" s="2" t="s">
        <v>100</v>
      </c>
      <c r="M4458" s="2" t="s">
        <v>81</v>
      </c>
      <c r="P4458" s="2" t="s">
        <v>1040</v>
      </c>
      <c r="Q4458" s="2" t="s">
        <v>3435</v>
      </c>
      <c r="R4458" s="2" t="s">
        <v>3436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687"/>
        <v>221.86</v>
      </c>
      <c r="AL4458" s="5">
        <f t="shared" si="697"/>
        <v>0.38984361272184154</v>
      </c>
    </row>
    <row r="4459" spans="1:38" x14ac:dyDescent="0.2">
      <c r="A4459" s="2">
        <v>2026</v>
      </c>
      <c r="B4459" s="2">
        <v>7</v>
      </c>
      <c r="C4459" s="2" t="s">
        <v>3429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687"/>
        <v>183.04680000000002</v>
      </c>
      <c r="AL4459" s="5">
        <f t="shared" si="697"/>
        <v>0.37741608247422687</v>
      </c>
    </row>
    <row r="4460" spans="1:38" x14ac:dyDescent="0.2">
      <c r="A4460" s="2">
        <v>2026</v>
      </c>
      <c r="B4460" s="2">
        <v>7</v>
      </c>
      <c r="C4460" s="2" t="s">
        <v>3429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3437</v>
      </c>
      <c r="R4460" s="2" t="s">
        <v>3438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687"/>
        <v>103.81</v>
      </c>
      <c r="AL4460" s="5">
        <f t="shared" si="697"/>
        <v>0.44591924398625427</v>
      </c>
    </row>
    <row r="4461" spans="1:38" x14ac:dyDescent="0.2">
      <c r="A4461" s="2">
        <v>2026</v>
      </c>
      <c r="B4461" s="2">
        <v>7</v>
      </c>
      <c r="C4461" s="2" t="s">
        <v>3429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687"/>
        <v>0</v>
      </c>
      <c r="AL4461" s="5">
        <f t="shared" si="697"/>
        <v>2.000401846171453E-16</v>
      </c>
    </row>
    <row r="4462" spans="1:38" x14ac:dyDescent="0.2">
      <c r="A4462" s="2">
        <v>2026</v>
      </c>
      <c r="B4462" s="2">
        <v>7</v>
      </c>
      <c r="C4462" s="2" t="s">
        <v>3429</v>
      </c>
      <c r="D4462" s="2" t="s">
        <v>2368</v>
      </c>
      <c r="E4462" s="2" t="s">
        <v>109</v>
      </c>
      <c r="F4462" s="2" t="s">
        <v>39</v>
      </c>
      <c r="L4462" s="2" t="s">
        <v>419</v>
      </c>
      <c r="M4462" s="2" t="s">
        <v>41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687"/>
        <v>25.493200000000002</v>
      </c>
      <c r="AL4462" s="5">
        <f t="shared" si="697"/>
        <v>0.49025384615384621</v>
      </c>
    </row>
    <row r="4463" spans="1:38" x14ac:dyDescent="0.2">
      <c r="A4463" s="2">
        <v>2026</v>
      </c>
      <c r="B4463" s="2">
        <v>7</v>
      </c>
      <c r="C4463" s="2" t="s">
        <v>3429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si="687"/>
        <v>7.4</v>
      </c>
      <c r="AL4463" s="5">
        <f t="shared" si="697"/>
        <v>0.41111111111111115</v>
      </c>
    </row>
    <row r="4464" spans="1:38" x14ac:dyDescent="0.2">
      <c r="A4464" s="2">
        <v>2026</v>
      </c>
      <c r="B4464" s="2">
        <v>7</v>
      </c>
      <c r="C4464" s="2" t="s">
        <v>3429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687"/>
        <v>4.8600000000000012</v>
      </c>
      <c r="AL4464" s="5">
        <f t="shared" si="697"/>
        <v>0.34714285714285725</v>
      </c>
    </row>
    <row r="4465" spans="1:38" x14ac:dyDescent="0.2">
      <c r="A4465" s="2">
        <v>2026</v>
      </c>
      <c r="B4465" s="2">
        <v>7</v>
      </c>
      <c r="C4465" s="2" t="s">
        <v>3429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687"/>
        <v>72.450500000000005</v>
      </c>
      <c r="AL4465" s="5">
        <f t="shared" si="697"/>
        <v>0.49965862068965522</v>
      </c>
    </row>
    <row r="4466" spans="1:38" x14ac:dyDescent="0.2">
      <c r="A4466" s="2">
        <v>2026</v>
      </c>
      <c r="B4466" s="2">
        <v>7</v>
      </c>
      <c r="C4466" s="2" t="s">
        <v>3429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687"/>
        <v>13.1434</v>
      </c>
      <c r="AL4466" s="5">
        <f t="shared" si="697"/>
        <v>0.53888478884788849</v>
      </c>
    </row>
    <row r="4467" spans="1:38" x14ac:dyDescent="0.2">
      <c r="A4467" s="2">
        <v>2026</v>
      </c>
      <c r="B4467" s="2">
        <v>7</v>
      </c>
      <c r="C4467" s="2" t="s">
        <v>3429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X4467" s="5">
        <f t="shared" si="696"/>
        <v>1</v>
      </c>
      <c r="Z4467" s="2" t="s">
        <v>170</v>
      </c>
      <c r="AA4467" s="2" t="s">
        <v>170</v>
      </c>
      <c r="AK4467" s="2">
        <f t="shared" si="687"/>
        <v>8</v>
      </c>
      <c r="AL4467" s="5">
        <f t="shared" si="697"/>
        <v>1</v>
      </c>
    </row>
    <row r="4468" spans="1:38" x14ac:dyDescent="0.2">
      <c r="A4468" s="2">
        <v>2026</v>
      </c>
      <c r="B4468" s="2">
        <v>7</v>
      </c>
      <c r="C4468" s="2" t="s">
        <v>3429</v>
      </c>
      <c r="D4468" s="2" t="s">
        <v>37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si="687"/>
        <v>113.0386</v>
      </c>
      <c r="AL4468" s="5">
        <f t="shared" si="697"/>
        <v>0.4585744421906694</v>
      </c>
    </row>
    <row r="4469" spans="1:38" x14ac:dyDescent="0.2">
      <c r="A4469" s="2">
        <v>2026</v>
      </c>
      <c r="B4469" s="2">
        <v>7</v>
      </c>
      <c r="C4469" s="2" t="s">
        <v>3429</v>
      </c>
      <c r="D4469" s="2" t="s">
        <v>37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ref="AK4469:AK4483" si="698">T4469-W4469</f>
        <v>0</v>
      </c>
      <c r="AL4469" s="5">
        <f t="shared" si="697"/>
        <v>0</v>
      </c>
    </row>
    <row r="4470" spans="1:38" x14ac:dyDescent="0.2">
      <c r="A4470" s="2">
        <v>2026</v>
      </c>
      <c r="B4470" s="2">
        <v>7</v>
      </c>
      <c r="C4470" s="2" t="s">
        <v>3429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698"/>
        <v>18.878</v>
      </c>
      <c r="AL4470" s="5">
        <f t="shared" si="697"/>
        <v>0.5243888888888889</v>
      </c>
    </row>
    <row r="4471" spans="1:38" x14ac:dyDescent="0.2">
      <c r="A4471" s="2">
        <v>2026</v>
      </c>
      <c r="B4471" s="2">
        <v>7</v>
      </c>
      <c r="C4471" s="2" t="s">
        <v>3429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698"/>
        <v>298</v>
      </c>
      <c r="AL4471" s="5">
        <f t="shared" si="697"/>
        <v>0.50084033613445378</v>
      </c>
    </row>
    <row r="4472" spans="1:38" x14ac:dyDescent="0.2">
      <c r="A4472" s="2">
        <v>2026</v>
      </c>
      <c r="B4472" s="2">
        <v>7</v>
      </c>
      <c r="C4472" s="2" t="s">
        <v>3429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698"/>
        <v>-14.5099</v>
      </c>
    </row>
    <row r="4473" spans="1:38" x14ac:dyDescent="0.2">
      <c r="A4473" s="2">
        <v>2026</v>
      </c>
      <c r="B4473" s="2">
        <v>7</v>
      </c>
      <c r="C4473" s="2" t="s">
        <v>3429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3429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si="698"/>
        <v>0</v>
      </c>
      <c r="AL4474" s="5">
        <f t="shared" si="700"/>
        <v>0</v>
      </c>
    </row>
    <row r="4475" spans="1:38" x14ac:dyDescent="0.2">
      <c r="A4475" s="2">
        <v>2026</v>
      </c>
      <c r="B4475" s="2">
        <v>7</v>
      </c>
      <c r="C4475" s="2" t="s">
        <v>3429</v>
      </c>
      <c r="D4475" s="2" t="s">
        <v>3470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 t="shared" si="698"/>
        <v>4004.8500000000004</v>
      </c>
      <c r="AL4475" s="5">
        <f t="shared" si="700"/>
        <v>0.26716811207471652</v>
      </c>
    </row>
    <row r="4476" spans="1:38" x14ac:dyDescent="0.2">
      <c r="A4476" s="2">
        <v>2026</v>
      </c>
      <c r="B4476" s="2">
        <v>7</v>
      </c>
      <c r="C4476" s="2" t="s">
        <v>3429</v>
      </c>
      <c r="D4476" s="2" t="s">
        <v>3467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3468</v>
      </c>
      <c r="R4476" s="2" t="s">
        <v>3469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 t="shared" si="698"/>
        <v>375</v>
      </c>
      <c r="AL4476" s="5">
        <f t="shared" si="700"/>
        <v>0.25</v>
      </c>
    </row>
    <row r="4477" spans="1:38" x14ac:dyDescent="0.2">
      <c r="A4477" s="2">
        <v>2026</v>
      </c>
      <c r="B4477" s="2">
        <v>7</v>
      </c>
      <c r="C4477" s="2" t="s">
        <v>3300</v>
      </c>
      <c r="D4477" s="2" t="s">
        <v>37</v>
      </c>
      <c r="E4477" s="2" t="s">
        <v>38</v>
      </c>
      <c r="F4477" s="2" t="s">
        <v>39</v>
      </c>
      <c r="L4477" s="2" t="s">
        <v>3274</v>
      </c>
      <c r="M4477" s="2" t="s">
        <v>81</v>
      </c>
      <c r="P4477" s="2" t="s">
        <v>43</v>
      </c>
      <c r="Q4477" s="2" t="s">
        <v>49</v>
      </c>
      <c r="R4477" s="2" t="s">
        <v>50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3231</v>
      </c>
      <c r="AA4477" s="2" t="s">
        <v>46</v>
      </c>
      <c r="AB4477" s="2" t="s">
        <v>47</v>
      </c>
      <c r="AC4477" s="2" t="s">
        <v>48</v>
      </c>
      <c r="AK4477" s="2">
        <f t="shared" si="698"/>
        <v>4.7466000000000008</v>
      </c>
      <c r="AL4477" s="5">
        <f t="shared" si="700"/>
        <v>0.26370000000000005</v>
      </c>
    </row>
    <row r="4478" spans="1:38" x14ac:dyDescent="0.2">
      <c r="A4478" s="2">
        <v>2026</v>
      </c>
      <c r="B4478" s="2">
        <v>7</v>
      </c>
      <c r="C4478" s="2" t="s">
        <v>3300</v>
      </c>
      <c r="D4478" s="2" t="s">
        <v>37</v>
      </c>
      <c r="E4478" s="2" t="s">
        <v>38</v>
      </c>
      <c r="F4478" s="2" t="s">
        <v>39</v>
      </c>
      <c r="L4478" s="2" t="s">
        <v>3274</v>
      </c>
      <c r="M4478" s="2" t="s">
        <v>81</v>
      </c>
      <c r="P4478" s="2" t="s">
        <v>43</v>
      </c>
      <c r="Q4478" s="2" t="s">
        <v>55</v>
      </c>
      <c r="R4478" s="2" t="s">
        <v>56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3231</v>
      </c>
      <c r="AA4478" s="2" t="s">
        <v>46</v>
      </c>
      <c r="AB4478" s="2" t="s">
        <v>57</v>
      </c>
      <c r="AC4478" s="2" t="s">
        <v>58</v>
      </c>
      <c r="AK4478" s="2">
        <f t="shared" si="698"/>
        <v>6.4500000000000028</v>
      </c>
      <c r="AL4478" s="5">
        <f t="shared" si="700"/>
        <v>0.16862745098039222</v>
      </c>
    </row>
    <row r="4479" spans="1:38" x14ac:dyDescent="0.2">
      <c r="A4479" s="2">
        <v>2026</v>
      </c>
      <c r="B4479" s="2">
        <v>7</v>
      </c>
      <c r="C4479" s="2" t="s">
        <v>3300</v>
      </c>
      <c r="D4479" s="2" t="s">
        <v>37</v>
      </c>
      <c r="E4479" s="2" t="s">
        <v>38</v>
      </c>
      <c r="F4479" s="2" t="s">
        <v>39</v>
      </c>
      <c r="L4479" s="2" t="s">
        <v>3274</v>
      </c>
      <c r="M4479" s="2" t="s">
        <v>81</v>
      </c>
      <c r="P4479" s="2" t="s">
        <v>85</v>
      </c>
      <c r="Q4479" s="6" t="s">
        <v>277</v>
      </c>
      <c r="R4479" s="2" t="s">
        <v>278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3231</v>
      </c>
      <c r="AA4479" s="2" t="s">
        <v>88</v>
      </c>
      <c r="AB4479" s="2" t="s">
        <v>91</v>
      </c>
      <c r="AC4479" s="2" t="s">
        <v>85</v>
      </c>
      <c r="AK4479" s="2">
        <f t="shared" si="698"/>
        <v>3.4948999999999999</v>
      </c>
      <c r="AL4479" s="5">
        <f t="shared" si="700"/>
        <v>0.58248333333333335</v>
      </c>
    </row>
    <row r="4480" spans="1:38" x14ac:dyDescent="0.2">
      <c r="A4480" s="2">
        <v>2026</v>
      </c>
      <c r="B4480" s="2">
        <v>6</v>
      </c>
      <c r="C4480" s="2" t="s">
        <v>3298</v>
      </c>
      <c r="D4480" s="2" t="s">
        <v>3104</v>
      </c>
      <c r="E4480" s="2" t="s">
        <v>38</v>
      </c>
      <c r="F4480" s="2" t="s">
        <v>39</v>
      </c>
      <c r="H4480" s="2" t="s">
        <v>110</v>
      </c>
      <c r="I4480" s="2" t="s">
        <v>3288</v>
      </c>
      <c r="L4480" s="2" t="s">
        <v>134</v>
      </c>
      <c r="M4480" s="2" t="s">
        <v>110</v>
      </c>
      <c r="P4480" s="2" t="s">
        <v>115</v>
      </c>
      <c r="Q4480" s="16" t="s">
        <v>413</v>
      </c>
      <c r="R4480" s="15" t="s">
        <v>414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105</v>
      </c>
      <c r="AA4480" s="2" t="s">
        <v>415</v>
      </c>
      <c r="AB4480" s="2" t="s">
        <v>152</v>
      </c>
      <c r="AC4480" s="2" t="s">
        <v>115</v>
      </c>
      <c r="AK4480" s="2">
        <f t="shared" si="698"/>
        <v>4014.8500000000004</v>
      </c>
      <c r="AL4480" s="5">
        <f t="shared" si="700"/>
        <v>0.26765666666666671</v>
      </c>
    </row>
    <row r="4481" spans="1:38" x14ac:dyDescent="0.2">
      <c r="A4481" s="2">
        <v>2026</v>
      </c>
      <c r="B4481" s="2">
        <v>7</v>
      </c>
      <c r="C4481" s="2" t="s">
        <v>3429</v>
      </c>
      <c r="D4481" s="2" t="s">
        <v>782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783</v>
      </c>
      <c r="J4481" s="2" t="s">
        <v>784</v>
      </c>
      <c r="K4481" s="2">
        <v>917341136</v>
      </c>
      <c r="L4481" s="2" t="s">
        <v>100</v>
      </c>
      <c r="M4481" s="2" t="s">
        <v>81</v>
      </c>
      <c r="P4481" s="2" t="s">
        <v>85</v>
      </c>
      <c r="Q4481" s="29" t="s">
        <v>275</v>
      </c>
      <c r="R4481" s="29" t="s">
        <v>276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3231</v>
      </c>
      <c r="AA4481" s="2" t="s">
        <v>88</v>
      </c>
      <c r="AB4481" s="2" t="s">
        <v>91</v>
      </c>
      <c r="AC4481" s="2" t="s">
        <v>85</v>
      </c>
      <c r="AK4481" s="2">
        <f t="shared" si="698"/>
        <v>3.06</v>
      </c>
      <c r="AL4481" s="5">
        <f t="shared" si="700"/>
        <v>0.51</v>
      </c>
    </row>
    <row r="4482" spans="1:38" x14ac:dyDescent="0.2">
      <c r="A4482" s="2">
        <v>2026</v>
      </c>
      <c r="B4482" s="2">
        <v>7</v>
      </c>
      <c r="C4482" s="2" t="s">
        <v>3429</v>
      </c>
      <c r="D4482" s="2" t="s">
        <v>782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783</v>
      </c>
      <c r="J4482" s="2" t="s">
        <v>784</v>
      </c>
      <c r="K4482" s="2">
        <v>917341136</v>
      </c>
      <c r="L4482" s="2" t="s">
        <v>100</v>
      </c>
      <c r="M4482" s="2" t="s">
        <v>81</v>
      </c>
      <c r="P4482" s="2" t="s">
        <v>85</v>
      </c>
      <c r="Q4482" s="29" t="s">
        <v>277</v>
      </c>
      <c r="R4482" s="29" t="s">
        <v>278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3231</v>
      </c>
      <c r="AA4482" s="2" t="s">
        <v>88</v>
      </c>
      <c r="AB4482" s="2" t="s">
        <v>91</v>
      </c>
      <c r="AC4482" s="2" t="s">
        <v>85</v>
      </c>
      <c r="AK4482" s="2">
        <f t="shared" si="698"/>
        <v>4.6949000000000005</v>
      </c>
      <c r="AL4482" s="5">
        <f t="shared" si="700"/>
        <v>0.65206944444444448</v>
      </c>
    </row>
    <row r="4483" spans="1:38" x14ac:dyDescent="0.2">
      <c r="A4483" s="2">
        <v>2026</v>
      </c>
      <c r="B4483" s="2">
        <v>7</v>
      </c>
      <c r="C4483" s="2" t="s">
        <v>3429</v>
      </c>
      <c r="D4483" s="29" t="s">
        <v>3113</v>
      </c>
      <c r="E4483" s="2" t="s">
        <v>38</v>
      </c>
      <c r="F4483" s="2" t="s">
        <v>39</v>
      </c>
      <c r="L4483" s="2" t="s">
        <v>100</v>
      </c>
      <c r="M4483" s="2" t="s">
        <v>81</v>
      </c>
      <c r="P4483" s="2" t="s">
        <v>43</v>
      </c>
      <c r="Q4483" s="29" t="s">
        <v>2873</v>
      </c>
      <c r="R4483" s="29" t="s">
        <v>2874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3231</v>
      </c>
      <c r="AA4483" s="2" t="s">
        <v>46</v>
      </c>
      <c r="AB4483" s="2" t="s">
        <v>91</v>
      </c>
      <c r="AC4483" s="2" t="s">
        <v>58</v>
      </c>
      <c r="AK4483" s="2">
        <f t="shared" si="698"/>
        <v>27.82</v>
      </c>
      <c r="AL4483" s="5">
        <f t="shared" si="700"/>
        <v>0.43742138364779876</v>
      </c>
    </row>
    <row r="4484" spans="1:38" x14ac:dyDescent="0.2">
      <c r="A4484" s="2">
        <v>2026</v>
      </c>
      <c r="B4484" s="2">
        <v>7</v>
      </c>
      <c r="C4484" s="2" t="s">
        <v>3429</v>
      </c>
      <c r="D4484" s="29" t="s">
        <v>3113</v>
      </c>
      <c r="E4484" s="2" t="s">
        <v>38</v>
      </c>
      <c r="F4484" s="2" t="s">
        <v>39</v>
      </c>
      <c r="L4484" s="2" t="s">
        <v>100</v>
      </c>
      <c r="M4484" s="2" t="s">
        <v>81</v>
      </c>
      <c r="P4484" s="2" t="s">
        <v>85</v>
      </c>
      <c r="Q4484" s="29" t="s">
        <v>271</v>
      </c>
      <c r="R4484" s="29" t="s">
        <v>272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14" si="705">(T4484-W4484)/T4484</f>
        <v>0.42833333333333329</v>
      </c>
      <c r="Z4484" s="2" t="s">
        <v>3231</v>
      </c>
      <c r="AA4484" s="2" t="s">
        <v>88</v>
      </c>
      <c r="AB4484" s="2" t="s">
        <v>91</v>
      </c>
      <c r="AC4484" s="2" t="s">
        <v>85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3480</v>
      </c>
      <c r="D4485" s="2" t="s">
        <v>3481</v>
      </c>
      <c r="E4485" s="2" t="s">
        <v>38</v>
      </c>
      <c r="F4485" s="2" t="s">
        <v>39</v>
      </c>
      <c r="L4485" s="2" t="s">
        <v>340</v>
      </c>
      <c r="M4485" s="2" t="s">
        <v>40</v>
      </c>
      <c r="P4485" s="2" t="s">
        <v>170</v>
      </c>
      <c r="Q4485" s="33" t="s">
        <v>171</v>
      </c>
      <c r="R4485" s="33" t="s">
        <v>171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170</v>
      </c>
      <c r="AA4485" s="2" t="s">
        <v>170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x14ac:dyDescent="0.2">
      <c r="A4486" s="2">
        <v>2026</v>
      </c>
      <c r="B4486" s="2">
        <v>7</v>
      </c>
      <c r="C4486" s="2" t="s">
        <v>3480</v>
      </c>
      <c r="D4486" s="2" t="s">
        <v>3481</v>
      </c>
      <c r="E4486" s="2" t="s">
        <v>38</v>
      </c>
      <c r="F4486" s="2" t="s">
        <v>39</v>
      </c>
      <c r="L4486" s="2" t="s">
        <v>340</v>
      </c>
      <c r="M4486" s="2" t="s">
        <v>40</v>
      </c>
      <c r="P4486" s="2" t="s">
        <v>188</v>
      </c>
      <c r="Q4486" s="33" t="s">
        <v>1310</v>
      </c>
      <c r="R4486" s="33" t="s">
        <v>1311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118</v>
      </c>
      <c r="AA4486" s="2" t="s">
        <v>1312</v>
      </c>
      <c r="AK4486" s="2">
        <f t="shared" si="708"/>
        <v>133</v>
      </c>
      <c r="AL4486" s="5">
        <f t="shared" si="709"/>
        <v>1</v>
      </c>
    </row>
    <row r="4487" spans="1:38" x14ac:dyDescent="0.2">
      <c r="A4487" s="2">
        <v>2026</v>
      </c>
      <c r="B4487" s="2">
        <v>7</v>
      </c>
      <c r="C4487" s="2" t="s">
        <v>3480</v>
      </c>
      <c r="D4487" s="2" t="s">
        <v>943</v>
      </c>
      <c r="E4487" s="2" t="s">
        <v>38</v>
      </c>
      <c r="F4487" s="2" t="s">
        <v>39</v>
      </c>
      <c r="L4487" s="2" t="s">
        <v>178</v>
      </c>
      <c r="M4487" s="2" t="s">
        <v>41</v>
      </c>
      <c r="P4487" s="2" t="s">
        <v>43</v>
      </c>
      <c r="Q4487" s="33" t="s">
        <v>49</v>
      </c>
      <c r="R4487" s="33" t="s">
        <v>50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3231</v>
      </c>
      <c r="AA4487" s="2" t="s">
        <v>46</v>
      </c>
      <c r="AB4487" s="2" t="s">
        <v>47</v>
      </c>
      <c r="AC4487" s="2" t="s">
        <v>48</v>
      </c>
      <c r="AK4487" s="2">
        <f t="shared" ref="AK4487:AK4514" si="712">T4487-W4487</f>
        <v>12.746600000000001</v>
      </c>
      <c r="AL4487" s="5">
        <f t="shared" ref="AL4487:AL4514" si="713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3480</v>
      </c>
      <c r="D4488" s="33" t="s">
        <v>3482</v>
      </c>
      <c r="E4488" s="2" t="s">
        <v>3381</v>
      </c>
      <c r="F4488" s="2" t="s">
        <v>39</v>
      </c>
      <c r="L4488" s="2" t="s">
        <v>100</v>
      </c>
      <c r="M4488" s="2" t="s">
        <v>41</v>
      </c>
      <c r="P4488" s="2" t="s">
        <v>283</v>
      </c>
      <c r="Q4488" s="33" t="s">
        <v>3093</v>
      </c>
      <c r="R4488" s="33" t="s">
        <v>3094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105</v>
      </c>
      <c r="AA4488" s="2" t="s">
        <v>388</v>
      </c>
      <c r="AB4488" s="2" t="s">
        <v>1332</v>
      </c>
      <c r="AC4488" s="2" t="s">
        <v>1329</v>
      </c>
      <c r="AK4488" s="2">
        <f t="shared" si="712"/>
        <v>533.5</v>
      </c>
      <c r="AL4488" s="5">
        <f t="shared" si="713"/>
        <v>0.21425702811244979</v>
      </c>
    </row>
    <row r="4489" spans="1:38" x14ac:dyDescent="0.2">
      <c r="A4489" s="2">
        <v>2026</v>
      </c>
      <c r="B4489" s="2">
        <v>7</v>
      </c>
      <c r="C4489" s="2" t="s">
        <v>3480</v>
      </c>
      <c r="D4489" s="33" t="s">
        <v>3482</v>
      </c>
      <c r="E4489" s="2" t="s">
        <v>3381</v>
      </c>
      <c r="F4489" s="2" t="s">
        <v>39</v>
      </c>
      <c r="L4489" s="2" t="s">
        <v>100</v>
      </c>
      <c r="M4489" s="2" t="s">
        <v>41</v>
      </c>
      <c r="P4489" s="2" t="s">
        <v>283</v>
      </c>
      <c r="Q4489" s="33" t="s">
        <v>1327</v>
      </c>
      <c r="R4489" s="33" t="s">
        <v>1328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3231</v>
      </c>
      <c r="AA4489" s="2" t="s">
        <v>579</v>
      </c>
      <c r="AB4489" s="2" t="s">
        <v>120</v>
      </c>
      <c r="AC4489" s="2" t="s">
        <v>1329</v>
      </c>
      <c r="AK4489" s="2">
        <f t="shared" si="712"/>
        <v>-25.9</v>
      </c>
    </row>
    <row r="4490" spans="1:38" x14ac:dyDescent="0.2">
      <c r="A4490" s="2">
        <v>2026</v>
      </c>
      <c r="B4490" s="2">
        <v>7</v>
      </c>
      <c r="C4490" s="2" t="s">
        <v>3480</v>
      </c>
      <c r="D4490" s="33" t="s">
        <v>2771</v>
      </c>
      <c r="E4490" s="2" t="s">
        <v>38</v>
      </c>
      <c r="F4490" s="2" t="s">
        <v>39</v>
      </c>
      <c r="G4490" s="2">
        <v>500041946</v>
      </c>
      <c r="H4490" s="2" t="s">
        <v>110</v>
      </c>
      <c r="I4490" s="2" t="s">
        <v>134</v>
      </c>
      <c r="J4490" s="2" t="s">
        <v>2772</v>
      </c>
      <c r="L4490" s="2" t="s">
        <v>134</v>
      </c>
      <c r="M4490" s="2" t="s">
        <v>81</v>
      </c>
      <c r="P4490" s="2" t="s">
        <v>1040</v>
      </c>
      <c r="Q4490" s="33" t="s">
        <v>1932</v>
      </c>
      <c r="R4490" s="33" t="s">
        <v>1933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3231</v>
      </c>
      <c r="AA4490" s="2" t="s">
        <v>1043</v>
      </c>
      <c r="AB4490" s="2" t="s">
        <v>1320</v>
      </c>
      <c r="AC4490" s="2" t="s">
        <v>1040</v>
      </c>
      <c r="AK4490" s="2">
        <f t="shared" si="712"/>
        <v>203.68999999999994</v>
      </c>
      <c r="AL4490" s="5">
        <f t="shared" si="713"/>
        <v>0.2982589723690568</v>
      </c>
    </row>
    <row r="4491" spans="1:38" x14ac:dyDescent="0.2">
      <c r="A4491" s="2">
        <v>2026</v>
      </c>
      <c r="B4491" s="2">
        <v>7</v>
      </c>
      <c r="C4491" s="2" t="s">
        <v>3480</v>
      </c>
      <c r="D4491" s="33" t="s">
        <v>2771</v>
      </c>
      <c r="E4491" s="2" t="s">
        <v>38</v>
      </c>
      <c r="F4491" s="2" t="s">
        <v>39</v>
      </c>
      <c r="G4491" s="2">
        <v>500041946</v>
      </c>
      <c r="H4491" s="2" t="s">
        <v>110</v>
      </c>
      <c r="I4491" s="2" t="s">
        <v>134</v>
      </c>
      <c r="J4491" s="2" t="s">
        <v>2772</v>
      </c>
      <c r="L4491" s="2" t="s">
        <v>134</v>
      </c>
      <c r="M4491" s="2" t="s">
        <v>81</v>
      </c>
      <c r="P4491" s="2" t="s">
        <v>170</v>
      </c>
      <c r="Q4491" s="33" t="s">
        <v>171</v>
      </c>
      <c r="R4491" s="33" t="s">
        <v>171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170</v>
      </c>
      <c r="AA4491" s="2" t="s">
        <v>170</v>
      </c>
      <c r="AK4491" s="2">
        <f t="shared" si="712"/>
        <v>-13</v>
      </c>
      <c r="AL4491" s="18">
        <f t="shared" si="713"/>
        <v>-0.43333333333333335</v>
      </c>
    </row>
    <row r="4492" spans="1:38" x14ac:dyDescent="0.2">
      <c r="A4492" s="2">
        <v>2026</v>
      </c>
      <c r="B4492" s="2">
        <v>7</v>
      </c>
      <c r="C4492" s="2" t="s">
        <v>3480</v>
      </c>
      <c r="D4492" s="15" t="s">
        <v>745</v>
      </c>
      <c r="E4492" s="2" t="s">
        <v>109</v>
      </c>
      <c r="F4492" s="2" t="s">
        <v>39</v>
      </c>
      <c r="G4492" s="2">
        <v>509181163</v>
      </c>
      <c r="H4492" s="2" t="s">
        <v>40</v>
      </c>
      <c r="I4492" s="2" t="s">
        <v>746</v>
      </c>
      <c r="J4492" s="2" t="s">
        <v>747</v>
      </c>
      <c r="K4492" s="2">
        <v>962372760</v>
      </c>
      <c r="L4492" s="2" t="s">
        <v>202</v>
      </c>
      <c r="M4492" s="2" t="s">
        <v>40</v>
      </c>
      <c r="P4492" s="2" t="s">
        <v>188</v>
      </c>
      <c r="Q4492" s="33" t="s">
        <v>189</v>
      </c>
      <c r="R4492" s="33" t="s">
        <v>190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118</v>
      </c>
      <c r="AA4492" s="2" t="s">
        <v>191</v>
      </c>
      <c r="AB4492" s="2" t="s">
        <v>190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x14ac:dyDescent="0.2">
      <c r="A4493" s="2">
        <v>2026</v>
      </c>
      <c r="B4493" s="2">
        <v>7</v>
      </c>
      <c r="C4493" s="2" t="s">
        <v>3480</v>
      </c>
      <c r="D4493" s="15" t="s">
        <v>745</v>
      </c>
      <c r="E4493" s="2" t="s">
        <v>109</v>
      </c>
      <c r="F4493" s="2" t="s">
        <v>39</v>
      </c>
      <c r="G4493" s="2">
        <v>509181163</v>
      </c>
      <c r="H4493" s="2" t="s">
        <v>40</v>
      </c>
      <c r="I4493" s="2" t="s">
        <v>746</v>
      </c>
      <c r="J4493" s="2" t="s">
        <v>747</v>
      </c>
      <c r="K4493" s="2">
        <v>962372760</v>
      </c>
      <c r="L4493" s="2" t="s">
        <v>202</v>
      </c>
      <c r="M4493" s="2" t="s">
        <v>40</v>
      </c>
      <c r="P4493" s="2" t="s">
        <v>188</v>
      </c>
      <c r="Q4493" s="33" t="s">
        <v>192</v>
      </c>
      <c r="R4493" s="33" t="s">
        <v>191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118</v>
      </c>
      <c r="AA4493" s="2" t="s">
        <v>191</v>
      </c>
      <c r="AB4493" s="2" t="s">
        <v>191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x14ac:dyDescent="0.2">
      <c r="A4494" s="2">
        <v>2026</v>
      </c>
      <c r="B4494" s="2">
        <v>7</v>
      </c>
      <c r="C4494" s="2" t="s">
        <v>3480</v>
      </c>
      <c r="D4494" s="15" t="s">
        <v>745</v>
      </c>
      <c r="E4494" s="2" t="s">
        <v>109</v>
      </c>
      <c r="F4494" s="2" t="s">
        <v>39</v>
      </c>
      <c r="G4494" s="2">
        <v>509181163</v>
      </c>
      <c r="H4494" s="2" t="s">
        <v>40</v>
      </c>
      <c r="I4494" s="2" t="s">
        <v>746</v>
      </c>
      <c r="J4494" s="2" t="s">
        <v>747</v>
      </c>
      <c r="K4494" s="2">
        <v>962372760</v>
      </c>
      <c r="L4494" s="2" t="s">
        <v>202</v>
      </c>
      <c r="M4494" s="2" t="s">
        <v>40</v>
      </c>
      <c r="P4494" s="2" t="s">
        <v>188</v>
      </c>
      <c r="Q4494" s="33" t="s">
        <v>364</v>
      </c>
      <c r="R4494" s="33" t="s">
        <v>365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X4494" s="5">
        <f t="shared" si="705"/>
        <v>1</v>
      </c>
      <c r="Z4494" s="2" t="s">
        <v>118</v>
      </c>
      <c r="AA4494" s="2" t="s">
        <v>1312</v>
      </c>
      <c r="AK4494" s="2">
        <f t="shared" si="712"/>
        <v>297.5</v>
      </c>
      <c r="AL4494" s="5">
        <f t="shared" si="713"/>
        <v>1</v>
      </c>
    </row>
    <row r="4495" spans="1:38" x14ac:dyDescent="0.2">
      <c r="A4495" s="2">
        <v>2026</v>
      </c>
      <c r="B4495" s="2">
        <v>7</v>
      </c>
      <c r="C4495" s="2" t="s">
        <v>3480</v>
      </c>
      <c r="D4495" s="33" t="s">
        <v>1008</v>
      </c>
      <c r="E4495" s="2" t="s">
        <v>109</v>
      </c>
      <c r="F4495" s="2" t="s">
        <v>39</v>
      </c>
      <c r="L4495" s="2" t="s">
        <v>178</v>
      </c>
      <c r="M4495" s="2" t="s">
        <v>41</v>
      </c>
      <c r="P4495" s="2" t="s">
        <v>283</v>
      </c>
      <c r="Q4495" s="33" t="s">
        <v>400</v>
      </c>
      <c r="R4495" s="33" t="s">
        <v>401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3231</v>
      </c>
      <c r="AA4495" s="2" t="s">
        <v>46</v>
      </c>
      <c r="AB4495" s="2" t="s">
        <v>61</v>
      </c>
      <c r="AC4495" s="2" t="s">
        <v>3336</v>
      </c>
      <c r="AK4495" s="2">
        <f t="shared" si="712"/>
        <v>54.90100000000001</v>
      </c>
      <c r="AL4495" s="5">
        <f t="shared" si="713"/>
        <v>0.27450500000000005</v>
      </c>
    </row>
    <row r="4496" spans="1:38" x14ac:dyDescent="0.2">
      <c r="A4496" s="2">
        <v>2026</v>
      </c>
      <c r="B4496" s="2">
        <v>7</v>
      </c>
      <c r="C4496" s="2" t="s">
        <v>3480</v>
      </c>
      <c r="D4496" s="33" t="s">
        <v>1008</v>
      </c>
      <c r="E4496" s="2" t="s">
        <v>109</v>
      </c>
      <c r="F4496" s="2" t="s">
        <v>39</v>
      </c>
      <c r="L4496" s="2" t="s">
        <v>178</v>
      </c>
      <c r="M4496" s="2" t="s">
        <v>41</v>
      </c>
      <c r="P4496" s="2" t="s">
        <v>283</v>
      </c>
      <c r="Q4496" s="33" t="s">
        <v>402</v>
      </c>
      <c r="R4496" s="33" t="s">
        <v>403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3231</v>
      </c>
      <c r="AA4496" s="2" t="s">
        <v>46</v>
      </c>
      <c r="AB4496" s="2" t="s">
        <v>61</v>
      </c>
      <c r="AC4496" s="2" t="s">
        <v>3336</v>
      </c>
      <c r="AK4496" s="2">
        <f t="shared" si="712"/>
        <v>54.90100000000001</v>
      </c>
      <c r="AL4496" s="5">
        <f t="shared" si="713"/>
        <v>0.27450500000000005</v>
      </c>
    </row>
    <row r="4497" spans="1:38" x14ac:dyDescent="0.2">
      <c r="A4497" s="2">
        <v>2026</v>
      </c>
      <c r="B4497" s="2">
        <v>7</v>
      </c>
      <c r="C4497" s="2" t="s">
        <v>3480</v>
      </c>
      <c r="D4497" s="33" t="s">
        <v>770</v>
      </c>
      <c r="E4497" s="2" t="s">
        <v>109</v>
      </c>
      <c r="F4497" s="2" t="s">
        <v>377</v>
      </c>
      <c r="G4497" s="2">
        <v>505926768</v>
      </c>
      <c r="H4497" s="2" t="s">
        <v>291</v>
      </c>
      <c r="I4497" s="2" t="s">
        <v>771</v>
      </c>
      <c r="J4497" s="2" t="s">
        <v>772</v>
      </c>
      <c r="L4497" s="2" t="s">
        <v>340</v>
      </c>
      <c r="M4497" s="2" t="s">
        <v>81</v>
      </c>
      <c r="P4497" s="2" t="s">
        <v>283</v>
      </c>
      <c r="Q4497" s="33" t="s">
        <v>400</v>
      </c>
      <c r="R4497" s="33" t="s">
        <v>401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3231</v>
      </c>
      <c r="AA4497" s="2" t="s">
        <v>46</v>
      </c>
      <c r="AB4497" s="2" t="s">
        <v>61</v>
      </c>
      <c r="AC4497" s="2" t="s">
        <v>3336</v>
      </c>
      <c r="AK4497" s="2">
        <f t="shared" si="712"/>
        <v>54.90100000000001</v>
      </c>
      <c r="AL4497" s="5">
        <f t="shared" si="713"/>
        <v>0.27450500000000005</v>
      </c>
    </row>
    <row r="4498" spans="1:38" x14ac:dyDescent="0.2">
      <c r="A4498" s="2">
        <v>2026</v>
      </c>
      <c r="B4498" s="2">
        <v>7</v>
      </c>
      <c r="C4498" s="2" t="s">
        <v>3480</v>
      </c>
      <c r="D4498" s="33" t="s">
        <v>770</v>
      </c>
      <c r="E4498" s="2" t="s">
        <v>109</v>
      </c>
      <c r="F4498" s="2" t="s">
        <v>377</v>
      </c>
      <c r="G4498" s="2">
        <v>505926768</v>
      </c>
      <c r="H4498" s="2" t="s">
        <v>291</v>
      </c>
      <c r="I4498" s="2" t="s">
        <v>771</v>
      </c>
      <c r="J4498" s="2" t="s">
        <v>772</v>
      </c>
      <c r="L4498" s="2" t="s">
        <v>340</v>
      </c>
      <c r="M4498" s="2" t="s">
        <v>81</v>
      </c>
      <c r="P4498" s="2" t="s">
        <v>283</v>
      </c>
      <c r="Q4498" s="33" t="s">
        <v>402</v>
      </c>
      <c r="R4498" s="33" t="s">
        <v>403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3231</v>
      </c>
      <c r="AA4498" s="2" t="s">
        <v>46</v>
      </c>
      <c r="AB4498" s="2" t="s">
        <v>61</v>
      </c>
      <c r="AC4498" s="2" t="s">
        <v>3336</v>
      </c>
      <c r="AK4498" s="2">
        <f t="shared" si="712"/>
        <v>54.90100000000001</v>
      </c>
      <c r="AL4498" s="5">
        <f t="shared" si="713"/>
        <v>0.27450500000000005</v>
      </c>
    </row>
    <row r="4499" spans="1:38" x14ac:dyDescent="0.2">
      <c r="A4499" s="2">
        <v>2026</v>
      </c>
      <c r="B4499" s="2">
        <v>7</v>
      </c>
      <c r="C4499" s="2" t="s">
        <v>3480</v>
      </c>
      <c r="D4499" s="33" t="s">
        <v>383</v>
      </c>
      <c r="E4499" s="2" t="s">
        <v>38</v>
      </c>
      <c r="F4499" s="2" t="s">
        <v>39</v>
      </c>
      <c r="G4499" s="2">
        <v>212196260</v>
      </c>
      <c r="H4499" s="2" t="s">
        <v>110</v>
      </c>
      <c r="I4499" s="2" t="s">
        <v>384</v>
      </c>
      <c r="J4499" s="2" t="s">
        <v>385</v>
      </c>
      <c r="K4499" s="2">
        <v>926769894</v>
      </c>
      <c r="L4499" s="2" t="s">
        <v>113</v>
      </c>
      <c r="M4499" s="2" t="s">
        <v>81</v>
      </c>
      <c r="P4499" s="2" t="s">
        <v>1040</v>
      </c>
      <c r="Q4499" s="33" t="s">
        <v>1860</v>
      </c>
      <c r="R4499" s="33" t="s">
        <v>1861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3231</v>
      </c>
      <c r="AA4499" s="2" t="s">
        <v>1043</v>
      </c>
      <c r="AB4499" s="2" t="s">
        <v>1320</v>
      </c>
      <c r="AC4499" s="2" t="s">
        <v>1040</v>
      </c>
      <c r="AK4499" s="2">
        <f t="shared" si="712"/>
        <v>192.67999999999995</v>
      </c>
      <c r="AL4499" s="5">
        <f t="shared" si="713"/>
        <v>0.29999377218658524</v>
      </c>
    </row>
    <row r="4500" spans="1:38" x14ac:dyDescent="0.2">
      <c r="A4500" s="2">
        <v>2026</v>
      </c>
      <c r="B4500" s="2">
        <v>7</v>
      </c>
      <c r="C4500" s="2" t="s">
        <v>3480</v>
      </c>
      <c r="D4500" s="33" t="s">
        <v>452</v>
      </c>
      <c r="E4500" s="2" t="s">
        <v>109</v>
      </c>
      <c r="F4500" s="2" t="s">
        <v>39</v>
      </c>
      <c r="G4500" s="2">
        <v>506085686</v>
      </c>
      <c r="H4500" s="2" t="s">
        <v>40</v>
      </c>
      <c r="I4500" s="2" t="s">
        <v>453</v>
      </c>
      <c r="J4500" s="2" t="s">
        <v>454</v>
      </c>
      <c r="K4500" s="2">
        <v>917241919</v>
      </c>
      <c r="L4500" s="2" t="s">
        <v>399</v>
      </c>
      <c r="M4500" s="2" t="s">
        <v>40</v>
      </c>
      <c r="P4500" s="2" t="s">
        <v>188</v>
      </c>
      <c r="Q4500" s="33" t="s">
        <v>189</v>
      </c>
      <c r="R4500" s="33" t="s">
        <v>190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118</v>
      </c>
      <c r="AA4500" s="2" t="s">
        <v>191</v>
      </c>
      <c r="AB4500" s="2" t="s">
        <v>190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x14ac:dyDescent="0.2">
      <c r="A4501" s="2">
        <v>2026</v>
      </c>
      <c r="B4501" s="2">
        <v>7</v>
      </c>
      <c r="C4501" s="2" t="s">
        <v>3480</v>
      </c>
      <c r="D4501" s="33" t="s">
        <v>452</v>
      </c>
      <c r="E4501" s="2" t="s">
        <v>109</v>
      </c>
      <c r="F4501" s="2" t="s">
        <v>39</v>
      </c>
      <c r="G4501" s="2">
        <v>506085686</v>
      </c>
      <c r="H4501" s="2" t="s">
        <v>40</v>
      </c>
      <c r="I4501" s="2" t="s">
        <v>453</v>
      </c>
      <c r="J4501" s="2" t="s">
        <v>454</v>
      </c>
      <c r="K4501" s="2">
        <v>917241919</v>
      </c>
      <c r="L4501" s="2" t="s">
        <v>399</v>
      </c>
      <c r="M4501" s="2" t="s">
        <v>40</v>
      </c>
      <c r="P4501" s="2" t="s">
        <v>188</v>
      </c>
      <c r="Q4501" s="33" t="s">
        <v>192</v>
      </c>
      <c r="R4501" s="33" t="s">
        <v>191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118</v>
      </c>
      <c r="AA4501" s="2" t="s">
        <v>191</v>
      </c>
      <c r="AB4501" s="2" t="s">
        <v>191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x14ac:dyDescent="0.2">
      <c r="A4502" s="2">
        <v>2026</v>
      </c>
      <c r="B4502" s="2">
        <v>7</v>
      </c>
      <c r="C4502" s="2" t="s">
        <v>3480</v>
      </c>
      <c r="D4502" s="33" t="s">
        <v>3342</v>
      </c>
      <c r="E4502" s="2" t="s">
        <v>38</v>
      </c>
      <c r="F4502" s="2" t="s">
        <v>39</v>
      </c>
      <c r="L4502" s="2" t="s">
        <v>134</v>
      </c>
      <c r="M4502" s="2" t="s">
        <v>40</v>
      </c>
      <c r="P4502" s="2" t="s">
        <v>115</v>
      </c>
      <c r="Q4502" s="33" t="s">
        <v>3483</v>
      </c>
      <c r="R4502" s="33" t="s">
        <v>3484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118</v>
      </c>
      <c r="AA4502" s="2" t="s">
        <v>119</v>
      </c>
      <c r="AB4502" s="2" t="s">
        <v>120</v>
      </c>
      <c r="AC4502" s="2" t="s">
        <v>115</v>
      </c>
      <c r="AK4502" s="2">
        <f t="shared" si="712"/>
        <v>93.415000000000006</v>
      </c>
      <c r="AL4502" s="5">
        <f t="shared" si="713"/>
        <v>0.57117089575053503</v>
      </c>
    </row>
    <row r="4503" spans="1:38" x14ac:dyDescent="0.2">
      <c r="A4503" s="2">
        <v>2026</v>
      </c>
      <c r="B4503" s="2">
        <v>7</v>
      </c>
      <c r="C4503" s="2" t="s">
        <v>3480</v>
      </c>
      <c r="D4503" s="33" t="s">
        <v>3342</v>
      </c>
      <c r="E4503" s="2" t="s">
        <v>38</v>
      </c>
      <c r="F4503" s="2" t="s">
        <v>39</v>
      </c>
      <c r="L4503" s="2" t="s">
        <v>134</v>
      </c>
      <c r="M4503" s="2" t="s">
        <v>40</v>
      </c>
      <c r="P4503" s="2" t="s">
        <v>115</v>
      </c>
      <c r="Q4503" s="33" t="s">
        <v>1659</v>
      </c>
      <c r="R4503" s="33" t="s">
        <v>1660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118</v>
      </c>
      <c r="AA4503" s="2" t="s">
        <v>119</v>
      </c>
      <c r="AB4503" s="2" t="s">
        <v>120</v>
      </c>
      <c r="AC4503" s="2" t="s">
        <v>115</v>
      </c>
      <c r="AK4503" s="2">
        <f t="shared" si="712"/>
        <v>2091.8924999999999</v>
      </c>
      <c r="AL4503" s="5">
        <f t="shared" si="713"/>
        <v>0.79371540122250583</v>
      </c>
    </row>
    <row r="4504" spans="1:38" x14ac:dyDescent="0.2">
      <c r="A4504" s="2">
        <v>2026</v>
      </c>
      <c r="B4504" s="2">
        <v>7</v>
      </c>
      <c r="C4504" s="2" t="s">
        <v>3480</v>
      </c>
      <c r="D4504" s="33" t="s">
        <v>3342</v>
      </c>
      <c r="E4504" s="2" t="s">
        <v>38</v>
      </c>
      <c r="F4504" s="2" t="s">
        <v>39</v>
      </c>
      <c r="L4504" s="2" t="s">
        <v>134</v>
      </c>
      <c r="M4504" s="2" t="s">
        <v>40</v>
      </c>
      <c r="P4504" s="2" t="s">
        <v>188</v>
      </c>
      <c r="Q4504" s="33" t="s">
        <v>189</v>
      </c>
      <c r="R4504" s="33" t="s">
        <v>190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118</v>
      </c>
      <c r="AA4504" s="2" t="s">
        <v>191</v>
      </c>
      <c r="AB4504" s="2" t="s">
        <v>190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x14ac:dyDescent="0.2">
      <c r="A4505" s="2">
        <v>2026</v>
      </c>
      <c r="B4505" s="2">
        <v>7</v>
      </c>
      <c r="C4505" s="2" t="s">
        <v>3480</v>
      </c>
      <c r="D4505" s="33" t="s">
        <v>3342</v>
      </c>
      <c r="E4505" s="2" t="s">
        <v>38</v>
      </c>
      <c r="F4505" s="2" t="s">
        <v>39</v>
      </c>
      <c r="L4505" s="2" t="s">
        <v>134</v>
      </c>
      <c r="M4505" s="2" t="s">
        <v>40</v>
      </c>
      <c r="P4505" s="2" t="s">
        <v>188</v>
      </c>
      <c r="Q4505" s="33" t="s">
        <v>192</v>
      </c>
      <c r="R4505" s="33" t="s">
        <v>191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118</v>
      </c>
      <c r="AA4505" s="2" t="s">
        <v>191</v>
      </c>
      <c r="AB4505" s="2" t="s">
        <v>191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3480</v>
      </c>
      <c r="D4506" s="33" t="s">
        <v>559</v>
      </c>
      <c r="E4506" s="2" t="s">
        <v>109</v>
      </c>
      <c r="F4506" s="2" t="s">
        <v>39</v>
      </c>
      <c r="G4506" s="2">
        <v>506517233</v>
      </c>
      <c r="H4506" s="2" t="s">
        <v>81</v>
      </c>
      <c r="I4506" s="2" t="s">
        <v>560</v>
      </c>
      <c r="J4506" s="2" t="s">
        <v>561</v>
      </c>
      <c r="L4506" s="2" t="s">
        <v>134</v>
      </c>
      <c r="M4506" s="2" t="s">
        <v>40</v>
      </c>
      <c r="P4506" s="2" t="s">
        <v>3390</v>
      </c>
      <c r="Q4506" s="33" t="s">
        <v>2169</v>
      </c>
      <c r="R4506" s="33" t="s">
        <v>2170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2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3231</v>
      </c>
      <c r="AA4506" s="2" t="s">
        <v>2171</v>
      </c>
      <c r="AB4506" s="2" t="s">
        <v>2172</v>
      </c>
      <c r="AC4506" s="2" t="s">
        <v>3390</v>
      </c>
      <c r="AK4506" s="2">
        <f t="shared" si="712"/>
        <v>-159.96000000000004</v>
      </c>
      <c r="AL4506" s="18">
        <f t="shared" si="713"/>
        <v>-0.44433333333333341</v>
      </c>
    </row>
    <row r="4507" spans="1:38" x14ac:dyDescent="0.2">
      <c r="A4507" s="2">
        <v>2026</v>
      </c>
      <c r="B4507" s="2">
        <v>7</v>
      </c>
      <c r="C4507" s="2" t="s">
        <v>3480</v>
      </c>
      <c r="D4507" s="33" t="s">
        <v>3485</v>
      </c>
      <c r="E4507" s="2" t="s">
        <v>109</v>
      </c>
      <c r="F4507" s="2" t="s">
        <v>39</v>
      </c>
      <c r="L4507" s="2" t="s">
        <v>419</v>
      </c>
      <c r="M4507" s="2" t="s">
        <v>41</v>
      </c>
      <c r="P4507" s="2" t="s">
        <v>283</v>
      </c>
      <c r="Q4507" s="33" t="s">
        <v>1310</v>
      </c>
      <c r="R4507" s="2" t="s">
        <v>436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105</v>
      </c>
      <c r="AA4507" s="2" t="s">
        <v>388</v>
      </c>
      <c r="AB4507" s="2" t="s">
        <v>389</v>
      </c>
      <c r="AC4507" s="2" t="s">
        <v>390</v>
      </c>
      <c r="AK4507" s="2">
        <f t="shared" si="712"/>
        <v>83</v>
      </c>
      <c r="AL4507" s="5">
        <f t="shared" si="713"/>
        <v>0.16600000000000001</v>
      </c>
    </row>
    <row r="4508" spans="1:38" x14ac:dyDescent="0.2">
      <c r="A4508" s="2">
        <v>2026</v>
      </c>
      <c r="B4508" s="2">
        <v>7</v>
      </c>
      <c r="C4508" s="2" t="s">
        <v>3480</v>
      </c>
      <c r="D4508" s="33" t="s">
        <v>2290</v>
      </c>
      <c r="E4508" s="2" t="s">
        <v>38</v>
      </c>
      <c r="F4508" s="2" t="s">
        <v>39</v>
      </c>
      <c r="L4508" s="2" t="s">
        <v>462</v>
      </c>
      <c r="M4508" s="2" t="s">
        <v>40</v>
      </c>
      <c r="P4508" s="2" t="s">
        <v>115</v>
      </c>
      <c r="Q4508" s="33" t="s">
        <v>1387</v>
      </c>
      <c r="R4508" s="33" t="s">
        <v>1082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118</v>
      </c>
      <c r="AA4508" s="2" t="s">
        <v>119</v>
      </c>
      <c r="AB4508" s="2" t="s">
        <v>120</v>
      </c>
      <c r="AC4508" s="2" t="s">
        <v>115</v>
      </c>
      <c r="AK4508" s="2">
        <f t="shared" si="712"/>
        <v>50.754999999999995</v>
      </c>
      <c r="AL4508" s="5">
        <f t="shared" si="713"/>
        <v>0.5176440591534931</v>
      </c>
    </row>
    <row r="4509" spans="1:38" x14ac:dyDescent="0.2">
      <c r="A4509" s="2">
        <v>2026</v>
      </c>
      <c r="B4509" s="2">
        <v>7</v>
      </c>
      <c r="C4509" s="2" t="s">
        <v>3480</v>
      </c>
      <c r="D4509" s="33" t="s">
        <v>2290</v>
      </c>
      <c r="E4509" s="2" t="s">
        <v>38</v>
      </c>
      <c r="F4509" s="2" t="s">
        <v>39</v>
      </c>
      <c r="L4509" s="2" t="s">
        <v>462</v>
      </c>
      <c r="M4509" s="2" t="s">
        <v>40</v>
      </c>
      <c r="P4509" s="2" t="s">
        <v>115</v>
      </c>
      <c r="Q4509" s="33" t="s">
        <v>1388</v>
      </c>
      <c r="R4509" s="33" t="s">
        <v>1389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118</v>
      </c>
      <c r="AA4509" s="2" t="s">
        <v>119</v>
      </c>
      <c r="AB4509" s="2" t="s">
        <v>120</v>
      </c>
      <c r="AC4509" s="2" t="s">
        <v>115</v>
      </c>
      <c r="AK4509" s="2">
        <f t="shared" si="712"/>
        <v>177.74159999999998</v>
      </c>
      <c r="AL4509" s="5">
        <f t="shared" si="713"/>
        <v>0.4991619860705459</v>
      </c>
    </row>
    <row r="4510" spans="1:38" x14ac:dyDescent="0.2">
      <c r="A4510" s="2">
        <v>2026</v>
      </c>
      <c r="B4510" s="2">
        <v>7</v>
      </c>
      <c r="C4510" s="2" t="s">
        <v>3480</v>
      </c>
      <c r="D4510" s="33" t="s">
        <v>2290</v>
      </c>
      <c r="E4510" s="2" t="s">
        <v>38</v>
      </c>
      <c r="F4510" s="2" t="s">
        <v>39</v>
      </c>
      <c r="L4510" s="2" t="s">
        <v>462</v>
      </c>
      <c r="M4510" s="2" t="s">
        <v>40</v>
      </c>
      <c r="P4510" s="2" t="s">
        <v>115</v>
      </c>
      <c r="Q4510" s="30" t="s">
        <v>1131</v>
      </c>
      <c r="R4510" s="33" t="s">
        <v>1132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118</v>
      </c>
      <c r="AA4510" s="2" t="s">
        <v>119</v>
      </c>
      <c r="AB4510" s="2" t="s">
        <v>120</v>
      </c>
      <c r="AC4510" s="2" t="s">
        <v>115</v>
      </c>
      <c r="AK4510" s="2">
        <f t="shared" si="712"/>
        <v>5.9766000000000012</v>
      </c>
      <c r="AL4510" s="5">
        <f t="shared" si="713"/>
        <v>0.52151832460732994</v>
      </c>
    </row>
    <row r="4511" spans="1:38" x14ac:dyDescent="0.2">
      <c r="A4511" s="2">
        <v>2026</v>
      </c>
      <c r="B4511" s="2">
        <v>7</v>
      </c>
      <c r="C4511" s="2" t="s">
        <v>3480</v>
      </c>
      <c r="D4511" s="33" t="s">
        <v>2290</v>
      </c>
      <c r="E4511" s="2" t="s">
        <v>38</v>
      </c>
      <c r="F4511" s="2" t="s">
        <v>39</v>
      </c>
      <c r="L4511" s="2" t="s">
        <v>462</v>
      </c>
      <c r="M4511" s="2" t="s">
        <v>40</v>
      </c>
      <c r="P4511" s="2" t="s">
        <v>188</v>
      </c>
      <c r="Q4511" s="33" t="s">
        <v>189</v>
      </c>
      <c r="R4511" s="33" t="s">
        <v>190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118</v>
      </c>
      <c r="AA4511" s="2" t="s">
        <v>191</v>
      </c>
      <c r="AB4511" s="2" t="s">
        <v>190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x14ac:dyDescent="0.2">
      <c r="A4512" s="2">
        <v>2026</v>
      </c>
      <c r="B4512" s="2">
        <v>7</v>
      </c>
      <c r="C4512" s="2" t="s">
        <v>3480</v>
      </c>
      <c r="D4512" s="33" t="s">
        <v>2290</v>
      </c>
      <c r="E4512" s="2" t="s">
        <v>38</v>
      </c>
      <c r="F4512" s="2" t="s">
        <v>39</v>
      </c>
      <c r="L4512" s="2" t="s">
        <v>462</v>
      </c>
      <c r="M4512" s="2" t="s">
        <v>40</v>
      </c>
      <c r="P4512" s="2" t="s">
        <v>188</v>
      </c>
      <c r="Q4512" s="33" t="s">
        <v>192</v>
      </c>
      <c r="R4512" s="33" t="s">
        <v>191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118</v>
      </c>
      <c r="AA4512" s="2" t="s">
        <v>191</v>
      </c>
      <c r="AB4512" s="2" t="s">
        <v>191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x14ac:dyDescent="0.2">
      <c r="A4513" s="2">
        <v>2026</v>
      </c>
      <c r="B4513" s="2">
        <v>7</v>
      </c>
      <c r="C4513" s="2" t="s">
        <v>3480</v>
      </c>
      <c r="D4513" s="15" t="s">
        <v>1557</v>
      </c>
      <c r="E4513" s="2" t="s">
        <v>109</v>
      </c>
      <c r="F4513" s="2" t="s">
        <v>718</v>
      </c>
      <c r="L4513" s="2" t="s">
        <v>178</v>
      </c>
      <c r="M4513" s="2" t="s">
        <v>41</v>
      </c>
      <c r="P4513" s="2" t="s">
        <v>283</v>
      </c>
      <c r="Q4513" s="2" t="s">
        <v>400</v>
      </c>
      <c r="R4513" s="2" t="s">
        <v>401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3231</v>
      </c>
      <c r="AA4513" s="2" t="s">
        <v>46</v>
      </c>
      <c r="AB4513" s="2" t="s">
        <v>61</v>
      </c>
      <c r="AC4513" s="2" t="s">
        <v>3336</v>
      </c>
      <c r="AK4513" s="2">
        <f t="shared" si="712"/>
        <v>109.80200000000002</v>
      </c>
      <c r="AL4513" s="5">
        <f t="shared" si="713"/>
        <v>0.27450500000000005</v>
      </c>
    </row>
    <row r="4514" spans="1:38" x14ac:dyDescent="0.2">
      <c r="A4514" s="2">
        <v>2026</v>
      </c>
      <c r="B4514" s="2">
        <v>7</v>
      </c>
      <c r="C4514" s="2" t="s">
        <v>3480</v>
      </c>
      <c r="D4514" s="15" t="s">
        <v>1557</v>
      </c>
      <c r="E4514" s="2" t="s">
        <v>109</v>
      </c>
      <c r="F4514" s="2" t="s">
        <v>718</v>
      </c>
      <c r="L4514" s="2" t="s">
        <v>178</v>
      </c>
      <c r="M4514" s="2" t="s">
        <v>41</v>
      </c>
      <c r="P4514" s="2" t="s">
        <v>283</v>
      </c>
      <c r="Q4514" s="2" t="s">
        <v>402</v>
      </c>
      <c r="R4514" s="2" t="s">
        <v>403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3231</v>
      </c>
      <c r="AA4514" s="2" t="s">
        <v>46</v>
      </c>
      <c r="AB4514" s="2" t="s">
        <v>61</v>
      </c>
      <c r="AC4514" s="2" t="s">
        <v>3336</v>
      </c>
      <c r="AK4514" s="2">
        <f t="shared" si="712"/>
        <v>109.80200000000002</v>
      </c>
      <c r="AL4514" s="5">
        <f t="shared" si="713"/>
        <v>0.27450500000000005</v>
      </c>
    </row>
  </sheetData>
  <autoFilter ref="A1:AL4514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2026-07-27T18:25:56Z</dcterms:modified>
</cp:coreProperties>
</file>